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1.Laberca\!NEWDOC\"/>
    </mc:Choice>
  </mc:AlternateContent>
  <bookViews>
    <workbookView xWindow="0" yWindow="0" windowWidth="28800" windowHeight="11700" tabRatio="800" activeTab="1"/>
  </bookViews>
  <sheets>
    <sheet name="Ratio_M+Cl" sheetId="65" r:id="rId1"/>
    <sheet name="moyenne" sheetId="70" r:id="rId2"/>
    <sheet name="HypersildGold_ref" sheetId="67" r:id="rId3"/>
    <sheet name="Zorbax_gradient10min" sheetId="73" r:id="rId4"/>
  </sheets>
  <calcPr calcId="162913"/>
</workbook>
</file>

<file path=xl/calcChain.xml><?xml version="1.0" encoding="utf-8"?>
<calcChain xmlns="http://schemas.openxmlformats.org/spreadsheetml/2006/main">
  <c r="AI166" i="73" l="1"/>
  <c r="AH166" i="73"/>
  <c r="AG166" i="73"/>
  <c r="AF166" i="73"/>
  <c r="AE166" i="73"/>
  <c r="AD166" i="73"/>
  <c r="AC166" i="73"/>
  <c r="AB166" i="73"/>
  <c r="AA166" i="73"/>
  <c r="Z166" i="73"/>
  <c r="Z102" i="73" s="1"/>
  <c r="Z71" i="73" s="1"/>
  <c r="Y166" i="73"/>
  <c r="Y102" i="73" s="1"/>
  <c r="Y71" i="73" s="1"/>
  <c r="X166" i="73"/>
  <c r="X102" i="73" s="1"/>
  <c r="X71" i="73" s="1"/>
  <c r="W166" i="73"/>
  <c r="V166" i="73"/>
  <c r="U166" i="73"/>
  <c r="T166" i="73"/>
  <c r="S166" i="73"/>
  <c r="R166" i="73"/>
  <c r="Q166" i="73"/>
  <c r="P166" i="73"/>
  <c r="O166" i="73"/>
  <c r="N166" i="73"/>
  <c r="N102" i="73" s="1"/>
  <c r="M166" i="73"/>
  <c r="M102" i="73" s="1"/>
  <c r="M71" i="73" s="1"/>
  <c r="AP71" i="73" s="1"/>
  <c r="L166" i="73"/>
  <c r="L102" i="73" s="1"/>
  <c r="L71" i="73" s="1"/>
  <c r="K166" i="73"/>
  <c r="J166" i="73"/>
  <c r="I166" i="73"/>
  <c r="AI165" i="73"/>
  <c r="AH165" i="73"/>
  <c r="AG165" i="73"/>
  <c r="AF165" i="73"/>
  <c r="AE165" i="73"/>
  <c r="AD165" i="73"/>
  <c r="AC165" i="73"/>
  <c r="AB165" i="73"/>
  <c r="AB101" i="73" s="1"/>
  <c r="AB70" i="73" s="1"/>
  <c r="F544" i="73" s="1"/>
  <c r="AA165" i="73"/>
  <c r="Z165" i="73"/>
  <c r="Y165" i="73"/>
  <c r="X165" i="73"/>
  <c r="W165" i="73"/>
  <c r="V165" i="73"/>
  <c r="U165" i="73"/>
  <c r="T165" i="73"/>
  <c r="S165" i="73"/>
  <c r="R165" i="73"/>
  <c r="Q165" i="73"/>
  <c r="P165" i="73"/>
  <c r="P101" i="73" s="1"/>
  <c r="P70" i="73" s="1"/>
  <c r="O165" i="73"/>
  <c r="N165" i="73"/>
  <c r="M165" i="73"/>
  <c r="L165" i="73"/>
  <c r="K165" i="73"/>
  <c r="J165" i="73"/>
  <c r="I165" i="73"/>
  <c r="AI164" i="73"/>
  <c r="AH164" i="73"/>
  <c r="AG164" i="73"/>
  <c r="AF164" i="73"/>
  <c r="AF100" i="73" s="1"/>
  <c r="AF69" i="73" s="1"/>
  <c r="AE164" i="73"/>
  <c r="AD164" i="73"/>
  <c r="AD100" i="73" s="1"/>
  <c r="AD69" i="73" s="1"/>
  <c r="AC164" i="73"/>
  <c r="AB164" i="73"/>
  <c r="AA164" i="73"/>
  <c r="Z164" i="73"/>
  <c r="Y164" i="73"/>
  <c r="X164" i="73"/>
  <c r="W164" i="73"/>
  <c r="V164" i="73"/>
  <c r="U164" i="73"/>
  <c r="T164" i="73"/>
  <c r="S164" i="73"/>
  <c r="R164" i="73"/>
  <c r="R100" i="73" s="1"/>
  <c r="R69" i="73" s="1"/>
  <c r="Q164" i="73"/>
  <c r="P164" i="73"/>
  <c r="O164" i="73"/>
  <c r="N164" i="73"/>
  <c r="M164" i="73"/>
  <c r="L164" i="73"/>
  <c r="K164" i="73"/>
  <c r="J164" i="73"/>
  <c r="I164" i="73"/>
  <c r="AI163" i="73"/>
  <c r="AH163" i="73"/>
  <c r="AG163" i="73"/>
  <c r="AG99" i="73" s="1"/>
  <c r="AG68" i="73" s="1"/>
  <c r="AF163" i="73"/>
  <c r="AE163" i="73"/>
  <c r="AD163" i="73"/>
  <c r="AC163" i="73"/>
  <c r="AB163" i="73"/>
  <c r="AA163" i="73"/>
  <c r="Z163" i="73"/>
  <c r="Y163" i="73"/>
  <c r="X163" i="73"/>
  <c r="W163" i="73"/>
  <c r="V163" i="73"/>
  <c r="V99" i="73" s="1"/>
  <c r="V68" i="73" s="1"/>
  <c r="U163" i="73"/>
  <c r="U99" i="73" s="1"/>
  <c r="U68" i="73" s="1"/>
  <c r="T163" i="73"/>
  <c r="S163" i="73"/>
  <c r="R163" i="73"/>
  <c r="Q163" i="73"/>
  <c r="P163" i="73"/>
  <c r="O163" i="73"/>
  <c r="N163" i="73"/>
  <c r="M163" i="73"/>
  <c r="L163" i="73"/>
  <c r="K163" i="73"/>
  <c r="J163" i="73"/>
  <c r="J99" i="73" s="1"/>
  <c r="J68" i="73" s="1"/>
  <c r="I163" i="73"/>
  <c r="I99" i="73" s="1"/>
  <c r="I68" i="73" s="1"/>
  <c r="AI162" i="73"/>
  <c r="AH162" i="73"/>
  <c r="AG162" i="73"/>
  <c r="AF162" i="73"/>
  <c r="AE162" i="73"/>
  <c r="AD162" i="73"/>
  <c r="AD98" i="73" s="1"/>
  <c r="AD67" i="73" s="1"/>
  <c r="AC162" i="73"/>
  <c r="AB162" i="73"/>
  <c r="AA162" i="73"/>
  <c r="Z162" i="73"/>
  <c r="Y162" i="73"/>
  <c r="Y98" i="73" s="1"/>
  <c r="Y67" i="73" s="1"/>
  <c r="X162" i="73"/>
  <c r="X98" i="73" s="1"/>
  <c r="X67" i="73" s="1"/>
  <c r="F459" i="73" s="1"/>
  <c r="W162" i="73"/>
  <c r="V162" i="73"/>
  <c r="U162" i="73"/>
  <c r="T162" i="73"/>
  <c r="S162" i="73"/>
  <c r="R162" i="73"/>
  <c r="R98" i="73" s="1"/>
  <c r="R67" i="73" s="1"/>
  <c r="Q162" i="73"/>
  <c r="P162" i="73"/>
  <c r="O162" i="73"/>
  <c r="N162" i="73"/>
  <c r="N98" i="73" s="1"/>
  <c r="N67" i="73" s="1"/>
  <c r="M162" i="73"/>
  <c r="M98" i="73" s="1"/>
  <c r="M67" i="73" s="1"/>
  <c r="L162" i="73"/>
  <c r="L98" i="73" s="1"/>
  <c r="L67" i="73" s="1"/>
  <c r="K162" i="73"/>
  <c r="J162" i="73"/>
  <c r="I162" i="73"/>
  <c r="AI161" i="73"/>
  <c r="AH161" i="73"/>
  <c r="AG161" i="73"/>
  <c r="AG97" i="73" s="1"/>
  <c r="AG66" i="73" s="1"/>
  <c r="AF161" i="73"/>
  <c r="AE161" i="73"/>
  <c r="AD161" i="73"/>
  <c r="AC161" i="73"/>
  <c r="AB161" i="73"/>
  <c r="AB97" i="73" s="1"/>
  <c r="AB66" i="73" s="1"/>
  <c r="AA161" i="73"/>
  <c r="AA97" i="73" s="1"/>
  <c r="AA66" i="73" s="1"/>
  <c r="Z161" i="73"/>
  <c r="Y161" i="73"/>
  <c r="X161" i="73"/>
  <c r="W161" i="73"/>
  <c r="V161" i="73"/>
  <c r="U161" i="73"/>
  <c r="U97" i="73" s="1"/>
  <c r="U66" i="73" s="1"/>
  <c r="T161" i="73"/>
  <c r="S161" i="73"/>
  <c r="R161" i="73"/>
  <c r="Q161" i="73"/>
  <c r="Q97" i="73" s="1"/>
  <c r="Q66" i="73" s="1"/>
  <c r="P161" i="73"/>
  <c r="O161" i="73"/>
  <c r="O97" i="73" s="1"/>
  <c r="O66" i="73" s="1"/>
  <c r="N161" i="73"/>
  <c r="M161" i="73"/>
  <c r="L161" i="73"/>
  <c r="K161" i="73"/>
  <c r="J161" i="73"/>
  <c r="I161" i="73"/>
  <c r="AI160" i="73"/>
  <c r="AH160" i="73"/>
  <c r="AG160" i="73"/>
  <c r="AF160" i="73"/>
  <c r="AE160" i="73"/>
  <c r="AE96" i="73" s="1"/>
  <c r="AE65" i="73" s="1"/>
  <c r="AD160" i="73"/>
  <c r="AD96" i="73" s="1"/>
  <c r="AD65" i="73" s="1"/>
  <c r="AC160" i="73"/>
  <c r="AB160" i="73"/>
  <c r="AA160" i="73"/>
  <c r="Z160" i="73"/>
  <c r="Y160" i="73"/>
  <c r="X160" i="73"/>
  <c r="W160" i="73"/>
  <c r="V160" i="73"/>
  <c r="U160" i="73"/>
  <c r="T160" i="73"/>
  <c r="T96" i="73" s="1"/>
  <c r="T65" i="73" s="1"/>
  <c r="F401" i="73" s="1"/>
  <c r="S160" i="73"/>
  <c r="S96" i="73" s="1"/>
  <c r="S65" i="73" s="1"/>
  <c r="R160" i="73"/>
  <c r="Q160" i="73"/>
  <c r="P160" i="73"/>
  <c r="O160" i="73"/>
  <c r="N160" i="73"/>
  <c r="M160" i="73"/>
  <c r="L160" i="73"/>
  <c r="K160" i="73"/>
  <c r="J160" i="73"/>
  <c r="I160" i="73"/>
  <c r="AI159" i="73"/>
  <c r="AI95" i="73" s="1"/>
  <c r="AH159" i="73"/>
  <c r="AG159" i="73"/>
  <c r="AG95" i="73" s="1"/>
  <c r="AG64" i="73" s="1"/>
  <c r="AF159" i="73"/>
  <c r="AE159" i="73"/>
  <c r="AD159" i="73"/>
  <c r="AC159" i="73"/>
  <c r="AB159" i="73"/>
  <c r="AB95" i="73" s="1"/>
  <c r="AB64" i="73" s="1"/>
  <c r="AA159" i="73"/>
  <c r="Z159" i="73"/>
  <c r="Y159" i="73"/>
  <c r="X159" i="73"/>
  <c r="W159" i="73"/>
  <c r="W95" i="73" s="1"/>
  <c r="W64" i="73" s="1"/>
  <c r="V159" i="73"/>
  <c r="U159" i="73"/>
  <c r="U95" i="73" s="1"/>
  <c r="U64" i="73" s="1"/>
  <c r="T159" i="73"/>
  <c r="S159" i="73"/>
  <c r="R159" i="73"/>
  <c r="Q159" i="73"/>
  <c r="P159" i="73"/>
  <c r="O159" i="73"/>
  <c r="N159" i="73"/>
  <c r="M159" i="73"/>
  <c r="L159" i="73"/>
  <c r="K159" i="73"/>
  <c r="K95" i="73" s="1"/>
  <c r="K64" i="73" s="1"/>
  <c r="J159" i="73"/>
  <c r="I159" i="73"/>
  <c r="I95" i="73" s="1"/>
  <c r="I64" i="73" s="1"/>
  <c r="AI158" i="73"/>
  <c r="AH158" i="73"/>
  <c r="AG158" i="73"/>
  <c r="AF158" i="73"/>
  <c r="AE158" i="73"/>
  <c r="AD158" i="73"/>
  <c r="AC158" i="73"/>
  <c r="AB158" i="73"/>
  <c r="AA158" i="73"/>
  <c r="Z158" i="73"/>
  <c r="Z94" i="73" s="1"/>
  <c r="Y158" i="73"/>
  <c r="X158" i="73"/>
  <c r="X94" i="73" s="1"/>
  <c r="X63" i="73" s="1"/>
  <c r="W158" i="73"/>
  <c r="V158" i="73"/>
  <c r="U158" i="73"/>
  <c r="T158" i="73"/>
  <c r="S158" i="73"/>
  <c r="R158" i="73"/>
  <c r="R94" i="73" s="1"/>
  <c r="Q158" i="73"/>
  <c r="P158" i="73"/>
  <c r="O158" i="73"/>
  <c r="N158" i="73"/>
  <c r="N94" i="73" s="1"/>
  <c r="N63" i="73" s="1"/>
  <c r="M158" i="73"/>
  <c r="L158" i="73"/>
  <c r="L94" i="73" s="1"/>
  <c r="L63" i="73" s="1"/>
  <c r="K158" i="73"/>
  <c r="J158" i="73"/>
  <c r="I158" i="73"/>
  <c r="AH157" i="73"/>
  <c r="AG157" i="73"/>
  <c r="AF157" i="73"/>
  <c r="AE157" i="73"/>
  <c r="AD157" i="73"/>
  <c r="AC157" i="73"/>
  <c r="AB157" i="73"/>
  <c r="AA157" i="73"/>
  <c r="AA93" i="73" s="1"/>
  <c r="AA62" i="73" s="1"/>
  <c r="Z157" i="73"/>
  <c r="Y157" i="73"/>
  <c r="X157" i="73"/>
  <c r="W157" i="73"/>
  <c r="V157" i="73"/>
  <c r="U157" i="73"/>
  <c r="U93" i="73" s="1"/>
  <c r="U62" i="73" s="1"/>
  <c r="T157" i="73"/>
  <c r="T93" i="73" s="1"/>
  <c r="T62" i="73" s="1"/>
  <c r="S157" i="73"/>
  <c r="R157" i="73"/>
  <c r="Q157" i="73"/>
  <c r="P157" i="73"/>
  <c r="O157" i="73"/>
  <c r="O93" i="73" s="1"/>
  <c r="O62" i="73" s="1"/>
  <c r="N157" i="73"/>
  <c r="N93" i="73" s="1"/>
  <c r="N62" i="73" s="1"/>
  <c r="M157" i="73"/>
  <c r="L157" i="73"/>
  <c r="K157" i="73"/>
  <c r="J157" i="73"/>
  <c r="I157" i="73"/>
  <c r="I93" i="73" s="1"/>
  <c r="AG156" i="73"/>
  <c r="AG92" i="73" s="1"/>
  <c r="AG61" i="73" s="1"/>
  <c r="AF156" i="73"/>
  <c r="AE156" i="73"/>
  <c r="AD156" i="73"/>
  <c r="AC156" i="73"/>
  <c r="AC92" i="73" s="1"/>
  <c r="AB156" i="73"/>
  <c r="AA156" i="73"/>
  <c r="AA92" i="73" s="1"/>
  <c r="AA61" i="73" s="1"/>
  <c r="Z156" i="73"/>
  <c r="Y156" i="73"/>
  <c r="X156" i="73"/>
  <c r="W156" i="73"/>
  <c r="V156" i="73"/>
  <c r="V92" i="73" s="1"/>
  <c r="V61" i="73" s="1"/>
  <c r="F298" i="73" s="1"/>
  <c r="U156" i="73"/>
  <c r="U92" i="73" s="1"/>
  <c r="U61" i="73" s="1"/>
  <c r="F297" i="73" s="1"/>
  <c r="T156" i="73"/>
  <c r="S156" i="73"/>
  <c r="R156" i="73"/>
  <c r="Q156" i="73"/>
  <c r="Q92" i="73" s="1"/>
  <c r="Q61" i="73" s="1"/>
  <c r="P156" i="73"/>
  <c r="O156" i="73"/>
  <c r="O92" i="73" s="1"/>
  <c r="O61" i="73" s="1"/>
  <c r="N156" i="73"/>
  <c r="M156" i="73"/>
  <c r="L156" i="73"/>
  <c r="K156" i="73"/>
  <c r="J156" i="73"/>
  <c r="J92" i="73" s="1"/>
  <c r="J61" i="73" s="1"/>
  <c r="I156" i="73"/>
  <c r="I92" i="73" s="1"/>
  <c r="I61" i="73" s="1"/>
  <c r="AF155" i="73"/>
  <c r="AE155" i="73"/>
  <c r="AD155" i="73"/>
  <c r="AC155" i="73"/>
  <c r="AB155" i="73"/>
  <c r="AB91" i="73" s="1"/>
  <c r="AB60" i="73" s="1"/>
  <c r="AA155" i="73"/>
  <c r="AA91" i="73" s="1"/>
  <c r="AA60" i="73" s="1"/>
  <c r="Z155" i="73"/>
  <c r="Y155" i="73"/>
  <c r="X155" i="73"/>
  <c r="W155" i="73"/>
  <c r="V155" i="73"/>
  <c r="U155" i="73"/>
  <c r="T155" i="73"/>
  <c r="S155" i="73"/>
  <c r="R155" i="73"/>
  <c r="Q155" i="73"/>
  <c r="P155" i="73"/>
  <c r="P91" i="73" s="1"/>
  <c r="O155" i="73"/>
  <c r="O91" i="73" s="1"/>
  <c r="O60" i="73" s="1"/>
  <c r="N155" i="73"/>
  <c r="M155" i="73"/>
  <c r="L155" i="73"/>
  <c r="K155" i="73"/>
  <c r="J155" i="73"/>
  <c r="I155" i="73"/>
  <c r="AE154" i="73"/>
  <c r="AD154" i="73"/>
  <c r="AC154" i="73"/>
  <c r="AB154" i="73"/>
  <c r="AB90" i="73" s="1"/>
  <c r="AB59" i="73" s="1"/>
  <c r="AA154" i="73"/>
  <c r="AA90" i="73" s="1"/>
  <c r="AA59" i="73" s="1"/>
  <c r="Z154" i="73"/>
  <c r="Z90" i="73" s="1"/>
  <c r="Z59" i="73" s="1"/>
  <c r="Y154" i="73"/>
  <c r="X154" i="73"/>
  <c r="W154" i="73"/>
  <c r="V154" i="73"/>
  <c r="U154" i="73"/>
  <c r="T154" i="73"/>
  <c r="S154" i="73"/>
  <c r="R154" i="73"/>
  <c r="Q154" i="73"/>
  <c r="P154" i="73"/>
  <c r="P90" i="73" s="1"/>
  <c r="P59" i="73" s="1"/>
  <c r="O154" i="73"/>
  <c r="O90" i="73" s="1"/>
  <c r="O59" i="73" s="1"/>
  <c r="N154" i="73"/>
  <c r="M154" i="73"/>
  <c r="L154" i="73"/>
  <c r="K154" i="73"/>
  <c r="J154" i="73"/>
  <c r="I154" i="73"/>
  <c r="AD153" i="73"/>
  <c r="AC153" i="73"/>
  <c r="AB153" i="73"/>
  <c r="AA153" i="73"/>
  <c r="Z153" i="73"/>
  <c r="Y153" i="73"/>
  <c r="Y89" i="73" s="1"/>
  <c r="Y58" i="73" s="1"/>
  <c r="X153" i="73"/>
  <c r="W153" i="73"/>
  <c r="V153" i="73"/>
  <c r="U153" i="73"/>
  <c r="T153" i="73"/>
  <c r="S153" i="73"/>
  <c r="R153" i="73"/>
  <c r="R89" i="73" s="1"/>
  <c r="R58" i="73" s="1"/>
  <c r="Q153" i="73"/>
  <c r="P153" i="73"/>
  <c r="O153" i="73"/>
  <c r="N153" i="73"/>
  <c r="N89" i="73" s="1"/>
  <c r="N58" i="73" s="1"/>
  <c r="M153" i="73"/>
  <c r="L153" i="73"/>
  <c r="K153" i="73"/>
  <c r="J153" i="73"/>
  <c r="I153" i="73"/>
  <c r="AC152" i="73"/>
  <c r="AC88" i="73" s="1"/>
  <c r="AC57" i="73" s="1"/>
  <c r="AB152" i="73"/>
  <c r="AA152" i="73"/>
  <c r="AA88" i="73" s="1"/>
  <c r="AA57" i="73" s="1"/>
  <c r="Z152" i="73"/>
  <c r="Y152" i="73"/>
  <c r="X152" i="73"/>
  <c r="W152" i="73"/>
  <c r="V152" i="73"/>
  <c r="U152" i="73"/>
  <c r="U88" i="73" s="1"/>
  <c r="U57" i="73" s="1"/>
  <c r="T152" i="73"/>
  <c r="S152" i="73"/>
  <c r="R152" i="73"/>
  <c r="Q152" i="73"/>
  <c r="P152" i="73"/>
  <c r="P88" i="73" s="1"/>
  <c r="P57" i="73" s="1"/>
  <c r="O152" i="73"/>
  <c r="O88" i="73" s="1"/>
  <c r="O57" i="73" s="1"/>
  <c r="N152" i="73"/>
  <c r="M152" i="73"/>
  <c r="L152" i="73"/>
  <c r="K152" i="73"/>
  <c r="J152" i="73"/>
  <c r="I152" i="73"/>
  <c r="AB151" i="73"/>
  <c r="AA151" i="73"/>
  <c r="Z151" i="73"/>
  <c r="Y151" i="73"/>
  <c r="X151" i="73"/>
  <c r="W151" i="73"/>
  <c r="V151" i="73"/>
  <c r="U151" i="73"/>
  <c r="T151" i="73"/>
  <c r="S151" i="73"/>
  <c r="R151" i="73"/>
  <c r="R87" i="73" s="1"/>
  <c r="R56" i="73" s="1"/>
  <c r="F184" i="73" s="1"/>
  <c r="Q151" i="73"/>
  <c r="Q87" i="73" s="1"/>
  <c r="Q56" i="73" s="1"/>
  <c r="P151" i="73"/>
  <c r="O151" i="73"/>
  <c r="N151" i="73"/>
  <c r="M151" i="73"/>
  <c r="L151" i="73"/>
  <c r="L87" i="73" s="1"/>
  <c r="K151" i="73"/>
  <c r="J151" i="73"/>
  <c r="I151" i="73"/>
  <c r="AA150" i="73"/>
  <c r="Z150" i="73"/>
  <c r="Y150" i="73"/>
  <c r="Y86" i="73" s="1"/>
  <c r="Y55" i="73" s="1"/>
  <c r="X150" i="73"/>
  <c r="X86" i="73" s="1"/>
  <c r="X55" i="73" s="1"/>
  <c r="W150" i="73"/>
  <c r="V150" i="73"/>
  <c r="U150" i="73"/>
  <c r="T150" i="73"/>
  <c r="S150" i="73"/>
  <c r="S86" i="73" s="1"/>
  <c r="S55" i="73" s="1"/>
  <c r="F166" i="73" s="1"/>
  <c r="R150" i="73"/>
  <c r="Q150" i="73"/>
  <c r="Q86" i="73" s="1"/>
  <c r="Q55" i="73" s="1"/>
  <c r="P150" i="73"/>
  <c r="O150" i="73"/>
  <c r="N150" i="73"/>
  <c r="M150" i="73"/>
  <c r="L150" i="73"/>
  <c r="K150" i="73"/>
  <c r="J150" i="73"/>
  <c r="I150" i="73"/>
  <c r="Z149" i="73"/>
  <c r="Y149" i="73"/>
  <c r="Y85" i="73" s="1"/>
  <c r="Y54" i="73" s="1"/>
  <c r="X149" i="73"/>
  <c r="X85" i="73" s="1"/>
  <c r="X54" i="73" s="1"/>
  <c r="W149" i="73"/>
  <c r="V149" i="73"/>
  <c r="U149" i="73"/>
  <c r="T149" i="73"/>
  <c r="S149" i="73"/>
  <c r="R149" i="73"/>
  <c r="Q149" i="73"/>
  <c r="P149" i="73"/>
  <c r="O149" i="73"/>
  <c r="N149" i="73"/>
  <c r="M149" i="73"/>
  <c r="M85" i="73" s="1"/>
  <c r="M54" i="73" s="1"/>
  <c r="F142" i="73" s="1"/>
  <c r="L149" i="73"/>
  <c r="K149" i="73"/>
  <c r="J149" i="73"/>
  <c r="I149" i="73"/>
  <c r="Y148" i="73"/>
  <c r="X148" i="73"/>
  <c r="W148" i="73"/>
  <c r="W84" i="73" s="1"/>
  <c r="W53" i="73" s="1"/>
  <c r="V148" i="73"/>
  <c r="U148" i="73"/>
  <c r="T148" i="73"/>
  <c r="S148" i="73"/>
  <c r="R148" i="73"/>
  <c r="Q148" i="73"/>
  <c r="P148" i="73"/>
  <c r="O148" i="73"/>
  <c r="N148" i="73"/>
  <c r="M148" i="73"/>
  <c r="L148" i="73"/>
  <c r="L84" i="73" s="1"/>
  <c r="L53" i="73" s="1"/>
  <c r="K148" i="73"/>
  <c r="K84" i="73" s="1"/>
  <c r="K53" i="73" s="1"/>
  <c r="J148" i="73"/>
  <c r="I148" i="73"/>
  <c r="X147" i="73"/>
  <c r="W147" i="73"/>
  <c r="V147" i="73"/>
  <c r="V83" i="73" s="1"/>
  <c r="V52" i="73" s="1"/>
  <c r="F118" i="73" s="1"/>
  <c r="U147" i="73"/>
  <c r="T147" i="73"/>
  <c r="S147" i="73"/>
  <c r="R147" i="73"/>
  <c r="Q147" i="73"/>
  <c r="P147" i="73"/>
  <c r="P83" i="73" s="1"/>
  <c r="P52" i="73" s="1"/>
  <c r="O147" i="73"/>
  <c r="O83" i="73" s="1"/>
  <c r="O52" i="73" s="1"/>
  <c r="N147" i="73"/>
  <c r="M147" i="73"/>
  <c r="L147" i="73"/>
  <c r="K147" i="73"/>
  <c r="J147" i="73"/>
  <c r="J83" i="73" s="1"/>
  <c r="I147" i="73"/>
  <c r="W146" i="73"/>
  <c r="V146" i="73"/>
  <c r="U146" i="73"/>
  <c r="T146" i="73"/>
  <c r="S146" i="73"/>
  <c r="S82" i="73" s="1"/>
  <c r="S51" i="73" s="1"/>
  <c r="R146" i="73"/>
  <c r="R82" i="73" s="1"/>
  <c r="R51" i="73" s="1"/>
  <c r="Q146" i="73"/>
  <c r="P146" i="73"/>
  <c r="O146" i="73"/>
  <c r="N146" i="73"/>
  <c r="M146" i="73"/>
  <c r="L146" i="73"/>
  <c r="K146" i="73"/>
  <c r="J146" i="73"/>
  <c r="I146" i="73"/>
  <c r="V145" i="73"/>
  <c r="U145" i="73"/>
  <c r="U81" i="73" s="1"/>
  <c r="U50" i="73" s="1"/>
  <c r="T145" i="73"/>
  <c r="T81" i="73" s="1"/>
  <c r="T50" i="73" s="1"/>
  <c r="S145" i="73"/>
  <c r="R145" i="73"/>
  <c r="Q145" i="73"/>
  <c r="P145" i="73"/>
  <c r="O145" i="73"/>
  <c r="N145" i="73"/>
  <c r="M145" i="73"/>
  <c r="L145" i="73"/>
  <c r="K145" i="73"/>
  <c r="J145" i="73"/>
  <c r="J81" i="73" s="1"/>
  <c r="J50" i="73" s="1"/>
  <c r="I145" i="73"/>
  <c r="I81" i="73" s="1"/>
  <c r="I50" i="73" s="1"/>
  <c r="U144" i="73"/>
  <c r="U80" i="73" s="1"/>
  <c r="U49" i="73" s="1"/>
  <c r="T144" i="73"/>
  <c r="S144" i="73"/>
  <c r="R144" i="73"/>
  <c r="Q144" i="73"/>
  <c r="P144" i="73"/>
  <c r="O144" i="73"/>
  <c r="N144" i="73"/>
  <c r="M144" i="73"/>
  <c r="L144" i="73"/>
  <c r="K144" i="73"/>
  <c r="J144" i="73"/>
  <c r="J80" i="73" s="1"/>
  <c r="J49" i="73" s="1"/>
  <c r="I144" i="73"/>
  <c r="I80" i="73" s="1"/>
  <c r="I49" i="73" s="1"/>
  <c r="T143" i="73"/>
  <c r="S143" i="73"/>
  <c r="R143" i="73"/>
  <c r="Q143" i="73"/>
  <c r="P143" i="73"/>
  <c r="O143" i="73"/>
  <c r="N143" i="73"/>
  <c r="M143" i="73"/>
  <c r="L143" i="73"/>
  <c r="K143" i="73"/>
  <c r="J143" i="73"/>
  <c r="I143" i="73"/>
  <c r="S142" i="73"/>
  <c r="R142" i="73"/>
  <c r="Q142" i="73"/>
  <c r="P142" i="73"/>
  <c r="O142" i="73"/>
  <c r="N142" i="73"/>
  <c r="M142" i="73"/>
  <c r="L142" i="73"/>
  <c r="K142" i="73"/>
  <c r="J142" i="73"/>
  <c r="I142" i="73"/>
  <c r="I78" i="73" s="1"/>
  <c r="I47" i="73" s="1"/>
  <c r="AL47" i="73" s="1"/>
  <c r="R141" i="73"/>
  <c r="Q141" i="73"/>
  <c r="P141" i="73"/>
  <c r="O141" i="73"/>
  <c r="N141" i="73"/>
  <c r="M141" i="73"/>
  <c r="L141" i="73"/>
  <c r="K141" i="73"/>
  <c r="J141" i="73"/>
  <c r="I141" i="73"/>
  <c r="Q140" i="73"/>
  <c r="P140" i="73"/>
  <c r="P76" i="73" s="1"/>
  <c r="P45" i="73" s="1"/>
  <c r="O140" i="73"/>
  <c r="O76" i="73" s="1"/>
  <c r="O45" i="73" s="1"/>
  <c r="N140" i="73"/>
  <c r="M140" i="73"/>
  <c r="L140" i="73"/>
  <c r="K140" i="73"/>
  <c r="J140" i="73"/>
  <c r="I140" i="73"/>
  <c r="P139" i="73"/>
  <c r="O139" i="73"/>
  <c r="N139" i="73"/>
  <c r="M139" i="73"/>
  <c r="L139" i="73"/>
  <c r="L75" i="73" s="1"/>
  <c r="L44" i="73" s="1"/>
  <c r="K139" i="73"/>
  <c r="J139" i="73"/>
  <c r="I139" i="73"/>
  <c r="O138" i="73"/>
  <c r="N138" i="73"/>
  <c r="M138" i="73"/>
  <c r="L138" i="73"/>
  <c r="K138" i="73"/>
  <c r="J138" i="73"/>
  <c r="I138" i="73"/>
  <c r="AH136" i="73"/>
  <c r="AE136" i="73"/>
  <c r="AI134" i="73"/>
  <c r="AI102" i="73" s="1"/>
  <c r="AI71" i="73" s="1"/>
  <c r="F578" i="73" s="1"/>
  <c r="AH134" i="73"/>
  <c r="AG134" i="73"/>
  <c r="AF134" i="73"/>
  <c r="AE134" i="73"/>
  <c r="AD134" i="73"/>
  <c r="AC134" i="73"/>
  <c r="AC102" i="73" s="1"/>
  <c r="AC71" i="73" s="1"/>
  <c r="AB134" i="73"/>
  <c r="AB102" i="73" s="1"/>
  <c r="AA134" i="73"/>
  <c r="Z134" i="73"/>
  <c r="Y134" i="73"/>
  <c r="X134" i="73"/>
  <c r="W134" i="73"/>
  <c r="W102" i="73" s="1"/>
  <c r="W71" i="73" s="1"/>
  <c r="V134" i="73"/>
  <c r="U134" i="73"/>
  <c r="T134" i="73"/>
  <c r="S134" i="73"/>
  <c r="R134" i="73"/>
  <c r="Q134" i="73"/>
  <c r="Q102" i="73" s="1"/>
  <c r="Q71" i="73" s="1"/>
  <c r="P134" i="73"/>
  <c r="O134" i="73"/>
  <c r="N134" i="73"/>
  <c r="M134" i="73"/>
  <c r="L134" i="73"/>
  <c r="K134" i="73"/>
  <c r="K102" i="73" s="1"/>
  <c r="K71" i="73" s="1"/>
  <c r="J134" i="73"/>
  <c r="I134" i="73"/>
  <c r="AI133" i="73"/>
  <c r="AI101" i="73" s="1"/>
  <c r="AH133" i="73"/>
  <c r="AG133" i="73"/>
  <c r="AG101" i="73" s="1"/>
  <c r="AG70" i="73" s="1"/>
  <c r="BJ70" i="73" s="1"/>
  <c r="AF133" i="73"/>
  <c r="AF101" i="73" s="1"/>
  <c r="AF70" i="73" s="1"/>
  <c r="AE133" i="73"/>
  <c r="AE101" i="73" s="1"/>
  <c r="AE70" i="73" s="1"/>
  <c r="AD133" i="73"/>
  <c r="AC133" i="73"/>
  <c r="AB133" i="73"/>
  <c r="AA133" i="73"/>
  <c r="Z133" i="73"/>
  <c r="Z101" i="73" s="1"/>
  <c r="Z70" i="73" s="1"/>
  <c r="Y133" i="73"/>
  <c r="X133" i="73"/>
  <c r="W133" i="73"/>
  <c r="V133" i="73"/>
  <c r="U133" i="73"/>
  <c r="U101" i="73" s="1"/>
  <c r="U70" i="73" s="1"/>
  <c r="T133" i="73"/>
  <c r="T101" i="73" s="1"/>
  <c r="T70" i="73" s="1"/>
  <c r="S133" i="73"/>
  <c r="S101" i="73" s="1"/>
  <c r="S70" i="73" s="1"/>
  <c r="R133" i="73"/>
  <c r="Q133" i="73"/>
  <c r="P133" i="73"/>
  <c r="O133" i="73"/>
  <c r="N133" i="73"/>
  <c r="N101" i="73" s="1"/>
  <c r="N70" i="73" s="1"/>
  <c r="M133" i="73"/>
  <c r="L133" i="73"/>
  <c r="K133" i="73"/>
  <c r="J133" i="73"/>
  <c r="I133" i="73"/>
  <c r="AI132" i="73"/>
  <c r="AI100" i="73" s="1"/>
  <c r="AI69" i="73" s="1"/>
  <c r="AH132" i="73"/>
  <c r="AH100" i="73" s="1"/>
  <c r="AH69" i="73" s="1"/>
  <c r="F523" i="73" s="1"/>
  <c r="AG132" i="73"/>
  <c r="AF132" i="73"/>
  <c r="AE132" i="73"/>
  <c r="AD132" i="73"/>
  <c r="AC132" i="73"/>
  <c r="AC100" i="73" s="1"/>
  <c r="AC69" i="73" s="1"/>
  <c r="AB132" i="73"/>
  <c r="AA132" i="73"/>
  <c r="Z132" i="73"/>
  <c r="Y132" i="73"/>
  <c r="Y100" i="73" s="1"/>
  <c r="Y69" i="73" s="1"/>
  <c r="X132" i="73"/>
  <c r="X100" i="73" s="1"/>
  <c r="X69" i="73" s="1"/>
  <c r="W132" i="73"/>
  <c r="W100" i="73" s="1"/>
  <c r="W69" i="73" s="1"/>
  <c r="V132" i="73"/>
  <c r="V100" i="73" s="1"/>
  <c r="V69" i="73" s="1"/>
  <c r="U132" i="73"/>
  <c r="U100" i="73" s="1"/>
  <c r="T132" i="73"/>
  <c r="S132" i="73"/>
  <c r="R132" i="73"/>
  <c r="Q132" i="73"/>
  <c r="Q100" i="73" s="1"/>
  <c r="Q69" i="73" s="1"/>
  <c r="P132" i="73"/>
  <c r="O132" i="73"/>
  <c r="O100" i="73" s="1"/>
  <c r="N132" i="73"/>
  <c r="M132" i="73"/>
  <c r="L132" i="73"/>
  <c r="K132" i="73"/>
  <c r="J132" i="73"/>
  <c r="I132" i="73"/>
  <c r="AI131" i="73"/>
  <c r="AH131" i="73"/>
  <c r="AG131" i="73"/>
  <c r="AF131" i="73"/>
  <c r="AF99" i="73" s="1"/>
  <c r="AF68" i="73" s="1"/>
  <c r="AE131" i="73"/>
  <c r="AD131" i="73"/>
  <c r="AC131" i="73"/>
  <c r="AB131" i="73"/>
  <c r="AB99" i="73" s="1"/>
  <c r="AB68" i="73" s="1"/>
  <c r="AA131" i="73"/>
  <c r="AA99" i="73" s="1"/>
  <c r="AA68" i="73" s="1"/>
  <c r="Z131" i="73"/>
  <c r="Z99" i="73" s="1"/>
  <c r="Z68" i="73" s="1"/>
  <c r="Y131" i="73"/>
  <c r="Y99" i="73" s="1"/>
  <c r="Y68" i="73" s="1"/>
  <c r="F487" i="73" s="1"/>
  <c r="X131" i="73"/>
  <c r="W131" i="73"/>
  <c r="V131" i="73"/>
  <c r="U131" i="73"/>
  <c r="T131" i="73"/>
  <c r="T99" i="73" s="1"/>
  <c r="T68" i="73" s="1"/>
  <c r="S131" i="73"/>
  <c r="R131" i="73"/>
  <c r="Q131" i="73"/>
  <c r="P131" i="73"/>
  <c r="O131" i="73"/>
  <c r="N131" i="73"/>
  <c r="M131" i="73"/>
  <c r="L131" i="73"/>
  <c r="K131" i="73"/>
  <c r="J131" i="73"/>
  <c r="I131" i="73"/>
  <c r="AI130" i="73"/>
  <c r="AI98" i="73" s="1"/>
  <c r="AI67" i="73" s="1"/>
  <c r="AH130" i="73"/>
  <c r="AG130" i="73"/>
  <c r="AF130" i="73"/>
  <c r="AE130" i="73"/>
  <c r="AD130" i="73"/>
  <c r="AC130" i="73"/>
  <c r="AC98" i="73" s="1"/>
  <c r="AC67" i="73" s="1"/>
  <c r="AB130" i="73"/>
  <c r="AA130" i="73"/>
  <c r="AA98" i="73" s="1"/>
  <c r="Z130" i="73"/>
  <c r="Y130" i="73"/>
  <c r="X130" i="73"/>
  <c r="W130" i="73"/>
  <c r="W98" i="73" s="1"/>
  <c r="W67" i="73" s="1"/>
  <c r="V130" i="73"/>
  <c r="U130" i="73"/>
  <c r="T130" i="73"/>
  <c r="S130" i="73"/>
  <c r="R130" i="73"/>
  <c r="Q130" i="73"/>
  <c r="P130" i="73"/>
  <c r="P98" i="73" s="1"/>
  <c r="P67" i="73" s="1"/>
  <c r="O130" i="73"/>
  <c r="O98" i="73" s="1"/>
  <c r="O67" i="73" s="1"/>
  <c r="N130" i="73"/>
  <c r="M130" i="73"/>
  <c r="L130" i="73"/>
  <c r="K130" i="73"/>
  <c r="J130" i="73"/>
  <c r="I130" i="73"/>
  <c r="AI129" i="73"/>
  <c r="AH129" i="73"/>
  <c r="AH97" i="73" s="1"/>
  <c r="AH66" i="73" s="1"/>
  <c r="AG129" i="73"/>
  <c r="AF129" i="73"/>
  <c r="AE129" i="73"/>
  <c r="AE97" i="73" s="1"/>
  <c r="AD129" i="73"/>
  <c r="AC129" i="73"/>
  <c r="AB129" i="73"/>
  <c r="AA129" i="73"/>
  <c r="Z129" i="73"/>
  <c r="Y129" i="73"/>
  <c r="X129" i="73"/>
  <c r="W129" i="73"/>
  <c r="V129" i="73"/>
  <c r="V97" i="73" s="1"/>
  <c r="V66" i="73" s="1"/>
  <c r="U129" i="73"/>
  <c r="T129" i="73"/>
  <c r="T97" i="73" s="1"/>
  <c r="T66" i="73" s="1"/>
  <c r="S129" i="73"/>
  <c r="S97" i="73" s="1"/>
  <c r="S66" i="73" s="1"/>
  <c r="R129" i="73"/>
  <c r="Q129" i="73"/>
  <c r="P129" i="73"/>
  <c r="O129" i="73"/>
  <c r="N129" i="73"/>
  <c r="N97" i="73" s="1"/>
  <c r="N66" i="73" s="1"/>
  <c r="M129" i="73"/>
  <c r="L129" i="73"/>
  <c r="K129" i="73"/>
  <c r="J129" i="73"/>
  <c r="I129" i="73"/>
  <c r="AI128" i="73"/>
  <c r="AI96" i="73" s="1"/>
  <c r="AH128" i="73"/>
  <c r="AH96" i="73" s="1"/>
  <c r="AH65" i="73" s="1"/>
  <c r="AG128" i="73"/>
  <c r="AF128" i="73"/>
  <c r="AE128" i="73"/>
  <c r="AD128" i="73"/>
  <c r="AC128" i="73"/>
  <c r="AC96" i="73" s="1"/>
  <c r="AC65" i="73" s="1"/>
  <c r="AB128" i="73"/>
  <c r="AA128" i="73"/>
  <c r="Z128" i="73"/>
  <c r="Y128" i="73"/>
  <c r="X128" i="73"/>
  <c r="W128" i="73"/>
  <c r="W96" i="73" s="1"/>
  <c r="W65" i="73" s="1"/>
  <c r="V128" i="73"/>
  <c r="V96" i="73" s="1"/>
  <c r="V65" i="73" s="1"/>
  <c r="U128" i="73"/>
  <c r="T128" i="73"/>
  <c r="S128" i="73"/>
  <c r="R128" i="73"/>
  <c r="Q128" i="73"/>
  <c r="Q96" i="73" s="1"/>
  <c r="Q65" i="73" s="1"/>
  <c r="P128" i="73"/>
  <c r="O128" i="73"/>
  <c r="N128" i="73"/>
  <c r="N96" i="73" s="1"/>
  <c r="M128" i="73"/>
  <c r="L128" i="73"/>
  <c r="K128" i="73"/>
  <c r="K96" i="73" s="1"/>
  <c r="J128" i="73"/>
  <c r="I128" i="73"/>
  <c r="AI127" i="73"/>
  <c r="AH127" i="73"/>
  <c r="AG127" i="73"/>
  <c r="AF127" i="73"/>
  <c r="AE127" i="73"/>
  <c r="AD127" i="73"/>
  <c r="AD95" i="73" s="1"/>
  <c r="AC127" i="73"/>
  <c r="AB127" i="73"/>
  <c r="AA127" i="73"/>
  <c r="Z127" i="73"/>
  <c r="Y127" i="73"/>
  <c r="X127" i="73"/>
  <c r="W127" i="73"/>
  <c r="V127" i="73"/>
  <c r="U127" i="73"/>
  <c r="T127" i="73"/>
  <c r="S127" i="73"/>
  <c r="R127" i="73"/>
  <c r="R95" i="73" s="1"/>
  <c r="Q127" i="73"/>
  <c r="Q95" i="73" s="1"/>
  <c r="P127" i="73"/>
  <c r="O127" i="73"/>
  <c r="N127" i="73"/>
  <c r="N95" i="73" s="1"/>
  <c r="N64" i="73" s="1"/>
  <c r="M127" i="73"/>
  <c r="M95" i="73" s="1"/>
  <c r="M64" i="73" s="1"/>
  <c r="L127" i="73"/>
  <c r="K127" i="73"/>
  <c r="J127" i="73"/>
  <c r="I127" i="73"/>
  <c r="AI126" i="73"/>
  <c r="AI94" i="73" s="1"/>
  <c r="AI63" i="73" s="1"/>
  <c r="AH126" i="73"/>
  <c r="AG126" i="73"/>
  <c r="AF126" i="73"/>
  <c r="AE126" i="73"/>
  <c r="AD126" i="73"/>
  <c r="AC126" i="73"/>
  <c r="AB126" i="73"/>
  <c r="AB94" i="73" s="1"/>
  <c r="AB63" i="73" s="1"/>
  <c r="AA126" i="73"/>
  <c r="Z126" i="73"/>
  <c r="Y126" i="73"/>
  <c r="X126" i="73"/>
  <c r="W126" i="73"/>
  <c r="W94" i="73" s="1"/>
  <c r="W63" i="73" s="1"/>
  <c r="F350" i="73" s="1"/>
  <c r="V126" i="73"/>
  <c r="U126" i="73"/>
  <c r="U94" i="73" s="1"/>
  <c r="U63" i="73" s="1"/>
  <c r="T126" i="73"/>
  <c r="T94" i="73" s="1"/>
  <c r="T63" i="73" s="1"/>
  <c r="F347" i="73" s="1"/>
  <c r="S126" i="73"/>
  <c r="R126" i="73"/>
  <c r="Q126" i="73"/>
  <c r="Q94" i="73" s="1"/>
  <c r="Q63" i="73" s="1"/>
  <c r="P126" i="73"/>
  <c r="P94" i="73" s="1"/>
  <c r="P63" i="73" s="1"/>
  <c r="O126" i="73"/>
  <c r="O94" i="73" s="1"/>
  <c r="N126" i="73"/>
  <c r="M126" i="73"/>
  <c r="L126" i="73"/>
  <c r="K126" i="73"/>
  <c r="K94" i="73" s="1"/>
  <c r="K63" i="73" s="1"/>
  <c r="J126" i="73"/>
  <c r="I126" i="73"/>
  <c r="I94" i="73" s="1"/>
  <c r="I63" i="73" s="1"/>
  <c r="AH125" i="73"/>
  <c r="AH93" i="73" s="1"/>
  <c r="AG125" i="73"/>
  <c r="AF125" i="73"/>
  <c r="AE125" i="73"/>
  <c r="AD125" i="73"/>
  <c r="AC125" i="73"/>
  <c r="AB125" i="73"/>
  <c r="AA125" i="73"/>
  <c r="Z125" i="73"/>
  <c r="Y125" i="73"/>
  <c r="Y93" i="73" s="1"/>
  <c r="Y62" i="73" s="1"/>
  <c r="X125" i="73"/>
  <c r="X93" i="73" s="1"/>
  <c r="W125" i="73"/>
  <c r="W93" i="73" s="1"/>
  <c r="W62" i="73" s="1"/>
  <c r="F324" i="73" s="1"/>
  <c r="V125" i="73"/>
  <c r="U125" i="73"/>
  <c r="T125" i="73"/>
  <c r="S125" i="73"/>
  <c r="S93" i="73" s="1"/>
  <c r="S62" i="73" s="1"/>
  <c r="F320" i="73" s="1"/>
  <c r="R125" i="73"/>
  <c r="R93" i="73" s="1"/>
  <c r="R62" i="73" s="1"/>
  <c r="Q125" i="73"/>
  <c r="P125" i="73"/>
  <c r="O125" i="73"/>
  <c r="N125" i="73"/>
  <c r="M125" i="73"/>
  <c r="M93" i="73" s="1"/>
  <c r="M62" i="73" s="1"/>
  <c r="L125" i="73"/>
  <c r="K125" i="73"/>
  <c r="J125" i="73"/>
  <c r="I125" i="73"/>
  <c r="AG124" i="73"/>
  <c r="AF124" i="73"/>
  <c r="AF92" i="73" s="1"/>
  <c r="AF61" i="73" s="1"/>
  <c r="AE124" i="73"/>
  <c r="AD124" i="73"/>
  <c r="AC124" i="73"/>
  <c r="AB124" i="73"/>
  <c r="AA124" i="73"/>
  <c r="Z124" i="73"/>
  <c r="Z92" i="73" s="1"/>
  <c r="Z61" i="73" s="1"/>
  <c r="Y124" i="73"/>
  <c r="X124" i="73"/>
  <c r="X92" i="73" s="1"/>
  <c r="W124" i="73"/>
  <c r="V124" i="73"/>
  <c r="U124" i="73"/>
  <c r="T124" i="73"/>
  <c r="S124" i="73"/>
  <c r="R124" i="73"/>
  <c r="Q124" i="73"/>
  <c r="P124" i="73"/>
  <c r="O124" i="73"/>
  <c r="N124" i="73"/>
  <c r="N92" i="73" s="1"/>
  <c r="N61" i="73" s="1"/>
  <c r="M124" i="73"/>
  <c r="M92" i="73" s="1"/>
  <c r="M61" i="73" s="1"/>
  <c r="L124" i="73"/>
  <c r="L92" i="73" s="1"/>
  <c r="K124" i="73"/>
  <c r="J124" i="73"/>
  <c r="I124" i="73"/>
  <c r="AF123" i="73"/>
  <c r="AF91" i="73" s="1"/>
  <c r="AF60" i="73" s="1"/>
  <c r="AE123" i="73"/>
  <c r="AD123" i="73"/>
  <c r="AC123" i="73"/>
  <c r="AB123" i="73"/>
  <c r="AA123" i="73"/>
  <c r="Z123" i="73"/>
  <c r="Z91" i="73" s="1"/>
  <c r="Z60" i="73" s="1"/>
  <c r="Y123" i="73"/>
  <c r="Y91" i="73" s="1"/>
  <c r="X123" i="73"/>
  <c r="X91" i="73" s="1"/>
  <c r="W123" i="73"/>
  <c r="V123" i="73"/>
  <c r="U123" i="73"/>
  <c r="T123" i="73"/>
  <c r="S123" i="73"/>
  <c r="S91" i="73" s="1"/>
  <c r="S60" i="73" s="1"/>
  <c r="F271" i="73" s="1"/>
  <c r="R123" i="73"/>
  <c r="Q123" i="73"/>
  <c r="P123" i="73"/>
  <c r="O123" i="73"/>
  <c r="N123" i="73"/>
  <c r="N91" i="73" s="1"/>
  <c r="N60" i="73" s="1"/>
  <c r="M123" i="73"/>
  <c r="M91" i="73" s="1"/>
  <c r="L123" i="73"/>
  <c r="L91" i="73" s="1"/>
  <c r="L60" i="73" s="1"/>
  <c r="K123" i="73"/>
  <c r="J123" i="73"/>
  <c r="I123" i="73"/>
  <c r="AE122" i="73"/>
  <c r="AD122" i="73"/>
  <c r="AD90" i="73" s="1"/>
  <c r="AD59" i="73" s="1"/>
  <c r="AC122" i="73"/>
  <c r="AC90" i="73" s="1"/>
  <c r="AC59" i="73" s="1"/>
  <c r="AB122" i="73"/>
  <c r="AA122" i="73"/>
  <c r="Z122" i="73"/>
  <c r="Y122" i="73"/>
  <c r="Y90" i="73" s="1"/>
  <c r="Y59" i="73" s="1"/>
  <c r="X122" i="73"/>
  <c r="X90" i="73" s="1"/>
  <c r="X59" i="73" s="1"/>
  <c r="W122" i="73"/>
  <c r="W90" i="73" s="1"/>
  <c r="W59" i="73" s="1"/>
  <c r="V122" i="73"/>
  <c r="U122" i="73"/>
  <c r="T122" i="73"/>
  <c r="S122" i="73"/>
  <c r="R122" i="73"/>
  <c r="R90" i="73" s="1"/>
  <c r="R59" i="73" s="1"/>
  <c r="Q122" i="73"/>
  <c r="Q90" i="73" s="1"/>
  <c r="Q59" i="73" s="1"/>
  <c r="F246" i="73" s="1"/>
  <c r="P122" i="73"/>
  <c r="O122" i="73"/>
  <c r="N122" i="73"/>
  <c r="M122" i="73"/>
  <c r="M90" i="73" s="1"/>
  <c r="M59" i="73" s="1"/>
  <c r="L122" i="73"/>
  <c r="K122" i="73"/>
  <c r="J122" i="73"/>
  <c r="I122" i="73"/>
  <c r="AD121" i="73"/>
  <c r="AC121" i="73"/>
  <c r="AB121" i="73"/>
  <c r="AB89" i="73" s="1"/>
  <c r="AB58" i="73" s="1"/>
  <c r="AA121" i="73"/>
  <c r="Z121" i="73"/>
  <c r="Y121" i="73"/>
  <c r="X121" i="73"/>
  <c r="W121" i="73"/>
  <c r="V121" i="73"/>
  <c r="U121" i="73"/>
  <c r="T121" i="73"/>
  <c r="S121" i="73"/>
  <c r="R121" i="73"/>
  <c r="Q121" i="73"/>
  <c r="P121" i="73"/>
  <c r="P89" i="73" s="1"/>
  <c r="P58" i="73" s="1"/>
  <c r="O121" i="73"/>
  <c r="N121" i="73"/>
  <c r="M121" i="73"/>
  <c r="L121" i="73"/>
  <c r="K121" i="73"/>
  <c r="K89" i="73" s="1"/>
  <c r="K58" i="73" s="1"/>
  <c r="J121" i="73"/>
  <c r="I121" i="73"/>
  <c r="I89" i="73" s="1"/>
  <c r="AC120" i="73"/>
  <c r="AB120" i="73"/>
  <c r="AA120" i="73"/>
  <c r="Z120" i="73"/>
  <c r="Z88" i="73" s="1"/>
  <c r="Z57" i="73" s="1"/>
  <c r="Y120" i="73"/>
  <c r="X120" i="73"/>
  <c r="W120" i="73"/>
  <c r="V120" i="73"/>
  <c r="U120" i="73"/>
  <c r="T120" i="73"/>
  <c r="T88" i="73" s="1"/>
  <c r="T57" i="73" s="1"/>
  <c r="S120" i="73"/>
  <c r="S88" i="73" s="1"/>
  <c r="S57" i="73" s="1"/>
  <c r="R120" i="73"/>
  <c r="Q120" i="73"/>
  <c r="P120" i="73"/>
  <c r="O120" i="73"/>
  <c r="N120" i="73"/>
  <c r="N88" i="73" s="1"/>
  <c r="N57" i="73" s="1"/>
  <c r="M120" i="73"/>
  <c r="M88" i="73" s="1"/>
  <c r="M57" i="73" s="1"/>
  <c r="L120" i="73"/>
  <c r="K120" i="73"/>
  <c r="J120" i="73"/>
  <c r="I120" i="73"/>
  <c r="AB119" i="73"/>
  <c r="AB87" i="73" s="1"/>
  <c r="AB56" i="73" s="1"/>
  <c r="AA119" i="73"/>
  <c r="Z119" i="73"/>
  <c r="Y119" i="73"/>
  <c r="X119" i="73"/>
  <c r="W119" i="73"/>
  <c r="V119" i="73"/>
  <c r="U119" i="73"/>
  <c r="U87" i="73" s="1"/>
  <c r="U56" i="73" s="1"/>
  <c r="T119" i="73"/>
  <c r="S119" i="73"/>
  <c r="R119" i="73"/>
  <c r="Q119" i="73"/>
  <c r="P119" i="73"/>
  <c r="P87" i="73" s="1"/>
  <c r="P56" i="73" s="1"/>
  <c r="O119" i="73"/>
  <c r="N119" i="73"/>
  <c r="N87" i="73" s="1"/>
  <c r="N56" i="73" s="1"/>
  <c r="M119" i="73"/>
  <c r="L119" i="73"/>
  <c r="K119" i="73"/>
  <c r="J119" i="73"/>
  <c r="J87" i="73" s="1"/>
  <c r="J56" i="73" s="1"/>
  <c r="I119" i="73"/>
  <c r="I87" i="73" s="1"/>
  <c r="I56" i="73" s="1"/>
  <c r="AA118" i="73"/>
  <c r="AA86" i="73" s="1"/>
  <c r="AA55" i="73" s="1"/>
  <c r="Z118" i="73"/>
  <c r="Y118" i="73"/>
  <c r="X118" i="73"/>
  <c r="W118" i="73"/>
  <c r="V118" i="73"/>
  <c r="V86" i="73" s="1"/>
  <c r="V55" i="73" s="1"/>
  <c r="U118" i="73"/>
  <c r="T118" i="73"/>
  <c r="S118" i="73"/>
  <c r="R118" i="73"/>
  <c r="Q118" i="73"/>
  <c r="P118" i="73"/>
  <c r="P86" i="73" s="1"/>
  <c r="P55" i="73" s="1"/>
  <c r="O118" i="73"/>
  <c r="O86" i="73" s="1"/>
  <c r="O55" i="73" s="1"/>
  <c r="N118" i="73"/>
  <c r="M118" i="73"/>
  <c r="L118" i="73"/>
  <c r="K118" i="73"/>
  <c r="K86" i="73" s="1"/>
  <c r="K55" i="73" s="1"/>
  <c r="J118" i="73"/>
  <c r="I118" i="73"/>
  <c r="Z117" i="73"/>
  <c r="Y117" i="73"/>
  <c r="X117" i="73"/>
  <c r="W117" i="73"/>
  <c r="V117" i="73"/>
  <c r="V85" i="73" s="1"/>
  <c r="U117" i="73"/>
  <c r="U85" i="73" s="1"/>
  <c r="U54" i="73" s="1"/>
  <c r="T117" i="73"/>
  <c r="S117" i="73"/>
  <c r="R117" i="73"/>
  <c r="Q117" i="73"/>
  <c r="Q85" i="73" s="1"/>
  <c r="Q54" i="73" s="1"/>
  <c r="P117" i="73"/>
  <c r="O117" i="73"/>
  <c r="N117" i="73"/>
  <c r="M117" i="73"/>
  <c r="L117" i="73"/>
  <c r="K117" i="73"/>
  <c r="J117" i="73"/>
  <c r="J85" i="73" s="1"/>
  <c r="J54" i="73" s="1"/>
  <c r="I117" i="73"/>
  <c r="I85" i="73" s="1"/>
  <c r="I54" i="73" s="1"/>
  <c r="Y116" i="73"/>
  <c r="Y84" i="73" s="1"/>
  <c r="Y53" i="73" s="1"/>
  <c r="X116" i="73"/>
  <c r="W116" i="73"/>
  <c r="V116" i="73"/>
  <c r="V84" i="73" s="1"/>
  <c r="V53" i="73" s="1"/>
  <c r="U116" i="73"/>
  <c r="T116" i="73"/>
  <c r="S116" i="73"/>
  <c r="R116" i="73"/>
  <c r="Q116" i="73"/>
  <c r="P116" i="73"/>
  <c r="P84" i="73" s="1"/>
  <c r="P53" i="73" s="1"/>
  <c r="O116" i="73"/>
  <c r="O84" i="73" s="1"/>
  <c r="O53" i="73" s="1"/>
  <c r="N116" i="73"/>
  <c r="N84" i="73" s="1"/>
  <c r="N53" i="73" s="1"/>
  <c r="M116" i="73"/>
  <c r="L116" i="73"/>
  <c r="K116" i="73"/>
  <c r="J116" i="73"/>
  <c r="J84" i="73" s="1"/>
  <c r="J53" i="73" s="1"/>
  <c r="I116" i="73"/>
  <c r="X115" i="73"/>
  <c r="X83" i="73" s="1"/>
  <c r="X52" i="73" s="1"/>
  <c r="W115" i="73"/>
  <c r="V115" i="73"/>
  <c r="U115" i="73"/>
  <c r="T115" i="73"/>
  <c r="T83" i="73" s="1"/>
  <c r="T52" i="73" s="1"/>
  <c r="S115" i="73"/>
  <c r="S83" i="73" s="1"/>
  <c r="S52" i="73" s="1"/>
  <c r="AV52" i="73" s="1"/>
  <c r="R115" i="73"/>
  <c r="R83" i="73" s="1"/>
  <c r="R52" i="73" s="1"/>
  <c r="Q115" i="73"/>
  <c r="Q83" i="73" s="1"/>
  <c r="Q52" i="73" s="1"/>
  <c r="P115" i="73"/>
  <c r="O115" i="73"/>
  <c r="N115" i="73"/>
  <c r="N83" i="73" s="1"/>
  <c r="N52" i="73" s="1"/>
  <c r="M115" i="73"/>
  <c r="M83" i="73" s="1"/>
  <c r="L115" i="73"/>
  <c r="L83" i="73" s="1"/>
  <c r="K115" i="73"/>
  <c r="J115" i="73"/>
  <c r="I115" i="73"/>
  <c r="W114" i="73"/>
  <c r="W82" i="73" s="1"/>
  <c r="W51" i="73" s="1"/>
  <c r="V114" i="73"/>
  <c r="V82" i="73" s="1"/>
  <c r="V51" i="73" s="1"/>
  <c r="U114" i="73"/>
  <c r="U82" i="73" s="1"/>
  <c r="U51" i="73" s="1"/>
  <c r="T114" i="73"/>
  <c r="S114" i="73"/>
  <c r="R114" i="73"/>
  <c r="Q114" i="73"/>
  <c r="Q82" i="73" s="1"/>
  <c r="Q51" i="73" s="1"/>
  <c r="P114" i="73"/>
  <c r="O114" i="73"/>
  <c r="O82" i="73" s="1"/>
  <c r="O51" i="73" s="1"/>
  <c r="N114" i="73"/>
  <c r="M114" i="73"/>
  <c r="L114" i="73"/>
  <c r="K114" i="73"/>
  <c r="J114" i="73"/>
  <c r="J82" i="73" s="1"/>
  <c r="J51" i="73" s="1"/>
  <c r="I114" i="73"/>
  <c r="V113" i="73"/>
  <c r="U113" i="73"/>
  <c r="T113" i="73"/>
  <c r="S113" i="73"/>
  <c r="S81" i="73" s="1"/>
  <c r="S50" i="73" s="1"/>
  <c r="R113" i="73"/>
  <c r="R81" i="73" s="1"/>
  <c r="Q113" i="73"/>
  <c r="P113" i="73"/>
  <c r="O113" i="73"/>
  <c r="N113" i="73"/>
  <c r="M113" i="73"/>
  <c r="M81" i="73" s="1"/>
  <c r="M50" i="73" s="1"/>
  <c r="L113" i="73"/>
  <c r="K113" i="73"/>
  <c r="J113" i="73"/>
  <c r="I113" i="73"/>
  <c r="U112" i="73"/>
  <c r="T112" i="73"/>
  <c r="T80" i="73" s="1"/>
  <c r="T49" i="73" s="1"/>
  <c r="S112" i="73"/>
  <c r="R112" i="73"/>
  <c r="R80" i="73" s="1"/>
  <c r="Q112" i="73"/>
  <c r="P112" i="73"/>
  <c r="O112" i="73"/>
  <c r="N112" i="73"/>
  <c r="N80" i="73" s="1"/>
  <c r="N49" i="73" s="1"/>
  <c r="M112" i="73"/>
  <c r="L112" i="73"/>
  <c r="L80" i="73" s="1"/>
  <c r="L49" i="73" s="1"/>
  <c r="K112" i="73"/>
  <c r="J112" i="73"/>
  <c r="I112" i="73"/>
  <c r="T111" i="73"/>
  <c r="S111" i="73"/>
  <c r="R111" i="73"/>
  <c r="Q111" i="73"/>
  <c r="P111" i="73"/>
  <c r="O111" i="73"/>
  <c r="N111" i="73"/>
  <c r="M111" i="73"/>
  <c r="L111" i="73"/>
  <c r="K111" i="73"/>
  <c r="J111" i="73"/>
  <c r="I111" i="73"/>
  <c r="S110" i="73"/>
  <c r="S78" i="73" s="1"/>
  <c r="S47" i="73" s="1"/>
  <c r="R110" i="73"/>
  <c r="R78" i="73" s="1"/>
  <c r="Q110" i="73"/>
  <c r="P110" i="73"/>
  <c r="O110" i="73"/>
  <c r="N110" i="73"/>
  <c r="M110" i="73"/>
  <c r="L110" i="73"/>
  <c r="K110" i="73"/>
  <c r="J110" i="73"/>
  <c r="I110" i="73"/>
  <c r="R109" i="73"/>
  <c r="Q109" i="73"/>
  <c r="Q77" i="73" s="1"/>
  <c r="Q46" i="73" s="1"/>
  <c r="P109" i="73"/>
  <c r="P77" i="73" s="1"/>
  <c r="O109" i="73"/>
  <c r="N109" i="73"/>
  <c r="M109" i="73"/>
  <c r="L109" i="73"/>
  <c r="K109" i="73"/>
  <c r="K77" i="73" s="1"/>
  <c r="K46" i="73" s="1"/>
  <c r="J109" i="73"/>
  <c r="J77" i="73" s="1"/>
  <c r="J46" i="73" s="1"/>
  <c r="I109" i="73"/>
  <c r="Q108" i="73"/>
  <c r="P108" i="73"/>
  <c r="O108" i="73"/>
  <c r="N108" i="73"/>
  <c r="N76" i="73" s="1"/>
  <c r="N45" i="73" s="1"/>
  <c r="M108" i="73"/>
  <c r="M76" i="73" s="1"/>
  <c r="M45" i="73" s="1"/>
  <c r="L108" i="73"/>
  <c r="L76" i="73" s="1"/>
  <c r="L45" i="73" s="1"/>
  <c r="K108" i="73"/>
  <c r="J108" i="73"/>
  <c r="I108" i="73"/>
  <c r="P107" i="73"/>
  <c r="P75" i="73" s="1"/>
  <c r="P44" i="73" s="1"/>
  <c r="AS44" i="73" s="1"/>
  <c r="O107" i="73"/>
  <c r="N107" i="73"/>
  <c r="M107" i="73"/>
  <c r="L107" i="73"/>
  <c r="K107" i="73"/>
  <c r="J107" i="73"/>
  <c r="J75" i="73" s="1"/>
  <c r="J44" i="73" s="1"/>
  <c r="I107" i="73"/>
  <c r="I75" i="73" s="1"/>
  <c r="O106" i="73"/>
  <c r="O74" i="73" s="1"/>
  <c r="N106" i="73"/>
  <c r="M106" i="73"/>
  <c r="L106" i="73"/>
  <c r="K106" i="73"/>
  <c r="J106" i="73"/>
  <c r="I106" i="73"/>
  <c r="AH104" i="73"/>
  <c r="AH72" i="73" s="1"/>
  <c r="AH41" i="73" s="1"/>
  <c r="AF4" i="73" s="1"/>
  <c r="AE104" i="73"/>
  <c r="AH102" i="73"/>
  <c r="AH71" i="73" s="1"/>
  <c r="AG102" i="73"/>
  <c r="AG71" i="73" s="1"/>
  <c r="AF102" i="73"/>
  <c r="AF71" i="73" s="1"/>
  <c r="AA102" i="73"/>
  <c r="V102" i="73"/>
  <c r="V71" i="73" s="1"/>
  <c r="F565" i="73" s="1"/>
  <c r="U102" i="73"/>
  <c r="U71" i="73" s="1"/>
  <c r="F564" i="73" s="1"/>
  <c r="T102" i="73"/>
  <c r="T71" i="73" s="1"/>
  <c r="F563" i="73" s="1"/>
  <c r="S102" i="73"/>
  <c r="S71" i="73" s="1"/>
  <c r="R102" i="73"/>
  <c r="R71" i="73" s="1"/>
  <c r="P102" i="73"/>
  <c r="P71" i="73" s="1"/>
  <c r="O102" i="73"/>
  <c r="O71" i="73" s="1"/>
  <c r="AR71" i="73" s="1"/>
  <c r="J102" i="73"/>
  <c r="I102" i="73"/>
  <c r="I71" i="73" s="1"/>
  <c r="F552" i="73" s="1"/>
  <c r="AH101" i="73"/>
  <c r="AH70" i="73" s="1"/>
  <c r="AD101" i="73"/>
  <c r="AC101" i="73"/>
  <c r="AC70" i="73" s="1"/>
  <c r="Y101" i="73"/>
  <c r="Y70" i="73" s="1"/>
  <c r="X101" i="73"/>
  <c r="X70" i="73" s="1"/>
  <c r="W101" i="73"/>
  <c r="W70" i="73" s="1"/>
  <c r="V101" i="73"/>
  <c r="V70" i="73" s="1"/>
  <c r="R101" i="73"/>
  <c r="R70" i="73" s="1"/>
  <c r="Q101" i="73"/>
  <c r="M101" i="73"/>
  <c r="L101" i="73"/>
  <c r="K101" i="73"/>
  <c r="K70" i="73" s="1"/>
  <c r="AG100" i="73"/>
  <c r="AG69" i="73" s="1"/>
  <c r="AB100" i="73"/>
  <c r="AA100" i="73"/>
  <c r="Z100" i="73"/>
  <c r="Z69" i="73" s="1"/>
  <c r="T100" i="73"/>
  <c r="T69" i="73" s="1"/>
  <c r="P100" i="73"/>
  <c r="P69" i="73" s="1"/>
  <c r="K100" i="73"/>
  <c r="K69" i="73" s="1"/>
  <c r="J100" i="73"/>
  <c r="I100" i="73"/>
  <c r="I69" i="73" s="1"/>
  <c r="AH99" i="73"/>
  <c r="AH68" i="73" s="1"/>
  <c r="F496" i="73" s="1"/>
  <c r="AD99" i="73"/>
  <c r="AD68" i="73" s="1"/>
  <c r="AC99" i="73"/>
  <c r="AC68" i="73" s="1"/>
  <c r="X99" i="73"/>
  <c r="S99" i="73"/>
  <c r="Q99" i="73"/>
  <c r="P99" i="73"/>
  <c r="P68" i="73" s="1"/>
  <c r="O99" i="73"/>
  <c r="O68" i="73" s="1"/>
  <c r="N99" i="73"/>
  <c r="N68" i="73" s="1"/>
  <c r="M99" i="73"/>
  <c r="M68" i="73" s="1"/>
  <c r="L99" i="73"/>
  <c r="L68" i="73" s="1"/>
  <c r="AH98" i="73"/>
  <c r="AH67" i="73" s="1"/>
  <c r="AF98" i="73"/>
  <c r="AB98" i="73"/>
  <c r="AB67" i="73" s="1"/>
  <c r="Z98" i="73"/>
  <c r="Z67" i="73" s="1"/>
  <c r="V98" i="73"/>
  <c r="U98" i="73"/>
  <c r="U67" i="73" s="1"/>
  <c r="S98" i="73"/>
  <c r="S67" i="73" s="1"/>
  <c r="AI97" i="73"/>
  <c r="AD97" i="73"/>
  <c r="AD66" i="73" s="1"/>
  <c r="AC97" i="73"/>
  <c r="Y97" i="73"/>
  <c r="Y66" i="73" s="1"/>
  <c r="X97" i="73"/>
  <c r="X66" i="73" s="1"/>
  <c r="W97" i="73"/>
  <c r="W66" i="73" s="1"/>
  <c r="R97" i="73"/>
  <c r="R66" i="73" s="1"/>
  <c r="P97" i="73"/>
  <c r="P66" i="73" s="1"/>
  <c r="L97" i="73"/>
  <c r="L66" i="73" s="1"/>
  <c r="K97" i="73"/>
  <c r="K66" i="73" s="1"/>
  <c r="J97" i="73"/>
  <c r="J66" i="73" s="1"/>
  <c r="AG96" i="73"/>
  <c r="AF96" i="73"/>
  <c r="AF65" i="73" s="1"/>
  <c r="AA96" i="73"/>
  <c r="AA65" i="73" s="1"/>
  <c r="Z96" i="73"/>
  <c r="Y96" i="73"/>
  <c r="Y65" i="73" s="1"/>
  <c r="F406" i="73" s="1"/>
  <c r="X96" i="73"/>
  <c r="X65" i="73" s="1"/>
  <c r="U96" i="73"/>
  <c r="U65" i="73" s="1"/>
  <c r="F402" i="73" s="1"/>
  <c r="P96" i="73"/>
  <c r="P65" i="73" s="1"/>
  <c r="O96" i="73"/>
  <c r="O65" i="73" s="1"/>
  <c r="M96" i="73"/>
  <c r="L96" i="73"/>
  <c r="L65" i="73" s="1"/>
  <c r="J96" i="73"/>
  <c r="I96" i="73"/>
  <c r="I65" i="73" s="1"/>
  <c r="AE95" i="73"/>
  <c r="AE64" i="73" s="1"/>
  <c r="AC95" i="73"/>
  <c r="AC64" i="73" s="1"/>
  <c r="Y95" i="73"/>
  <c r="Y64" i="73" s="1"/>
  <c r="X95" i="73"/>
  <c r="X64" i="73" s="1"/>
  <c r="S95" i="73"/>
  <c r="S64" i="73" s="1"/>
  <c r="P95" i="73"/>
  <c r="P64" i="73" s="1"/>
  <c r="L95" i="73"/>
  <c r="L64" i="73" s="1"/>
  <c r="AH94" i="73"/>
  <c r="AG94" i="73"/>
  <c r="AG63" i="73" s="1"/>
  <c r="AD94" i="73"/>
  <c r="AD63" i="73" s="1"/>
  <c r="AC94" i="73"/>
  <c r="AC63" i="73" s="1"/>
  <c r="AA94" i="73"/>
  <c r="AA63" i="73" s="1"/>
  <c r="Y94" i="73"/>
  <c r="Y63" i="73" s="1"/>
  <c r="V94" i="73"/>
  <c r="J94" i="73"/>
  <c r="AG93" i="73"/>
  <c r="AF93" i="73"/>
  <c r="AE93" i="73"/>
  <c r="AE62" i="73" s="1"/>
  <c r="AD93" i="73"/>
  <c r="AD62" i="73" s="1"/>
  <c r="AC93" i="73"/>
  <c r="AC62" i="73" s="1"/>
  <c r="Z93" i="73"/>
  <c r="Z62" i="73" s="1"/>
  <c r="Q93" i="73"/>
  <c r="Q62" i="73" s="1"/>
  <c r="L93" i="73"/>
  <c r="L62" i="73" s="1"/>
  <c r="K93" i="73"/>
  <c r="K62" i="73" s="1"/>
  <c r="AD92" i="73"/>
  <c r="AD61" i="73" s="1"/>
  <c r="Y92" i="73"/>
  <c r="Y61" i="73" s="1"/>
  <c r="W92" i="73"/>
  <c r="W61" i="73" s="1"/>
  <c r="R92" i="73"/>
  <c r="K92" i="73"/>
  <c r="K61" i="73" s="1"/>
  <c r="W91" i="73"/>
  <c r="W60" i="73" s="1"/>
  <c r="V91" i="73"/>
  <c r="U91" i="73"/>
  <c r="K91" i="73"/>
  <c r="K60" i="73" s="1"/>
  <c r="J91" i="73"/>
  <c r="J60" i="73" s="1"/>
  <c r="I91" i="73"/>
  <c r="I60" i="73" s="1"/>
  <c r="V90" i="73"/>
  <c r="V59" i="73" s="1"/>
  <c r="U90" i="73"/>
  <c r="U59" i="73" s="1"/>
  <c r="L90" i="73"/>
  <c r="L59" i="73" s="1"/>
  <c r="K90" i="73"/>
  <c r="K59" i="73" s="1"/>
  <c r="AD89" i="73"/>
  <c r="AD58" i="73" s="1"/>
  <c r="AC89" i="73"/>
  <c r="AC58" i="73" s="1"/>
  <c r="AA89" i="73"/>
  <c r="AA58" i="73" s="1"/>
  <c r="W89" i="73"/>
  <c r="W58" i="73" s="1"/>
  <c r="V89" i="73"/>
  <c r="U89" i="73"/>
  <c r="U58" i="73" s="1"/>
  <c r="T89" i="73"/>
  <c r="T58" i="73" s="1"/>
  <c r="O89" i="73"/>
  <c r="O58" i="73" s="1"/>
  <c r="J89" i="73"/>
  <c r="AB88" i="73"/>
  <c r="AB57" i="73" s="1"/>
  <c r="Y88" i="73"/>
  <c r="Y57" i="73" s="1"/>
  <c r="X88" i="73"/>
  <c r="X57" i="73" s="1"/>
  <c r="R88" i="73"/>
  <c r="R57" i="73" s="1"/>
  <c r="F204" i="73" s="1"/>
  <c r="L88" i="73"/>
  <c r="L57" i="73" s="1"/>
  <c r="AA87" i="73"/>
  <c r="Z87" i="73"/>
  <c r="Z56" i="73" s="1"/>
  <c r="X87" i="73"/>
  <c r="X56" i="73" s="1"/>
  <c r="W87" i="73"/>
  <c r="W56" i="73" s="1"/>
  <c r="V87" i="73"/>
  <c r="V56" i="73" s="1"/>
  <c r="T87" i="73"/>
  <c r="T56" i="73" s="1"/>
  <c r="O87" i="73"/>
  <c r="O56" i="73" s="1"/>
  <c r="U86" i="73"/>
  <c r="U55" i="73" s="1"/>
  <c r="T86" i="73"/>
  <c r="T55" i="73" s="1"/>
  <c r="I86" i="73"/>
  <c r="I55" i="73" s="1"/>
  <c r="Z85" i="73"/>
  <c r="W85" i="73"/>
  <c r="W54" i="73" s="1"/>
  <c r="O85" i="73"/>
  <c r="O54" i="73" s="1"/>
  <c r="N85" i="73"/>
  <c r="N54" i="73" s="1"/>
  <c r="F143" i="73" s="1"/>
  <c r="T84" i="73"/>
  <c r="T53" i="73" s="1"/>
  <c r="Q84" i="73"/>
  <c r="M84" i="73"/>
  <c r="M53" i="73" s="1"/>
  <c r="I84" i="73"/>
  <c r="K83" i="73"/>
  <c r="K52" i="73" s="1"/>
  <c r="P82" i="73"/>
  <c r="P51" i="73" s="1"/>
  <c r="N82" i="73"/>
  <c r="N51" i="73" s="1"/>
  <c r="L82" i="73"/>
  <c r="L51" i="73" s="1"/>
  <c r="K82" i="73"/>
  <c r="K51" i="73" s="1"/>
  <c r="V81" i="73"/>
  <c r="V50" i="73" s="1"/>
  <c r="K81" i="73"/>
  <c r="K50" i="73" s="1"/>
  <c r="Q80" i="73"/>
  <c r="Q49" i="73" s="1"/>
  <c r="S79" i="73"/>
  <c r="S48" i="73" s="1"/>
  <c r="R79" i="73"/>
  <c r="R48" i="73" s="1"/>
  <c r="Q79" i="73"/>
  <c r="Q48" i="73" s="1"/>
  <c r="N79" i="73"/>
  <c r="N48" i="73" s="1"/>
  <c r="L79" i="73"/>
  <c r="K79" i="73"/>
  <c r="Q78" i="73"/>
  <c r="Q47" i="73" s="1"/>
  <c r="M78" i="73"/>
  <c r="M47" i="73" s="1"/>
  <c r="L78" i="73"/>
  <c r="K78" i="73"/>
  <c r="O77" i="73"/>
  <c r="O46" i="73" s="1"/>
  <c r="N77" i="73"/>
  <c r="N46" i="73" s="1"/>
  <c r="I77" i="73"/>
  <c r="I46" i="73" s="1"/>
  <c r="AL46" i="73" s="1"/>
  <c r="I76" i="73"/>
  <c r="I45" i="73" s="1"/>
  <c r="O75" i="73"/>
  <c r="M75" i="73"/>
  <c r="M44" i="73" s="1"/>
  <c r="AP44" i="73" s="1"/>
  <c r="N74" i="73"/>
  <c r="N43" i="73" s="1"/>
  <c r="I74" i="73"/>
  <c r="I43" i="73" s="1"/>
  <c r="AY71" i="73"/>
  <c r="AM71" i="73"/>
  <c r="AB71" i="73"/>
  <c r="AA71" i="73"/>
  <c r="N71" i="73"/>
  <c r="AQ71" i="73" s="1"/>
  <c r="J71" i="73"/>
  <c r="BG70" i="73"/>
  <c r="AI70" i="73"/>
  <c r="AD70" i="73"/>
  <c r="F546" i="73" s="1"/>
  <c r="Q70" i="73"/>
  <c r="M70" i="73"/>
  <c r="L70" i="73"/>
  <c r="BK69" i="73"/>
  <c r="AB69" i="73"/>
  <c r="AA69" i="73"/>
  <c r="U69" i="73"/>
  <c r="O69" i="73"/>
  <c r="J69" i="73"/>
  <c r="BB68" i="73"/>
  <c r="X68" i="73"/>
  <c r="S68" i="73"/>
  <c r="Q68" i="73"/>
  <c r="AF67" i="73"/>
  <c r="AA67" i="73"/>
  <c r="V67" i="73"/>
  <c r="AI66" i="73"/>
  <c r="F443" i="73" s="1"/>
  <c r="AE66" i="73"/>
  <c r="AC66" i="73"/>
  <c r="AX65" i="73"/>
  <c r="AW65" i="73"/>
  <c r="AI65" i="73"/>
  <c r="AG65" i="73"/>
  <c r="Z65" i="73"/>
  <c r="N65" i="73"/>
  <c r="M65" i="73"/>
  <c r="K65" i="73"/>
  <c r="J65" i="73"/>
  <c r="AI64" i="73"/>
  <c r="AD64" i="73"/>
  <c r="R64" i="73"/>
  <c r="Q64" i="73"/>
  <c r="AW63" i="73"/>
  <c r="AH63" i="73"/>
  <c r="Z63" i="73"/>
  <c r="V63" i="73"/>
  <c r="F349" i="73" s="1"/>
  <c r="R63" i="73"/>
  <c r="F345" i="73" s="1"/>
  <c r="O63" i="73"/>
  <c r="J63" i="73"/>
  <c r="BA62" i="73"/>
  <c r="AZ62" i="73"/>
  <c r="AV62" i="73"/>
  <c r="AI62" i="73"/>
  <c r="BL62" i="73" s="1"/>
  <c r="AH62" i="73"/>
  <c r="AG62" i="73"/>
  <c r="AF62" i="73"/>
  <c r="X62" i="73"/>
  <c r="F325" i="73" s="1"/>
  <c r="I62" i="73"/>
  <c r="BL61" i="73"/>
  <c r="AX61" i="73"/>
  <c r="AI61" i="73"/>
  <c r="AH61" i="73"/>
  <c r="BK61" i="73" s="1"/>
  <c r="AC61" i="73"/>
  <c r="X61" i="73"/>
  <c r="R61" i="73"/>
  <c r="L61" i="73"/>
  <c r="BL60" i="73"/>
  <c r="BK60" i="73"/>
  <c r="BJ60" i="73"/>
  <c r="AI60" i="73"/>
  <c r="AH60" i="73"/>
  <c r="AG60" i="73"/>
  <c r="Y60" i="73"/>
  <c r="X60" i="73"/>
  <c r="V60" i="73"/>
  <c r="U60" i="73"/>
  <c r="P60" i="73"/>
  <c r="M60" i="73"/>
  <c r="BL59" i="73"/>
  <c r="BK59" i="73"/>
  <c r="BJ59" i="73"/>
  <c r="AI59" i="73"/>
  <c r="AH59" i="73"/>
  <c r="AG59" i="73"/>
  <c r="AF59" i="73"/>
  <c r="BI59" i="73" s="1"/>
  <c r="BL58" i="73"/>
  <c r="BJ58" i="73"/>
  <c r="BI58" i="73"/>
  <c r="BH58" i="73"/>
  <c r="AI58" i="73"/>
  <c r="AH58" i="73"/>
  <c r="BK58" i="73" s="1"/>
  <c r="AG58" i="73"/>
  <c r="AF58" i="73"/>
  <c r="AE58" i="73"/>
  <c r="V58" i="73"/>
  <c r="J58" i="73"/>
  <c r="I58" i="73"/>
  <c r="BK57" i="73"/>
  <c r="BH57" i="73"/>
  <c r="BG57" i="73"/>
  <c r="AI57" i="73"/>
  <c r="BL57" i="73" s="1"/>
  <c r="AH57" i="73"/>
  <c r="AG57" i="73"/>
  <c r="BJ57" i="73" s="1"/>
  <c r="AF57" i="73"/>
  <c r="BI57" i="73" s="1"/>
  <c r="AE57" i="73"/>
  <c r="AD57" i="73"/>
  <c r="BK56" i="73"/>
  <c r="BJ56" i="73"/>
  <c r="BH56" i="73"/>
  <c r="BG56" i="73"/>
  <c r="AI56" i="73"/>
  <c r="BL56" i="73" s="1"/>
  <c r="AH56" i="73"/>
  <c r="AG56" i="73"/>
  <c r="AF56" i="73"/>
  <c r="BI56" i="73" s="1"/>
  <c r="AE56" i="73"/>
  <c r="AD56" i="73"/>
  <c r="AC56" i="73"/>
  <c r="BF56" i="73" s="1"/>
  <c r="AA56" i="73"/>
  <c r="L56" i="73"/>
  <c r="BK55" i="73"/>
  <c r="BJ55" i="73"/>
  <c r="AV55" i="73"/>
  <c r="AI55" i="73"/>
  <c r="BL55" i="73" s="1"/>
  <c r="AH55" i="73"/>
  <c r="AG55" i="73"/>
  <c r="AF55" i="73"/>
  <c r="BI55" i="73" s="1"/>
  <c r="AE55" i="73"/>
  <c r="BH55" i="73" s="1"/>
  <c r="AD55" i="73"/>
  <c r="BG55" i="73" s="1"/>
  <c r="AC55" i="73"/>
  <c r="BF55" i="73" s="1"/>
  <c r="AB55" i="73"/>
  <c r="BE55" i="73" s="1"/>
  <c r="BL54" i="73"/>
  <c r="BJ54" i="73"/>
  <c r="BI54" i="73"/>
  <c r="BF54" i="73"/>
  <c r="BD54" i="73"/>
  <c r="AQ54" i="73"/>
  <c r="AI54" i="73"/>
  <c r="AH54" i="73"/>
  <c r="BK54" i="73" s="1"/>
  <c r="AG54" i="73"/>
  <c r="AF54" i="73"/>
  <c r="AE54" i="73"/>
  <c r="BH54" i="73" s="1"/>
  <c r="AD54" i="73"/>
  <c r="BG54" i="73" s="1"/>
  <c r="AC54" i="73"/>
  <c r="AB54" i="73"/>
  <c r="BE54" i="73" s="1"/>
  <c r="AA54" i="73"/>
  <c r="Z54" i="73"/>
  <c r="V54" i="73"/>
  <c r="BH53" i="73"/>
  <c r="BF53" i="73"/>
  <c r="BE53" i="73"/>
  <c r="BD53" i="73"/>
  <c r="AI53" i="73"/>
  <c r="BL53" i="73" s="1"/>
  <c r="AH53" i="73"/>
  <c r="BK53" i="73" s="1"/>
  <c r="AG53" i="73"/>
  <c r="BJ53" i="73" s="1"/>
  <c r="AF53" i="73"/>
  <c r="BI53" i="73" s="1"/>
  <c r="AE53" i="73"/>
  <c r="AD53" i="73"/>
  <c r="BG53" i="73" s="1"/>
  <c r="AC53" i="73"/>
  <c r="AB53" i="73"/>
  <c r="AA53" i="73"/>
  <c r="Z53" i="73"/>
  <c r="BC53" i="73" s="1"/>
  <c r="Q53" i="73"/>
  <c r="I53" i="73"/>
  <c r="BL52" i="73"/>
  <c r="BJ52" i="73"/>
  <c r="BH52" i="73"/>
  <c r="BG52" i="73"/>
  <c r="BF52" i="73"/>
  <c r="BE52" i="73"/>
  <c r="AU52" i="73"/>
  <c r="AI52" i="73"/>
  <c r="AH52" i="73"/>
  <c r="BK52" i="73" s="1"/>
  <c r="AG52" i="73"/>
  <c r="AF52" i="73"/>
  <c r="BI52" i="73" s="1"/>
  <c r="AE52" i="73"/>
  <c r="AD52" i="73"/>
  <c r="AC52" i="73"/>
  <c r="AB52" i="73"/>
  <c r="AA52" i="73"/>
  <c r="BD52" i="73" s="1"/>
  <c r="Z52" i="73"/>
  <c r="BC52" i="73" s="1"/>
  <c r="Y52" i="73"/>
  <c r="BB52" i="73" s="1"/>
  <c r="M52" i="73"/>
  <c r="L52" i="73"/>
  <c r="J52" i="73"/>
  <c r="BH51" i="73"/>
  <c r="BG51" i="73"/>
  <c r="BF51" i="73"/>
  <c r="BE51" i="73"/>
  <c r="BC51" i="73"/>
  <c r="AI51" i="73"/>
  <c r="BL51" i="73" s="1"/>
  <c r="AH51" i="73"/>
  <c r="BK51" i="73" s="1"/>
  <c r="AG51" i="73"/>
  <c r="BJ51" i="73" s="1"/>
  <c r="AF51" i="73"/>
  <c r="BI51" i="73" s="1"/>
  <c r="AE51" i="73"/>
  <c r="AD51" i="73"/>
  <c r="AC51" i="73"/>
  <c r="AB51" i="73"/>
  <c r="AA51" i="73"/>
  <c r="BD51" i="73" s="1"/>
  <c r="Z51" i="73"/>
  <c r="Y51" i="73"/>
  <c r="BB51" i="73" s="1"/>
  <c r="X51" i="73"/>
  <c r="BA51" i="73" s="1"/>
  <c r="BL50" i="73"/>
  <c r="BB50" i="73"/>
  <c r="BA50" i="73"/>
  <c r="AZ50" i="73"/>
  <c r="AI50" i="73"/>
  <c r="AH50" i="73"/>
  <c r="BK50" i="73" s="1"/>
  <c r="AG50" i="73"/>
  <c r="BJ50" i="73" s="1"/>
  <c r="AF50" i="73"/>
  <c r="BI50" i="73" s="1"/>
  <c r="AE50" i="73"/>
  <c r="BH50" i="73" s="1"/>
  <c r="AD50" i="73"/>
  <c r="BG50" i="73" s="1"/>
  <c r="AC50" i="73"/>
  <c r="BF50" i="73" s="1"/>
  <c r="AB50" i="73"/>
  <c r="BE50" i="73" s="1"/>
  <c r="AA50" i="73"/>
  <c r="BD50" i="73" s="1"/>
  <c r="Z50" i="73"/>
  <c r="BC50" i="73" s="1"/>
  <c r="Y50" i="73"/>
  <c r="X50" i="73"/>
  <c r="W50" i="73"/>
  <c r="R50" i="73"/>
  <c r="BL49" i="73"/>
  <c r="BK49" i="73"/>
  <c r="BJ49" i="73"/>
  <c r="BI49" i="73"/>
  <c r="BH49" i="73"/>
  <c r="BG49" i="73"/>
  <c r="BE49" i="73"/>
  <c r="BC49" i="73"/>
  <c r="AI49" i="73"/>
  <c r="AH49" i="73"/>
  <c r="AG49" i="73"/>
  <c r="AF49" i="73"/>
  <c r="AE49" i="73"/>
  <c r="AD49" i="73"/>
  <c r="AC49" i="73"/>
  <c r="BF49" i="73" s="1"/>
  <c r="AB49" i="73"/>
  <c r="AA49" i="73"/>
  <c r="BD49" i="73" s="1"/>
  <c r="Z49" i="73"/>
  <c r="Y49" i="73"/>
  <c r="BB49" i="73" s="1"/>
  <c r="X49" i="73"/>
  <c r="BA49" i="73" s="1"/>
  <c r="W49" i="73"/>
  <c r="AZ49" i="73" s="1"/>
  <c r="V49" i="73"/>
  <c r="AY49" i="73" s="1"/>
  <c r="R49" i="73"/>
  <c r="BI48" i="73"/>
  <c r="BG48" i="73"/>
  <c r="BF48" i="73"/>
  <c r="BD48" i="73"/>
  <c r="BB48" i="73"/>
  <c r="AI48" i="73"/>
  <c r="BL48" i="73" s="1"/>
  <c r="AH48" i="73"/>
  <c r="BK48" i="73" s="1"/>
  <c r="AG48" i="73"/>
  <c r="BJ48" i="73" s="1"/>
  <c r="AF48" i="73"/>
  <c r="AE48" i="73"/>
  <c r="BH48" i="73" s="1"/>
  <c r="AD48" i="73"/>
  <c r="AC48" i="73"/>
  <c r="AB48" i="73"/>
  <c r="BE48" i="73" s="1"/>
  <c r="AA48" i="73"/>
  <c r="Z48" i="73"/>
  <c r="BC48" i="73" s="1"/>
  <c r="Y48" i="73"/>
  <c r="X48" i="73"/>
  <c r="BA48" i="73" s="1"/>
  <c r="W48" i="73"/>
  <c r="AZ48" i="73" s="1"/>
  <c r="V48" i="73"/>
  <c r="AY48" i="73" s="1"/>
  <c r="U48" i="73"/>
  <c r="AX48" i="73" s="1"/>
  <c r="L48" i="73"/>
  <c r="K48" i="73"/>
  <c r="BL47" i="73"/>
  <c r="BK47" i="73"/>
  <c r="BJ47" i="73"/>
  <c r="BD47" i="73"/>
  <c r="BB47" i="73"/>
  <c r="BA47" i="73"/>
  <c r="AZ47" i="73"/>
  <c r="AY47" i="73"/>
  <c r="AX47" i="73"/>
  <c r="AW47" i="73"/>
  <c r="AI47" i="73"/>
  <c r="AH47" i="73"/>
  <c r="AG47" i="73"/>
  <c r="AF47" i="73"/>
  <c r="BI47" i="73" s="1"/>
  <c r="AE47" i="73"/>
  <c r="BH47" i="73" s="1"/>
  <c r="AD47" i="73"/>
  <c r="BG47" i="73" s="1"/>
  <c r="AC47" i="73"/>
  <c r="BF47" i="73" s="1"/>
  <c r="AB47" i="73"/>
  <c r="BE47" i="73" s="1"/>
  <c r="AA47" i="73"/>
  <c r="Z47" i="73"/>
  <c r="BC47" i="73" s="1"/>
  <c r="Y47" i="73"/>
  <c r="X47" i="73"/>
  <c r="W47" i="73"/>
  <c r="V47" i="73"/>
  <c r="U47" i="73"/>
  <c r="T47" i="73"/>
  <c r="R47" i="73"/>
  <c r="L47" i="73"/>
  <c r="K47" i="73"/>
  <c r="BL46" i="73"/>
  <c r="BK46" i="73"/>
  <c r="BJ46" i="73"/>
  <c r="BG46" i="73"/>
  <c r="BF46" i="73"/>
  <c r="BE46" i="73"/>
  <c r="BB46" i="73"/>
  <c r="AY46" i="73"/>
  <c r="AX46" i="73"/>
  <c r="AW46" i="73"/>
  <c r="AV46" i="73"/>
  <c r="AI46" i="73"/>
  <c r="AH46" i="73"/>
  <c r="AG46" i="73"/>
  <c r="AF46" i="73"/>
  <c r="BI46" i="73" s="1"/>
  <c r="AE46" i="73"/>
  <c r="BH46" i="73" s="1"/>
  <c r="AD46" i="73"/>
  <c r="AC46" i="73"/>
  <c r="AB46" i="73"/>
  <c r="AA46" i="73"/>
  <c r="BD46" i="73" s="1"/>
  <c r="Z46" i="73"/>
  <c r="BC46" i="73" s="1"/>
  <c r="Y46" i="73"/>
  <c r="X46" i="73"/>
  <c r="BA46" i="73" s="1"/>
  <c r="W46" i="73"/>
  <c r="AZ46" i="73" s="1"/>
  <c r="V46" i="73"/>
  <c r="U46" i="73"/>
  <c r="T46" i="73"/>
  <c r="S46" i="73"/>
  <c r="P46" i="73"/>
  <c r="BE45" i="73"/>
  <c r="BC45" i="73"/>
  <c r="BA45" i="73"/>
  <c r="AI45" i="73"/>
  <c r="BL45" i="73" s="1"/>
  <c r="AH45" i="73"/>
  <c r="BK45" i="73" s="1"/>
  <c r="AG45" i="73"/>
  <c r="BJ45" i="73" s="1"/>
  <c r="AF45" i="73"/>
  <c r="BI45" i="73" s="1"/>
  <c r="AE45" i="73"/>
  <c r="BH45" i="73" s="1"/>
  <c r="AD45" i="73"/>
  <c r="BG45" i="73" s="1"/>
  <c r="AC45" i="73"/>
  <c r="BF45" i="73" s="1"/>
  <c r="AB45" i="73"/>
  <c r="AA45" i="73"/>
  <c r="BD45" i="73" s="1"/>
  <c r="Z45" i="73"/>
  <c r="Y45" i="73"/>
  <c r="BB45" i="73" s="1"/>
  <c r="X45" i="73"/>
  <c r="W45" i="73"/>
  <c r="AZ45" i="73" s="1"/>
  <c r="V45" i="73"/>
  <c r="AY45" i="73" s="1"/>
  <c r="U45" i="73"/>
  <c r="AX45" i="73" s="1"/>
  <c r="T45" i="73"/>
  <c r="AW45" i="73" s="1"/>
  <c r="S45" i="73"/>
  <c r="AV45" i="73" s="1"/>
  <c r="R45" i="73"/>
  <c r="AU45" i="73" s="1"/>
  <c r="BL44" i="73"/>
  <c r="BK44" i="73"/>
  <c r="BI44" i="73"/>
  <c r="BH44" i="73"/>
  <c r="BB44" i="73"/>
  <c r="BA44" i="73"/>
  <c r="AZ44" i="73"/>
  <c r="AY44" i="73"/>
  <c r="AW44" i="73"/>
  <c r="AV44" i="73"/>
  <c r="AT44" i="73"/>
  <c r="AI44" i="73"/>
  <c r="AH44" i="73"/>
  <c r="AG44" i="73"/>
  <c r="BJ44" i="73" s="1"/>
  <c r="AF44" i="73"/>
  <c r="AE44" i="73"/>
  <c r="AD44" i="73"/>
  <c r="BG44" i="73" s="1"/>
  <c r="AC44" i="73"/>
  <c r="BF44" i="73" s="1"/>
  <c r="AB44" i="73"/>
  <c r="BE44" i="73" s="1"/>
  <c r="AA44" i="73"/>
  <c r="BD44" i="73" s="1"/>
  <c r="Z44" i="73"/>
  <c r="BC44" i="73" s="1"/>
  <c r="Y44" i="73"/>
  <c r="X44" i="73"/>
  <c r="W44" i="73"/>
  <c r="V44" i="73"/>
  <c r="U44" i="73"/>
  <c r="AX44" i="73" s="1"/>
  <c r="T44" i="73"/>
  <c r="S44" i="73"/>
  <c r="R44" i="73"/>
  <c r="AU44" i="73" s="1"/>
  <c r="Q44" i="73"/>
  <c r="O44" i="73"/>
  <c r="I44" i="73"/>
  <c r="BK43" i="73"/>
  <c r="BJ43" i="73"/>
  <c r="BH43" i="73"/>
  <c r="BG43" i="73"/>
  <c r="BC43" i="73"/>
  <c r="BB43" i="73"/>
  <c r="BA43" i="73"/>
  <c r="AX43" i="73"/>
  <c r="AW43" i="73"/>
  <c r="AV43" i="73"/>
  <c r="AT43" i="73"/>
  <c r="AS43" i="73"/>
  <c r="AI43" i="73"/>
  <c r="BL43" i="73" s="1"/>
  <c r="AH43" i="73"/>
  <c r="AG43" i="73"/>
  <c r="AF43" i="73"/>
  <c r="BI43" i="73" s="1"/>
  <c r="AE43" i="73"/>
  <c r="AD43" i="73"/>
  <c r="AC43" i="73"/>
  <c r="BF43" i="73" s="1"/>
  <c r="AB43" i="73"/>
  <c r="BE43" i="73" s="1"/>
  <c r="AA43" i="73"/>
  <c r="BD43" i="73" s="1"/>
  <c r="Z43" i="73"/>
  <c r="Y43" i="73"/>
  <c r="X43" i="73"/>
  <c r="W43" i="73"/>
  <c r="AZ43" i="73" s="1"/>
  <c r="V43" i="73"/>
  <c r="AY43" i="73" s="1"/>
  <c r="U43" i="73"/>
  <c r="T43" i="73"/>
  <c r="S43" i="73"/>
  <c r="R43" i="73"/>
  <c r="AU43" i="73" s="1"/>
  <c r="Q43" i="73"/>
  <c r="P43" i="73"/>
  <c r="O43" i="73"/>
  <c r="F6" i="73"/>
  <c r="F542" i="73" l="1"/>
  <c r="BC70" i="73"/>
  <c r="BE59" i="73"/>
  <c r="AQ63" i="73"/>
  <c r="F569" i="73"/>
  <c r="BC71" i="73"/>
  <c r="AU50" i="73"/>
  <c r="F375" i="73"/>
  <c r="AX64" i="73"/>
  <c r="F460" i="73"/>
  <c r="BB67" i="73"/>
  <c r="BB59" i="73"/>
  <c r="F458" i="73"/>
  <c r="AZ67" i="73"/>
  <c r="F471" i="73"/>
  <c r="AL68" i="73"/>
  <c r="F484" i="73"/>
  <c r="AY68" i="73"/>
  <c r="AZ63" i="73"/>
  <c r="AU56" i="73"/>
  <c r="AL56" i="73"/>
  <c r="F547" i="73"/>
  <c r="BH70" i="73"/>
  <c r="F164" i="73"/>
  <c r="AT55" i="73"/>
  <c r="AN53" i="73"/>
  <c r="BJ64" i="73"/>
  <c r="F567" i="73"/>
  <c r="BA71" i="73"/>
  <c r="AO53" i="73"/>
  <c r="F237" i="73"/>
  <c r="BG58" i="73"/>
  <c r="F404" i="73"/>
  <c r="AZ65" i="73"/>
  <c r="F488" i="73"/>
  <c r="BC68" i="73"/>
  <c r="F560" i="73"/>
  <c r="AT71" i="73"/>
  <c r="BD57" i="73"/>
  <c r="F518" i="73"/>
  <c r="BF69" i="73"/>
  <c r="F146" i="73"/>
  <c r="AT54" i="73"/>
  <c r="F183" i="73"/>
  <c r="AT56" i="73"/>
  <c r="AR61" i="73"/>
  <c r="AM58" i="73"/>
  <c r="F513" i="73"/>
  <c r="BA69" i="73"/>
  <c r="F454" i="73"/>
  <c r="AV67" i="73"/>
  <c r="F545" i="73"/>
  <c r="BF70" i="73"/>
  <c r="AL60" i="73"/>
  <c r="I79" i="73"/>
  <c r="I48" i="73" s="1"/>
  <c r="I88" i="73"/>
  <c r="I57" i="73" s="1"/>
  <c r="X89" i="73"/>
  <c r="X58" i="73" s="1"/>
  <c r="BA58" i="73" s="1"/>
  <c r="AM49" i="73"/>
  <c r="AE72" i="73"/>
  <c r="AE41" i="73" s="1"/>
  <c r="AF3" i="73" s="1"/>
  <c r="AQ61" i="73" s="1"/>
  <c r="M86" i="73"/>
  <c r="M55" i="73" s="1"/>
  <c r="Q76" i="73"/>
  <c r="Q45" i="73" s="1"/>
  <c r="J78" i="73"/>
  <c r="J47" i="73" s="1"/>
  <c r="AM47" i="73" s="1"/>
  <c r="K80" i="73"/>
  <c r="K49" i="73" s="1"/>
  <c r="T82" i="73"/>
  <c r="T51" i="73" s="1"/>
  <c r="AW51" i="73" s="1"/>
  <c r="BI68" i="73"/>
  <c r="AN48" i="73"/>
  <c r="F334" i="73"/>
  <c r="BJ62" i="73"/>
  <c r="F456" i="73"/>
  <c r="AX67" i="73"/>
  <c r="F577" i="73"/>
  <c r="BK71" i="73"/>
  <c r="R85" i="73"/>
  <c r="R54" i="73" s="1"/>
  <c r="V88" i="73"/>
  <c r="V57" i="73" s="1"/>
  <c r="S100" i="73"/>
  <c r="S69" i="73" s="1"/>
  <c r="AO70" i="73"/>
  <c r="AN70" i="73"/>
  <c r="F510" i="73"/>
  <c r="AX69" i="73"/>
  <c r="AL45" i="73"/>
  <c r="F21" i="73"/>
  <c r="AQ51" i="73"/>
  <c r="K74" i="73"/>
  <c r="K43" i="73" s="1"/>
  <c r="K85" i="73"/>
  <c r="K54" i="73" s="1"/>
  <c r="AN54" i="73" s="1"/>
  <c r="Q89" i="73"/>
  <c r="Q58" i="73" s="1"/>
  <c r="S90" i="73"/>
  <c r="S59" i="73" s="1"/>
  <c r="AE90" i="73"/>
  <c r="AE59" i="73" s="1"/>
  <c r="T91" i="73"/>
  <c r="T60" i="73" s="1"/>
  <c r="T92" i="73"/>
  <c r="T61" i="73" s="1"/>
  <c r="AX49" i="73"/>
  <c r="F12" i="73"/>
  <c r="AR43" i="73"/>
  <c r="F299" i="73"/>
  <c r="AZ61" i="73"/>
  <c r="F426" i="73"/>
  <c r="AU66" i="73"/>
  <c r="K75" i="73"/>
  <c r="K44" i="73" s="1"/>
  <c r="L86" i="73"/>
  <c r="L55" i="73" s="1"/>
  <c r="AM52" i="73"/>
  <c r="J79" i="73"/>
  <c r="J48" i="73" s="1"/>
  <c r="X84" i="73"/>
  <c r="X53" i="73" s="1"/>
  <c r="J88" i="73"/>
  <c r="J57" i="73" s="1"/>
  <c r="AM57" i="73" s="1"/>
  <c r="P92" i="73"/>
  <c r="P61" i="73" s="1"/>
  <c r="AS61" i="73" s="1"/>
  <c r="F284" i="73"/>
  <c r="BI60" i="73"/>
  <c r="O79" i="73"/>
  <c r="O48" i="73" s="1"/>
  <c r="AR48" i="73" s="1"/>
  <c r="U83" i="73"/>
  <c r="U52" i="73" s="1"/>
  <c r="R86" i="73"/>
  <c r="R55" i="73" s="1"/>
  <c r="BE64" i="73"/>
  <c r="AE98" i="73"/>
  <c r="AE67" i="73" s="1"/>
  <c r="M100" i="73"/>
  <c r="M69" i="73" s="1"/>
  <c r="AQ60" i="73"/>
  <c r="AT47" i="73"/>
  <c r="AA101" i="73"/>
  <c r="AA70" i="73" s="1"/>
  <c r="J95" i="73"/>
  <c r="J64" i="73" s="1"/>
  <c r="AR69" i="73"/>
  <c r="BC63" i="73"/>
  <c r="AR57" i="73"/>
  <c r="N81" i="73"/>
  <c r="N50" i="73" s="1"/>
  <c r="AQ50" i="73" s="1"/>
  <c r="L85" i="73"/>
  <c r="L54" i="73" s="1"/>
  <c r="AA95" i="73"/>
  <c r="AA64" i="73" s="1"/>
  <c r="I97" i="73"/>
  <c r="I66" i="73" s="1"/>
  <c r="J76" i="73"/>
  <c r="J45" i="73" s="1"/>
  <c r="AM45" i="73" s="1"/>
  <c r="P79" i="73"/>
  <c r="P48" i="73" s="1"/>
  <c r="O81" i="73"/>
  <c r="O50" i="73" s="1"/>
  <c r="AR50" i="73" s="1"/>
  <c r="I90" i="73"/>
  <c r="I59" i="73" s="1"/>
  <c r="AL59" i="73" s="1"/>
  <c r="S94" i="73"/>
  <c r="S63" i="73" s="1"/>
  <c r="AU63" i="73"/>
  <c r="AR46" i="73"/>
  <c r="AN66" i="73"/>
  <c r="R77" i="73"/>
  <c r="R46" i="73" s="1"/>
  <c r="N90" i="73"/>
  <c r="N59" i="73" s="1"/>
  <c r="O101" i="73"/>
  <c r="O70" i="73" s="1"/>
  <c r="BD62" i="73"/>
  <c r="AL71" i="73"/>
  <c r="S85" i="73"/>
  <c r="S54" i="73" s="1"/>
  <c r="AV54" i="73" s="1"/>
  <c r="AB92" i="73"/>
  <c r="AB61" i="73" s="1"/>
  <c r="BE61" i="73" s="1"/>
  <c r="M94" i="73"/>
  <c r="M63" i="73" s="1"/>
  <c r="AP63" i="73" s="1"/>
  <c r="L77" i="73"/>
  <c r="L46" i="73" s="1"/>
  <c r="AO46" i="73" s="1"/>
  <c r="N78" i="73"/>
  <c r="N47" i="73" s="1"/>
  <c r="AQ47" i="73" s="1"/>
  <c r="AR65" i="73"/>
  <c r="M77" i="73"/>
  <c r="M46" i="73" s="1"/>
  <c r="AP46" i="73" s="1"/>
  <c r="O78" i="73"/>
  <c r="O47" i="73" s="1"/>
  <c r="F40" i="73"/>
  <c r="BG64" i="73"/>
  <c r="BL71" i="73"/>
  <c r="F228" i="73"/>
  <c r="AX58" i="73"/>
  <c r="F333" i="73"/>
  <c r="BI62" i="73"/>
  <c r="AR66" i="73"/>
  <c r="L89" i="73"/>
  <c r="L58" i="73" s="1"/>
  <c r="AO58" i="73" s="1"/>
  <c r="AY58" i="73"/>
  <c r="M89" i="73"/>
  <c r="M58" i="73" s="1"/>
  <c r="V95" i="73"/>
  <c r="V64" i="73" s="1"/>
  <c r="AE100" i="73"/>
  <c r="AE69" i="73" s="1"/>
  <c r="F155" i="73"/>
  <c r="BC54" i="73"/>
  <c r="AZ53" i="73"/>
  <c r="L74" i="73"/>
  <c r="L43" i="73" s="1"/>
  <c r="AO43" i="73" s="1"/>
  <c r="O80" i="73"/>
  <c r="O49" i="73" s="1"/>
  <c r="V2" i="73" s="1"/>
  <c r="I83" i="73"/>
  <c r="I52" i="73" s="1"/>
  <c r="K87" i="73"/>
  <c r="K56" i="73" s="1"/>
  <c r="AN56" i="73" s="1"/>
  <c r="T90" i="73"/>
  <c r="T59" i="73" s="1"/>
  <c r="AW59" i="73" s="1"/>
  <c r="O95" i="73"/>
  <c r="O64" i="73" s="1"/>
  <c r="AR64" i="73" s="1"/>
  <c r="BB65" i="73"/>
  <c r="AS64" i="73"/>
  <c r="M74" i="73"/>
  <c r="M43" i="73" s="1"/>
  <c r="F10" i="73" s="1"/>
  <c r="P80" i="73"/>
  <c r="P49" i="73" s="1"/>
  <c r="M82" i="73"/>
  <c r="M51" i="73" s="1"/>
  <c r="R84" i="73"/>
  <c r="R53" i="73" s="1"/>
  <c r="S89" i="73"/>
  <c r="S58" i="73" s="1"/>
  <c r="F226" i="73" s="1"/>
  <c r="AE94" i="73"/>
  <c r="AE63" i="73" s="1"/>
  <c r="BH63" i="73" s="1"/>
  <c r="AS46" i="73"/>
  <c r="AY63" i="73"/>
  <c r="F491" i="73"/>
  <c r="BF68" i="73"/>
  <c r="Z95" i="73"/>
  <c r="Z64" i="73" s="1"/>
  <c r="AF97" i="73"/>
  <c r="AF66" i="73" s="1"/>
  <c r="BI66" i="73" s="1"/>
  <c r="Q98" i="73"/>
  <c r="Q67" i="73" s="1"/>
  <c r="L100" i="73"/>
  <c r="L69" i="73" s="1"/>
  <c r="I101" i="73"/>
  <c r="I70" i="73" s="1"/>
  <c r="AD102" i="73"/>
  <c r="AD71" i="73" s="1"/>
  <c r="J101" i="73"/>
  <c r="J70" i="73" s="1"/>
  <c r="AE102" i="73"/>
  <c r="AE71" i="73" s="1"/>
  <c r="AT62" i="73"/>
  <c r="K76" i="73"/>
  <c r="K45" i="73" s="1"/>
  <c r="AN45" i="73" s="1"/>
  <c r="P78" i="73"/>
  <c r="P47" i="73" s="1"/>
  <c r="AS47" i="73" s="1"/>
  <c r="P81" i="73"/>
  <c r="P50" i="73" s="1"/>
  <c r="W83" i="73"/>
  <c r="W52" i="73" s="1"/>
  <c r="F119" i="73" s="1"/>
  <c r="S84" i="73"/>
  <c r="S53" i="73" s="1"/>
  <c r="AV53" i="73" s="1"/>
  <c r="BI67" i="73"/>
  <c r="AR58" i="73"/>
  <c r="AO64" i="73"/>
  <c r="AQ56" i="73"/>
  <c r="AO52" i="73"/>
  <c r="F11" i="73"/>
  <c r="AQ43" i="73"/>
  <c r="F575" i="73"/>
  <c r="BI71" i="73"/>
  <c r="T85" i="73"/>
  <c r="T54" i="73" s="1"/>
  <c r="N86" i="73"/>
  <c r="N55" i="73" s="1"/>
  <c r="S87" i="73"/>
  <c r="S56" i="73" s="1"/>
  <c r="W88" i="73"/>
  <c r="W57" i="73" s="1"/>
  <c r="Z89" i="73"/>
  <c r="Z58" i="73" s="1"/>
  <c r="Q91" i="73"/>
  <c r="Q60" i="73" s="1"/>
  <c r="AC91" i="73"/>
  <c r="AC60" i="73" s="1"/>
  <c r="P93" i="73"/>
  <c r="P62" i="73" s="1"/>
  <c r="AS62" i="73" s="1"/>
  <c r="K99" i="73"/>
  <c r="K68" i="73" s="1"/>
  <c r="W99" i="73"/>
  <c r="W68" i="73" s="1"/>
  <c r="F485" i="73" s="1"/>
  <c r="AI99" i="73"/>
  <c r="AI68" i="73" s="1"/>
  <c r="F497" i="73" s="1"/>
  <c r="N75" i="73"/>
  <c r="N44" i="73" s="1"/>
  <c r="R91" i="73"/>
  <c r="R60" i="73" s="1"/>
  <c r="AD91" i="73"/>
  <c r="AD60" i="73" s="1"/>
  <c r="Z86" i="73"/>
  <c r="Z55" i="73" s="1"/>
  <c r="F173" i="73" s="1"/>
  <c r="K88" i="73"/>
  <c r="K57" i="73" s="1"/>
  <c r="AN57" i="73" s="1"/>
  <c r="BF62" i="73"/>
  <c r="J74" i="73"/>
  <c r="J43" i="73" s="1"/>
  <c r="F88" i="73" s="1"/>
  <c r="M80" i="73"/>
  <c r="M49" i="73" s="1"/>
  <c r="AP49" i="73" s="1"/>
  <c r="AE91" i="73"/>
  <c r="AE60" i="73" s="1"/>
  <c r="T98" i="73"/>
  <c r="T67" i="73" s="1"/>
  <c r="N100" i="73"/>
  <c r="N69" i="73" s="1"/>
  <c r="AU48" i="73"/>
  <c r="M87" i="73"/>
  <c r="M56" i="73" s="1"/>
  <c r="AP56" i="73" s="1"/>
  <c r="Y87" i="73"/>
  <c r="Y56" i="73" s="1"/>
  <c r="BB56" i="73" s="1"/>
  <c r="Q88" i="73"/>
  <c r="Q57" i="73" s="1"/>
  <c r="F203" i="73" s="1"/>
  <c r="J90" i="73"/>
  <c r="J59" i="73" s="1"/>
  <c r="J93" i="73"/>
  <c r="J62" i="73" s="1"/>
  <c r="AM62" i="73" s="1"/>
  <c r="V93" i="73"/>
  <c r="V62" i="73" s="1"/>
  <c r="Q81" i="73"/>
  <c r="Q50" i="73" s="1"/>
  <c r="I98" i="73"/>
  <c r="I67" i="73" s="1"/>
  <c r="AG98" i="73"/>
  <c r="AG67" i="73" s="1"/>
  <c r="R99" i="73"/>
  <c r="R68" i="73" s="1"/>
  <c r="S80" i="73"/>
  <c r="S49" i="73" s="1"/>
  <c r="AV49" i="73" s="1"/>
  <c r="U84" i="73"/>
  <c r="U53" i="73" s="1"/>
  <c r="AX53" i="73" s="1"/>
  <c r="AB96" i="73"/>
  <c r="AB65" i="73" s="1"/>
  <c r="BE65" i="73" s="1"/>
  <c r="M97" i="73"/>
  <c r="M66" i="73" s="1"/>
  <c r="AP66" i="73" s="1"/>
  <c r="J98" i="73"/>
  <c r="J67" i="73" s="1"/>
  <c r="T79" i="73"/>
  <c r="T48" i="73" s="1"/>
  <c r="AW48" i="73" s="1"/>
  <c r="T95" i="73"/>
  <c r="T64" i="73" s="1"/>
  <c r="F374" i="73" s="1"/>
  <c r="AF95" i="73"/>
  <c r="AF64" i="73" s="1"/>
  <c r="BI64" i="73" s="1"/>
  <c r="Z97" i="73"/>
  <c r="Z66" i="73" s="1"/>
  <c r="AM51" i="73"/>
  <c r="AR53" i="73"/>
  <c r="AX54" i="73"/>
  <c r="F162" i="73"/>
  <c r="AR55" i="73"/>
  <c r="F376" i="73"/>
  <c r="AY64" i="73"/>
  <c r="AN62" i="73"/>
  <c r="AQ49" i="73"/>
  <c r="AZ51" i="73"/>
  <c r="F104" i="73"/>
  <c r="BF67" i="73"/>
  <c r="AZ57" i="73"/>
  <c r="AR49" i="73"/>
  <c r="AP43" i="73"/>
  <c r="AS49" i="73"/>
  <c r="AQ53" i="73"/>
  <c r="AS58" i="73"/>
  <c r="AT49" i="73"/>
  <c r="AQ52" i="73"/>
  <c r="F225" i="73"/>
  <c r="AU58" i="73"/>
  <c r="AN51" i="73"/>
  <c r="AO62" i="73"/>
  <c r="BK63" i="73"/>
  <c r="AP65" i="73"/>
  <c r="F514" i="73"/>
  <c r="BB69" i="73"/>
  <c r="BC59" i="73"/>
  <c r="F348" i="73"/>
  <c r="AX63" i="73"/>
  <c r="BI65" i="73"/>
  <c r="AQ67" i="73"/>
  <c r="F492" i="73"/>
  <c r="BG68" i="73"/>
  <c r="F524" i="73"/>
  <c r="BL69" i="73"/>
  <c r="F144" i="73"/>
  <c r="AR54" i="73"/>
  <c r="F194" i="73"/>
  <c r="BE56" i="73"/>
  <c r="AQ62" i="73"/>
  <c r="AQ65" i="73"/>
  <c r="F427" i="73"/>
  <c r="AV66" i="73"/>
  <c r="F516" i="73"/>
  <c r="BD69" i="73"/>
  <c r="F272" i="73"/>
  <c r="AW60" i="73"/>
  <c r="AT65" i="73"/>
  <c r="AS67" i="73"/>
  <c r="F274" i="73"/>
  <c r="AY60" i="73"/>
  <c r="F319" i="73"/>
  <c r="AU62" i="73"/>
  <c r="AT64" i="73"/>
  <c r="F430" i="73"/>
  <c r="AY66" i="73"/>
  <c r="BK65" i="73"/>
  <c r="F433" i="73"/>
  <c r="BB66" i="73"/>
  <c r="F540" i="73"/>
  <c r="BA70" i="73"/>
  <c r="AX51" i="73"/>
  <c r="F102" i="73"/>
  <c r="AT52" i="73"/>
  <c r="AW54" i="73"/>
  <c r="F269" i="73"/>
  <c r="AT60" i="73"/>
  <c r="AN68" i="73"/>
  <c r="F147" i="73"/>
  <c r="AU54" i="73"/>
  <c r="F174" i="73"/>
  <c r="BD55" i="73"/>
  <c r="BF59" i="73"/>
  <c r="AN46" i="73"/>
  <c r="AY51" i="73"/>
  <c r="F103" i="73"/>
  <c r="BA60" i="73"/>
  <c r="AW64" i="73"/>
  <c r="AP70" i="73"/>
  <c r="BH64" i="73"/>
  <c r="F9" i="73"/>
  <c r="AQ46" i="73"/>
  <c r="AP52" i="73"/>
  <c r="AR56" i="73"/>
  <c r="BA61" i="73"/>
  <c r="BG62" i="73"/>
  <c r="F206" i="73"/>
  <c r="AW57" i="73"/>
  <c r="F163" i="73"/>
  <c r="AS55" i="73"/>
  <c r="BE58" i="73"/>
  <c r="F137" i="73"/>
  <c r="BB53" i="73"/>
  <c r="F372" i="73"/>
  <c r="AU64" i="73"/>
  <c r="AW56" i="73"/>
  <c r="AP50" i="73"/>
  <c r="F116" i="73"/>
  <c r="AW52" i="73"/>
  <c r="AS48" i="73"/>
  <c r="AL55" i="73"/>
  <c r="F551" i="73"/>
  <c r="BL70" i="73"/>
  <c r="F541" i="73"/>
  <c r="BB70" i="73"/>
  <c r="AL52" i="73"/>
  <c r="F13" i="73"/>
  <c r="AL44" i="73"/>
  <c r="AN49" i="73"/>
  <c r="F227" i="73"/>
  <c r="AW58" i="73"/>
  <c r="AQ68" i="73"/>
  <c r="F534" i="73"/>
  <c r="AU70" i="73"/>
  <c r="F561" i="73"/>
  <c r="AU71" i="73"/>
  <c r="AY55" i="73"/>
  <c r="AO63" i="73"/>
  <c r="AS50" i="73"/>
  <c r="F130" i="73"/>
  <c r="AU53" i="73"/>
  <c r="AO54" i="73"/>
  <c r="AT61" i="73"/>
  <c r="BA67" i="73"/>
  <c r="F296" i="73"/>
  <c r="AW61" i="73"/>
  <c r="F185" i="73"/>
  <c r="AV56" i="73"/>
  <c r="AR47" i="73"/>
  <c r="AU47" i="73"/>
  <c r="BC57" i="73"/>
  <c r="AP51" i="73"/>
  <c r="AN52" i="73"/>
  <c r="AN59" i="73"/>
  <c r="BF61" i="73"/>
  <c r="F335" i="73"/>
  <c r="BK62" i="73"/>
  <c r="BL66" i="73"/>
  <c r="F479" i="73"/>
  <c r="AT68" i="73"/>
  <c r="AM68" i="73"/>
  <c r="F535" i="73"/>
  <c r="AV70" i="73"/>
  <c r="F562" i="73"/>
  <c r="AV71" i="73"/>
  <c r="AL50" i="73"/>
  <c r="F322" i="73"/>
  <c r="AX62" i="73"/>
  <c r="AS66" i="73"/>
  <c r="BJ66" i="73"/>
  <c r="AR51" i="73"/>
  <c r="AM64" i="73"/>
  <c r="AM46" i="73"/>
  <c r="AY57" i="73"/>
  <c r="F520" i="73"/>
  <c r="BH69" i="73"/>
  <c r="BB60" i="73"/>
  <c r="AS53" i="73"/>
  <c r="AP55" i="73"/>
  <c r="F379" i="73"/>
  <c r="BB64" i="73"/>
  <c r="BG67" i="73"/>
  <c r="AM69" i="73"/>
  <c r="AS51" i="73"/>
  <c r="AX55" i="73"/>
  <c r="AZ56" i="73"/>
  <c r="AT50" i="73"/>
  <c r="AM48" i="73"/>
  <c r="F250" i="73"/>
  <c r="AX59" i="73"/>
  <c r="AO59" i="73"/>
  <c r="BF65" i="73"/>
  <c r="F444" i="73"/>
  <c r="AL67" i="73"/>
  <c r="F481" i="73"/>
  <c r="AV68" i="73"/>
  <c r="AS68" i="73"/>
  <c r="AQ48" i="73"/>
  <c r="AP53" i="73"/>
  <c r="AS63" i="73"/>
  <c r="BJ63" i="73"/>
  <c r="AO65" i="73"/>
  <c r="AS69" i="73"/>
  <c r="F519" i="73"/>
  <c r="BG69" i="73"/>
  <c r="F576" i="73"/>
  <c r="BJ71" i="73"/>
  <c r="AP45" i="73"/>
  <c r="F120" i="73"/>
  <c r="BA52" i="73"/>
  <c r="AW53" i="73"/>
  <c r="F193" i="73"/>
  <c r="BD56" i="73"/>
  <c r="F16" i="73"/>
  <c r="AO44" i="73"/>
  <c r="AS65" i="73"/>
  <c r="F509" i="73"/>
  <c r="AW69" i="73"/>
  <c r="F273" i="73"/>
  <c r="AX60" i="73"/>
  <c r="F346" i="73"/>
  <c r="AV63" i="73"/>
  <c r="F432" i="73"/>
  <c r="BA66" i="73"/>
  <c r="F205" i="73"/>
  <c r="AV57" i="73"/>
  <c r="AQ55" i="73"/>
  <c r="F17" i="73"/>
  <c r="F115" i="73"/>
  <c r="AM56" i="73"/>
  <c r="F248" i="73"/>
  <c r="AV59" i="73"/>
  <c r="AW50" i="73"/>
  <c r="AR52" i="73"/>
  <c r="BC55" i="73"/>
  <c r="AZ59" i="73"/>
  <c r="AT59" i="73"/>
  <c r="AR63" i="73"/>
  <c r="AM65" i="73"/>
  <c r="BG65" i="73"/>
  <c r="F482" i="73"/>
  <c r="AW68" i="73"/>
  <c r="F566" i="73"/>
  <c r="AZ71" i="73"/>
  <c r="AT48" i="73"/>
  <c r="AN50" i="73"/>
  <c r="F215" i="73"/>
  <c r="BF57" i="73"/>
  <c r="BB58" i="73"/>
  <c r="AO67" i="73"/>
  <c r="F461" i="73"/>
  <c r="BC67" i="73"/>
  <c r="F490" i="73"/>
  <c r="BE68" i="73"/>
  <c r="F536" i="73"/>
  <c r="AW70" i="73"/>
  <c r="AQ45" i="73"/>
  <c r="BF60" i="73"/>
  <c r="BG60" i="73"/>
  <c r="AN55" i="73"/>
  <c r="F138" i="73"/>
  <c r="AL54" i="73"/>
  <c r="AO55" i="73"/>
  <c r="F377" i="73"/>
  <c r="AZ64" i="73"/>
  <c r="BK68" i="73"/>
  <c r="AW49" i="73"/>
  <c r="AY56" i="73"/>
  <c r="AM54" i="73"/>
  <c r="AY54" i="73"/>
  <c r="BD61" i="73"/>
  <c r="AY61" i="73"/>
  <c r="AV47" i="73"/>
  <c r="F247" i="73"/>
  <c r="AU59" i="73"/>
  <c r="AN63" i="73"/>
  <c r="AQ57" i="73"/>
  <c r="F20" i="73"/>
  <c r="AO51" i="73"/>
  <c r="BC56" i="73"/>
  <c r="AO56" i="73"/>
  <c r="AO61" i="73"/>
  <c r="AT63" i="73"/>
  <c r="BH65" i="73"/>
  <c r="AO66" i="73"/>
  <c r="F483" i="73"/>
  <c r="AX68" i="73"/>
  <c r="F14" i="73"/>
  <c r="AM44" i="73"/>
  <c r="F154" i="73"/>
  <c r="BB54" i="73"/>
  <c r="AP61" i="73"/>
  <c r="F362" i="73"/>
  <c r="BL63" i="73"/>
  <c r="F378" i="73"/>
  <c r="BA64" i="73"/>
  <c r="F429" i="73"/>
  <c r="AX66" i="73"/>
  <c r="AP67" i="73"/>
  <c r="F463" i="73"/>
  <c r="BE67" i="73"/>
  <c r="AR68" i="73"/>
  <c r="F507" i="73"/>
  <c r="AU69" i="73"/>
  <c r="BJ69" i="73"/>
  <c r="F537" i="73"/>
  <c r="AX70" i="73"/>
  <c r="F550" i="73"/>
  <c r="BK70" i="73"/>
  <c r="I82" i="73"/>
  <c r="I51" i="73" s="1"/>
  <c r="F7" i="73"/>
  <c r="AZ58" i="73"/>
  <c r="F321" i="73"/>
  <c r="AW62" i="73"/>
  <c r="AY53" i="73"/>
  <c r="AX56" i="73"/>
  <c r="AO68" i="73"/>
  <c r="BD64" i="73"/>
  <c r="AU51" i="73"/>
  <c r="BB61" i="73"/>
  <c r="BH67" i="73"/>
  <c r="F431" i="73"/>
  <c r="AZ66" i="73"/>
  <c r="BH62" i="73"/>
  <c r="AS45" i="73"/>
  <c r="AV60" i="73"/>
  <c r="F351" i="73"/>
  <c r="BA63" i="73"/>
  <c r="BJ67" i="73"/>
  <c r="F538" i="73"/>
  <c r="AY70" i="73"/>
  <c r="AP64" i="73"/>
  <c r="AN47" i="73"/>
  <c r="AY52" i="73"/>
  <c r="F214" i="73"/>
  <c r="BE57" i="73"/>
  <c r="BG59" i="73"/>
  <c r="BH60" i="73"/>
  <c r="AM63" i="73"/>
  <c r="AQ64" i="73"/>
  <c r="F453" i="73"/>
  <c r="AU67" i="73"/>
  <c r="AO71" i="73"/>
  <c r="F568" i="73"/>
  <c r="BB71" i="73"/>
  <c r="BG61" i="73"/>
  <c r="F539" i="73"/>
  <c r="AZ70" i="73"/>
  <c r="F15" i="73"/>
  <c r="AN44" i="73"/>
  <c r="F309" i="73"/>
  <c r="BJ61" i="73"/>
  <c r="AR62" i="73"/>
  <c r="F486" i="73"/>
  <c r="BA68" i="73"/>
  <c r="AQ70" i="73"/>
  <c r="F570" i="73"/>
  <c r="BD71" i="73"/>
  <c r="AT67" i="73"/>
  <c r="F512" i="73"/>
  <c r="AZ69" i="73"/>
  <c r="AO47" i="73"/>
  <c r="AV51" i="73"/>
  <c r="AT53" i="73"/>
  <c r="AL58" i="73"/>
  <c r="AN60" i="73"/>
  <c r="BB63" i="73"/>
  <c r="F470" i="73"/>
  <c r="BL67" i="73"/>
  <c r="AR70" i="73"/>
  <c r="AP47" i="73"/>
  <c r="AT51" i="73"/>
  <c r="AZ52" i="73"/>
  <c r="AT57" i="73"/>
  <c r="F260" i="73"/>
  <c r="BH59" i="73"/>
  <c r="AO60" i="73"/>
  <c r="AZ60" i="73"/>
  <c r="AL64" i="73"/>
  <c r="BF64" i="73"/>
  <c r="F400" i="73"/>
  <c r="AV65" i="73"/>
  <c r="AN65" i="73"/>
  <c r="BJ65" i="73"/>
  <c r="F489" i="73"/>
  <c r="BD68" i="73"/>
  <c r="AN69" i="73"/>
  <c r="AS70" i="73"/>
  <c r="F572" i="73"/>
  <c r="BF71" i="73"/>
  <c r="AY59" i="73"/>
  <c r="BK67" i="73"/>
  <c r="F498" i="73"/>
  <c r="AL69" i="73"/>
  <c r="AU46" i="73"/>
  <c r="AL53" i="73"/>
  <c r="F121" i="73"/>
  <c r="BC60" i="73"/>
  <c r="F380" i="73"/>
  <c r="BC64" i="73"/>
  <c r="BI69" i="73"/>
  <c r="AM50" i="73"/>
  <c r="BD60" i="73"/>
  <c r="F511" i="73"/>
  <c r="AY69" i="73"/>
  <c r="F30" i="73"/>
  <c r="AL43" i="73"/>
  <c r="AP54" i="73"/>
  <c r="AU57" i="73"/>
  <c r="AQ59" i="73"/>
  <c r="BD63" i="73"/>
  <c r="F435" i="73"/>
  <c r="BD66" i="73"/>
  <c r="AZ68" i="73"/>
  <c r="AQ69" i="73"/>
  <c r="AX71" i="73"/>
  <c r="AR45" i="73"/>
  <c r="F236" i="73"/>
  <c r="BF58" i="73"/>
  <c r="AR60" i="73"/>
  <c r="AL61" i="73"/>
  <c r="AM43" i="73"/>
  <c r="AR44" i="73"/>
  <c r="F19" i="73"/>
  <c r="AV48" i="73"/>
  <c r="AL49" i="73"/>
  <c r="F202" i="73"/>
  <c r="AS57" i="73"/>
  <c r="AP58" i="73"/>
  <c r="AS59" i="73"/>
  <c r="F389" i="73"/>
  <c r="BL64" i="73"/>
  <c r="F417" i="73"/>
  <c r="AL66" i="73"/>
  <c r="BF66" i="73"/>
  <c r="F525" i="73"/>
  <c r="AL70" i="73"/>
  <c r="AQ58" i="73"/>
  <c r="F373" i="73"/>
  <c r="AV64" i="73"/>
  <c r="AL57" i="73"/>
  <c r="AP59" i="73"/>
  <c r="BF63" i="73"/>
  <c r="F405" i="73"/>
  <c r="BA65" i="73"/>
  <c r="F457" i="73"/>
  <c r="AY67" i="73"/>
  <c r="AP68" i="73"/>
  <c r="AS71" i="73"/>
  <c r="F89" i="73"/>
  <c r="AY50" i="73"/>
  <c r="AW55" i="73"/>
  <c r="AN61" i="73"/>
  <c r="F408" i="73"/>
  <c r="BD65" i="73"/>
  <c r="AO69" i="73"/>
  <c r="AO49" i="73"/>
  <c r="AB93" i="73"/>
  <c r="AB62" i="73" s="1"/>
  <c r="AR59" i="73"/>
  <c r="F515" i="73"/>
  <c r="BC69" i="73"/>
  <c r="F294" i="73"/>
  <c r="AU61" i="73"/>
  <c r="F390" i="73"/>
  <c r="AL65" i="73"/>
  <c r="F407" i="73"/>
  <c r="BC65" i="73"/>
  <c r="F533" i="73"/>
  <c r="AT70" i="73"/>
  <c r="BE70" i="73"/>
  <c r="BA57" i="73"/>
  <c r="BB62" i="73"/>
  <c r="F323" i="73"/>
  <c r="AY62" i="73"/>
  <c r="M79" i="73"/>
  <c r="M48" i="73" s="1"/>
  <c r="L81" i="73"/>
  <c r="L50" i="73" s="1"/>
  <c r="AO48" i="73"/>
  <c r="F182" i="73"/>
  <c r="AS56" i="73"/>
  <c r="BC58" i="73"/>
  <c r="F517" i="73"/>
  <c r="BE69" i="73"/>
  <c r="F571" i="73"/>
  <c r="BE71" i="73"/>
  <c r="BG63" i="73"/>
  <c r="BG66" i="73"/>
  <c r="AM67" i="73"/>
  <c r="BI61" i="73"/>
  <c r="F224" i="73"/>
  <c r="AT58" i="73"/>
  <c r="BL65" i="73"/>
  <c r="AN71" i="73"/>
  <c r="AT66" i="73"/>
  <c r="AP69" i="73"/>
  <c r="AX57" i="73"/>
  <c r="F403" i="73"/>
  <c r="AY65" i="73"/>
  <c r="F462" i="73"/>
  <c r="BD67" i="73"/>
  <c r="F548" i="73"/>
  <c r="BI70" i="73"/>
  <c r="AE99" i="73"/>
  <c r="AE68" i="73" s="1"/>
  <c r="R96" i="73"/>
  <c r="R65" i="73" s="1"/>
  <c r="AH95" i="73"/>
  <c r="AH64" i="73" s="1"/>
  <c r="AE92" i="73"/>
  <c r="AE61" i="73" s="1"/>
  <c r="AP62" i="73"/>
  <c r="AM59" i="73"/>
  <c r="F428" i="73"/>
  <c r="AW66" i="73"/>
  <c r="K98" i="73"/>
  <c r="K67" i="73" s="1"/>
  <c r="S92" i="73"/>
  <c r="S61" i="73" s="1"/>
  <c r="F573" i="73"/>
  <c r="BG71" i="73"/>
  <c r="P85" i="73"/>
  <c r="P54" i="73" s="1"/>
  <c r="AW71" i="73"/>
  <c r="J86" i="73"/>
  <c r="J55" i="73" s="1"/>
  <c r="F365" i="73" s="1"/>
  <c r="W86" i="73"/>
  <c r="W55" i="73" s="1"/>
  <c r="AF94" i="73"/>
  <c r="AF63" i="73" s="1"/>
  <c r="AS43" i="67"/>
  <c r="AT43" i="67"/>
  <c r="AU43" i="67"/>
  <c r="AV43" i="67"/>
  <c r="AW43" i="67"/>
  <c r="AX43" i="67"/>
  <c r="AY43" i="67"/>
  <c r="AZ43" i="67"/>
  <c r="BA43" i="67"/>
  <c r="BB43" i="67"/>
  <c r="BC43" i="67"/>
  <c r="BD43" i="67"/>
  <c r="BE43" i="67"/>
  <c r="BF43" i="67"/>
  <c r="BG43" i="67"/>
  <c r="BH43" i="67"/>
  <c r="BI43" i="67"/>
  <c r="BJ43" i="67"/>
  <c r="BK43" i="67"/>
  <c r="BL43" i="67"/>
  <c r="AT44" i="67"/>
  <c r="AU44" i="67"/>
  <c r="AV44" i="67"/>
  <c r="AW44" i="67"/>
  <c r="AX44" i="67"/>
  <c r="AY44" i="67"/>
  <c r="AZ44" i="67"/>
  <c r="BA44" i="67"/>
  <c r="BB44" i="67"/>
  <c r="BC44" i="67"/>
  <c r="BD44" i="67"/>
  <c r="BE44" i="67"/>
  <c r="BF44" i="67"/>
  <c r="BG44" i="67"/>
  <c r="BH44" i="67"/>
  <c r="BI44" i="67"/>
  <c r="BJ44" i="67"/>
  <c r="BK44" i="67"/>
  <c r="BL44" i="67"/>
  <c r="AU45" i="67"/>
  <c r="AV45" i="67"/>
  <c r="AW45" i="67"/>
  <c r="AX45" i="67"/>
  <c r="AY45" i="67"/>
  <c r="AZ45" i="67"/>
  <c r="BA45" i="67"/>
  <c r="BB45" i="67"/>
  <c r="BC45" i="67"/>
  <c r="BD45" i="67"/>
  <c r="BE45" i="67"/>
  <c r="BF45" i="67"/>
  <c r="BG45" i="67"/>
  <c r="BH45" i="67"/>
  <c r="BI45" i="67"/>
  <c r="BJ45" i="67"/>
  <c r="BK45" i="67"/>
  <c r="BL45" i="67"/>
  <c r="AV46" i="67"/>
  <c r="AW46" i="67"/>
  <c r="AX46" i="67"/>
  <c r="AY46" i="67"/>
  <c r="AZ46" i="67"/>
  <c r="BA46" i="67"/>
  <c r="BB46" i="67"/>
  <c r="BC46" i="67"/>
  <c r="BD46" i="67"/>
  <c r="BE46" i="67"/>
  <c r="BF46" i="67"/>
  <c r="BG46" i="67"/>
  <c r="BH46" i="67"/>
  <c r="BI46" i="67"/>
  <c r="BJ46" i="67"/>
  <c r="BK46" i="67"/>
  <c r="BL46" i="67"/>
  <c r="AW47" i="67"/>
  <c r="AX47" i="67"/>
  <c r="AY47" i="67"/>
  <c r="AZ47" i="67"/>
  <c r="BA47" i="67"/>
  <c r="BB47" i="67"/>
  <c r="BC47" i="67"/>
  <c r="BD47" i="67"/>
  <c r="BE47" i="67"/>
  <c r="BF47" i="67"/>
  <c r="BG47" i="67"/>
  <c r="BH47" i="67"/>
  <c r="BI47" i="67"/>
  <c r="BJ47" i="67"/>
  <c r="BK47" i="67"/>
  <c r="BL47" i="67"/>
  <c r="AX48" i="67"/>
  <c r="AY48" i="67"/>
  <c r="AZ48" i="67"/>
  <c r="BA48" i="67"/>
  <c r="BB48" i="67"/>
  <c r="BC48" i="67"/>
  <c r="BD48" i="67"/>
  <c r="BE48" i="67"/>
  <c r="BF48" i="67"/>
  <c r="BG48" i="67"/>
  <c r="BH48" i="67"/>
  <c r="BI48" i="67"/>
  <c r="BJ48" i="67"/>
  <c r="BK48" i="67"/>
  <c r="BL48" i="67"/>
  <c r="AY49" i="67"/>
  <c r="AZ49" i="67"/>
  <c r="BA49" i="67"/>
  <c r="BB49" i="67"/>
  <c r="BC49" i="67"/>
  <c r="BD49" i="67"/>
  <c r="BE49" i="67"/>
  <c r="BF49" i="67"/>
  <c r="BG49" i="67"/>
  <c r="BH49" i="67"/>
  <c r="BI49" i="67"/>
  <c r="BJ49" i="67"/>
  <c r="BK49" i="67"/>
  <c r="BL49" i="67"/>
  <c r="AZ50" i="67"/>
  <c r="BA50" i="67"/>
  <c r="BB50" i="67"/>
  <c r="BC50" i="67"/>
  <c r="BD50" i="67"/>
  <c r="BE50" i="67"/>
  <c r="BF50" i="67"/>
  <c r="BG50" i="67"/>
  <c r="BH50" i="67"/>
  <c r="BI50" i="67"/>
  <c r="BJ50" i="67"/>
  <c r="BK50" i="67"/>
  <c r="BL50" i="67"/>
  <c r="BA51" i="67"/>
  <c r="BB51" i="67"/>
  <c r="BC51" i="67"/>
  <c r="BD51" i="67"/>
  <c r="BE51" i="67"/>
  <c r="BF51" i="67"/>
  <c r="BG51" i="67"/>
  <c r="BH51" i="67"/>
  <c r="BI51" i="67"/>
  <c r="BJ51" i="67"/>
  <c r="BK51" i="67"/>
  <c r="BL51" i="67"/>
  <c r="BB52" i="67"/>
  <c r="BC52" i="67"/>
  <c r="BD52" i="67"/>
  <c r="BE52" i="67"/>
  <c r="BF52" i="67"/>
  <c r="BG52" i="67"/>
  <c r="BH52" i="67"/>
  <c r="BI52" i="67"/>
  <c r="BJ52" i="67"/>
  <c r="BK52" i="67"/>
  <c r="BL52" i="67"/>
  <c r="BC53" i="67"/>
  <c r="BD53" i="67"/>
  <c r="BE53" i="67"/>
  <c r="BF53" i="67"/>
  <c r="BG53" i="67"/>
  <c r="BH53" i="67"/>
  <c r="BI53" i="67"/>
  <c r="BJ53" i="67"/>
  <c r="BK53" i="67"/>
  <c r="BL53" i="67"/>
  <c r="BD54" i="67"/>
  <c r="BE54" i="67"/>
  <c r="BF54" i="67"/>
  <c r="BG54" i="67"/>
  <c r="BH54" i="67"/>
  <c r="BI54" i="67"/>
  <c r="BJ54" i="67"/>
  <c r="BK54" i="67"/>
  <c r="BL54" i="67"/>
  <c r="BE55" i="67"/>
  <c r="BF55" i="67"/>
  <c r="BG55" i="67"/>
  <c r="BH55" i="67"/>
  <c r="BI55" i="67"/>
  <c r="BJ55" i="67"/>
  <c r="BK55" i="67"/>
  <c r="BL55" i="67"/>
  <c r="BF56" i="67"/>
  <c r="BG56" i="67"/>
  <c r="BH56" i="67"/>
  <c r="BI56" i="67"/>
  <c r="BJ56" i="67"/>
  <c r="BK56" i="67"/>
  <c r="BL56" i="67"/>
  <c r="BG57" i="67"/>
  <c r="BH57" i="67"/>
  <c r="BI57" i="67"/>
  <c r="BJ57" i="67"/>
  <c r="BK57" i="67"/>
  <c r="BL57" i="67"/>
  <c r="BH58" i="67"/>
  <c r="BI58" i="67"/>
  <c r="BJ58" i="67"/>
  <c r="BK58" i="67"/>
  <c r="BL58" i="67"/>
  <c r="BI59" i="67"/>
  <c r="BJ59" i="67"/>
  <c r="BK59" i="67"/>
  <c r="BL59" i="67"/>
  <c r="BJ60" i="67"/>
  <c r="BK60" i="67"/>
  <c r="BL60" i="67"/>
  <c r="BK61" i="67"/>
  <c r="BL61" i="67"/>
  <c r="BL62" i="67"/>
  <c r="AQ44" i="73" l="1"/>
  <c r="F18" i="73"/>
  <c r="AV58" i="73"/>
  <c r="U2" i="73"/>
  <c r="BD59" i="73"/>
  <c r="F543" i="73"/>
  <c r="BD70" i="73"/>
  <c r="F136" i="73"/>
  <c r="BA53" i="73"/>
  <c r="F135" i="73"/>
  <c r="F68" i="73"/>
  <c r="F464" i="73"/>
  <c r="AT69" i="73"/>
  <c r="AN58" i="73"/>
  <c r="BA56" i="73"/>
  <c r="F574" i="73"/>
  <c r="BH71" i="73"/>
  <c r="F434" i="73"/>
  <c r="BC66" i="73"/>
  <c r="F508" i="73"/>
  <c r="AV69" i="73"/>
  <c r="F506" i="73"/>
  <c r="AS60" i="73"/>
  <c r="AM53" i="73"/>
  <c r="BJ68" i="73"/>
  <c r="F249" i="73"/>
  <c r="F526" i="73"/>
  <c r="AM70" i="73"/>
  <c r="AQ66" i="73"/>
  <c r="BA55" i="73"/>
  <c r="BK66" i="73"/>
  <c r="BC61" i="73"/>
  <c r="F361" i="73"/>
  <c r="F480" i="73"/>
  <c r="AU68" i="73"/>
  <c r="AL48" i="73"/>
  <c r="F51" i="73"/>
  <c r="F231" i="73"/>
  <c r="F559" i="73"/>
  <c r="F165" i="73"/>
  <c r="AU55" i="73"/>
  <c r="F29" i="73"/>
  <c r="AT45" i="73"/>
  <c r="BB57" i="73"/>
  <c r="AS52" i="73"/>
  <c r="BH66" i="73"/>
  <c r="AT46" i="73"/>
  <c r="BE60" i="73"/>
  <c r="F455" i="73"/>
  <c r="AW67" i="73"/>
  <c r="F352" i="73"/>
  <c r="BL68" i="73"/>
  <c r="F129" i="73"/>
  <c r="AX52" i="73"/>
  <c r="F117" i="73"/>
  <c r="AN43" i="73"/>
  <c r="F8" i="73"/>
  <c r="AM61" i="73"/>
  <c r="BE66" i="73"/>
  <c r="AM60" i="73"/>
  <c r="F255" i="73"/>
  <c r="F270" i="73"/>
  <c r="AU60" i="73"/>
  <c r="BD58" i="73"/>
  <c r="AO57" i="73"/>
  <c r="AO45" i="73"/>
  <c r="AL63" i="73"/>
  <c r="AU49" i="73"/>
  <c r="AR67" i="73"/>
  <c r="AL62" i="73"/>
  <c r="AP60" i="73"/>
  <c r="AN64" i="73"/>
  <c r="BE63" i="73"/>
  <c r="AM66" i="73"/>
  <c r="AP57" i="73"/>
  <c r="BA54" i="73"/>
  <c r="AZ54" i="73"/>
  <c r="BA59" i="73"/>
  <c r="BB55" i="73"/>
  <c r="BC62" i="73"/>
  <c r="AV50" i="73"/>
  <c r="AX50" i="73"/>
  <c r="F210" i="73"/>
  <c r="F556" i="73"/>
  <c r="F34" i="73"/>
  <c r="F364" i="73"/>
  <c r="F308" i="73"/>
  <c r="F354" i="73"/>
  <c r="F74" i="73"/>
  <c r="F123" i="73"/>
  <c r="F126" i="73"/>
  <c r="F474" i="73"/>
  <c r="F310" i="73"/>
  <c r="F421" i="73"/>
  <c r="F257" i="73"/>
  <c r="F392" i="73"/>
  <c r="F467" i="73"/>
  <c r="F263" i="73"/>
  <c r="F447" i="73"/>
  <c r="F177" i="73"/>
  <c r="F23" i="73"/>
  <c r="F181" i="73"/>
  <c r="F149" i="73"/>
  <c r="F240" i="73"/>
  <c r="F395" i="73"/>
  <c r="F70" i="73"/>
  <c r="F381" i="73"/>
  <c r="F425" i="73"/>
  <c r="F442" i="73"/>
  <c r="F369" i="73"/>
  <c r="F386" i="73"/>
  <c r="F244" i="73"/>
  <c r="F475" i="73"/>
  <c r="F191" i="73"/>
  <c r="F221" i="73"/>
  <c r="F27" i="73"/>
  <c r="F243" i="73"/>
  <c r="F122" i="73"/>
  <c r="F264" i="73"/>
  <c r="F418" i="73"/>
  <c r="F503" i="73"/>
  <c r="F316" i="73"/>
  <c r="F280" i="73"/>
  <c r="F230" i="73"/>
  <c r="F328" i="73"/>
  <c r="F412" i="73"/>
  <c r="F281" i="73"/>
  <c r="F252" i="73"/>
  <c r="F73" i="73"/>
  <c r="F132" i="73"/>
  <c r="F393" i="73"/>
  <c r="F441" i="73"/>
  <c r="F58" i="73"/>
  <c r="F340" i="73"/>
  <c r="F529" i="73"/>
  <c r="F258" i="73"/>
  <c r="F451" i="73"/>
  <c r="F478" i="73"/>
  <c r="F95" i="73"/>
  <c r="F356" i="73"/>
  <c r="F468" i="73"/>
  <c r="F277" i="73"/>
  <c r="F42" i="73"/>
  <c r="F440" i="73"/>
  <c r="F39" i="73"/>
  <c r="F466" i="73"/>
  <c r="F96" i="73"/>
  <c r="F156" i="73"/>
  <c r="F355" i="73"/>
  <c r="F53" i="73"/>
  <c r="F505" i="73"/>
  <c r="F212" i="73"/>
  <c r="F532" i="73"/>
  <c r="F61" i="73"/>
  <c r="F54" i="73"/>
  <c r="F209" i="73"/>
  <c r="F145" i="73"/>
  <c r="AS54" i="73"/>
  <c r="F314" i="73"/>
  <c r="F530" i="73"/>
  <c r="F358" i="73"/>
  <c r="F266" i="73"/>
  <c r="F450" i="73"/>
  <c r="F131" i="73"/>
  <c r="F558" i="73"/>
  <c r="F245" i="73"/>
  <c r="F469" i="73"/>
  <c r="F234" i="73"/>
  <c r="F216" i="73"/>
  <c r="F100" i="73"/>
  <c r="F213" i="73"/>
  <c r="F290" i="73"/>
  <c r="F24" i="73"/>
  <c r="F477" i="73"/>
  <c r="F26" i="73"/>
  <c r="F232" i="73"/>
  <c r="F420" i="73"/>
  <c r="X2" i="73"/>
  <c r="F84" i="73"/>
  <c r="F208" i="73"/>
  <c r="F57" i="73"/>
  <c r="F83" i="73"/>
  <c r="F109" i="73"/>
  <c r="F113" i="73"/>
  <c r="F315" i="73"/>
  <c r="F394" i="73"/>
  <c r="F38" i="73"/>
  <c r="F150" i="73"/>
  <c r="F353" i="73"/>
  <c r="F65" i="73"/>
  <c r="F175" i="73"/>
  <c r="F151" i="73"/>
  <c r="F107" i="73"/>
  <c r="F495" i="73"/>
  <c r="F56" i="73"/>
  <c r="F43" i="73"/>
  <c r="F531" i="73"/>
  <c r="F500" i="73"/>
  <c r="F275" i="73"/>
  <c r="F336" i="73"/>
  <c r="F329" i="73"/>
  <c r="BE62" i="73"/>
  <c r="F287" i="73"/>
  <c r="F254" i="73"/>
  <c r="F557" i="73"/>
  <c r="F218" i="73"/>
  <c r="F436" i="73"/>
  <c r="F198" i="73"/>
  <c r="F199" i="73"/>
  <c r="F306" i="73"/>
  <c r="F384" i="73"/>
  <c r="F289" i="73"/>
  <c r="F344" i="73"/>
  <c r="F200" i="73"/>
  <c r="F303" i="73"/>
  <c r="F159" i="73"/>
  <c r="F161" i="73"/>
  <c r="F360" i="73"/>
  <c r="F60" i="73"/>
  <c r="F424" i="73"/>
  <c r="F197" i="73"/>
  <c r="F235" i="73"/>
  <c r="F35" i="73"/>
  <c r="F398" i="73"/>
  <c r="F449" i="73"/>
  <c r="F110" i="73"/>
  <c r="F82" i="73"/>
  <c r="F493" i="73"/>
  <c r="BH68" i="73"/>
  <c r="F98" i="73"/>
  <c r="F178" i="73"/>
  <c r="F157" i="73"/>
  <c r="AM55" i="73"/>
  <c r="F112" i="73"/>
  <c r="F141" i="73"/>
  <c r="F239" i="73"/>
  <c r="F44" i="73"/>
  <c r="F368" i="73"/>
  <c r="F439" i="73"/>
  <c r="F419" i="73"/>
  <c r="F220" i="73"/>
  <c r="F318" i="73"/>
  <c r="F494" i="73"/>
  <c r="F278" i="73"/>
  <c r="F301" i="73"/>
  <c r="F238" i="73"/>
  <c r="F367" i="73"/>
  <c r="F90" i="73"/>
  <c r="AL51" i="73"/>
  <c r="F22" i="73"/>
  <c r="F75" i="73"/>
  <c r="F549" i="73"/>
  <c r="F411" i="73"/>
  <c r="F25" i="73"/>
  <c r="F189" i="73"/>
  <c r="F317" i="73"/>
  <c r="F47" i="73"/>
  <c r="F276" i="73"/>
  <c r="F93" i="73"/>
  <c r="F371" i="73"/>
  <c r="F331" i="73"/>
  <c r="F71" i="73"/>
  <c r="F37" i="73"/>
  <c r="F127" i="73"/>
  <c r="F259" i="73"/>
  <c r="F63" i="73"/>
  <c r="F522" i="73"/>
  <c r="F86" i="73"/>
  <c r="F286" i="73"/>
  <c r="F92" i="73"/>
  <c r="F222" i="73"/>
  <c r="F465" i="73"/>
  <c r="F416" i="73"/>
  <c r="F148" i="73"/>
  <c r="F242" i="73"/>
  <c r="F201" i="73"/>
  <c r="F261" i="73"/>
  <c r="F217" i="73"/>
  <c r="F337" i="73"/>
  <c r="F553" i="73"/>
  <c r="F332" i="73"/>
  <c r="F288" i="73"/>
  <c r="F153" i="73"/>
  <c r="F87" i="73"/>
  <c r="F343" i="73"/>
  <c r="F160" i="73"/>
  <c r="F114" i="73"/>
  <c r="F85" i="73"/>
  <c r="F179" i="73"/>
  <c r="F472" i="73"/>
  <c r="F476" i="73"/>
  <c r="F80" i="73"/>
  <c r="F108" i="73"/>
  <c r="F180" i="73"/>
  <c r="F413" i="73"/>
  <c r="F91" i="73"/>
  <c r="F170" i="73"/>
  <c r="AZ55" i="73"/>
  <c r="F501" i="73"/>
  <c r="F134" i="73"/>
  <c r="F125" i="73"/>
  <c r="F169" i="73"/>
  <c r="F502" i="73"/>
  <c r="F341" i="73"/>
  <c r="F452" i="73"/>
  <c r="F499" i="73"/>
  <c r="F46" i="73"/>
  <c r="F99" i="73"/>
  <c r="F521" i="73"/>
  <c r="F282" i="73"/>
  <c r="F385" i="73"/>
  <c r="F62" i="73"/>
  <c r="F105" i="73"/>
  <c r="F295" i="73"/>
  <c r="AV61" i="73"/>
  <c r="F229" i="73"/>
  <c r="F219" i="73"/>
  <c r="F251" i="73"/>
  <c r="F448" i="73"/>
  <c r="F338" i="73"/>
  <c r="F139" i="73"/>
  <c r="F391" i="73"/>
  <c r="F397" i="73"/>
  <c r="F172" i="73"/>
  <c r="F410" i="73"/>
  <c r="F168" i="73"/>
  <c r="F31" i="73"/>
  <c r="F171" i="73"/>
  <c r="F409" i="73"/>
  <c r="F45" i="73"/>
  <c r="F293" i="73"/>
  <c r="F241" i="73"/>
  <c r="P2" i="73"/>
  <c r="F28" i="73"/>
  <c r="F313" i="73"/>
  <c r="F267" i="73"/>
  <c r="F36" i="73"/>
  <c r="F52" i="73"/>
  <c r="F528" i="73"/>
  <c r="F291" i="73"/>
  <c r="F300" i="73"/>
  <c r="F423" i="73"/>
  <c r="F55" i="73"/>
  <c r="AP48" i="73"/>
  <c r="F187" i="73"/>
  <c r="F446" i="73"/>
  <c r="AN67" i="73"/>
  <c r="F388" i="73"/>
  <c r="BK64" i="73"/>
  <c r="F326" i="73"/>
  <c r="F66" i="73"/>
  <c r="F370" i="73"/>
  <c r="F195" i="73"/>
  <c r="F190" i="73"/>
  <c r="F285" i="73"/>
  <c r="F140" i="73"/>
  <c r="F279" i="73"/>
  <c r="F64" i="73"/>
  <c r="F262" i="73"/>
  <c r="F555" i="73"/>
  <c r="F283" i="73"/>
  <c r="F366" i="73"/>
  <c r="F78" i="73"/>
  <c r="F48" i="73"/>
  <c r="F330" i="73"/>
  <c r="F152" i="73"/>
  <c r="F97" i="73"/>
  <c r="F128" i="73"/>
  <c r="F76" i="73"/>
  <c r="F339" i="73"/>
  <c r="F186" i="73"/>
  <c r="T2" i="73"/>
  <c r="F94" i="73"/>
  <c r="F223" i="73"/>
  <c r="F211" i="73"/>
  <c r="F106" i="73"/>
  <c r="F50" i="73"/>
  <c r="F49" i="73"/>
  <c r="F33" i="73"/>
  <c r="F79" i="73"/>
  <c r="AO50" i="73"/>
  <c r="F327" i="73"/>
  <c r="F311" i="73"/>
  <c r="F305" i="73"/>
  <c r="F415" i="73"/>
  <c r="F67" i="73"/>
  <c r="F265" i="73"/>
  <c r="F383" i="73"/>
  <c r="F176" i="73"/>
  <c r="F81" i="73"/>
  <c r="F32" i="73"/>
  <c r="F445" i="73"/>
  <c r="F504" i="73"/>
  <c r="F554" i="73"/>
  <c r="F253" i="73"/>
  <c r="F414" i="73"/>
  <c r="F438" i="73"/>
  <c r="F167" i="73"/>
  <c r="F437" i="73"/>
  <c r="F302" i="73"/>
  <c r="F382" i="73"/>
  <c r="F307" i="73"/>
  <c r="BH61" i="73"/>
  <c r="F256" i="73"/>
  <c r="F422" i="73"/>
  <c r="F233" i="73"/>
  <c r="F396" i="73"/>
  <c r="F359" i="73"/>
  <c r="BI63" i="73"/>
  <c r="F399" i="73"/>
  <c r="AU65" i="73"/>
  <c r="F207" i="73"/>
  <c r="F357" i="73"/>
  <c r="F268" i="73"/>
  <c r="F387" i="73"/>
  <c r="F101" i="73"/>
  <c r="F77" i="73"/>
  <c r="F41" i="73"/>
  <c r="F363" i="73"/>
  <c r="F124" i="73"/>
  <c r="F527" i="73"/>
  <c r="F196" i="73"/>
  <c r="F192" i="73"/>
  <c r="F188" i="73"/>
  <c r="F158" i="73"/>
  <c r="F59" i="73"/>
  <c r="F342" i="73"/>
  <c r="F292" i="73"/>
  <c r="F111" i="73"/>
  <c r="F473" i="73"/>
  <c r="F133" i="73"/>
  <c r="F72" i="73"/>
  <c r="W2" i="73"/>
  <c r="F69" i="73"/>
  <c r="F312" i="73"/>
  <c r="F304" i="73"/>
  <c r="AE104" i="67"/>
  <c r="AH104" i="67"/>
  <c r="AH136" i="67"/>
  <c r="AE136" i="67"/>
  <c r="E3" i="70"/>
  <c r="E2" i="70"/>
  <c r="E4" i="70"/>
  <c r="E5" i="70"/>
  <c r="Y2" i="73" l="1"/>
  <c r="AE72" i="67"/>
  <c r="AE41" i="67" s="1"/>
  <c r="AF3" i="67" s="1"/>
  <c r="AH72" i="67"/>
  <c r="AH41" i="67" s="1"/>
  <c r="AF4" i="67" s="1"/>
  <c r="AU43" i="70"/>
  <c r="AV43" i="70"/>
  <c r="AW43" i="70"/>
  <c r="AX43" i="70"/>
  <c r="AY43" i="70"/>
  <c r="AZ43" i="70"/>
  <c r="BA43" i="70"/>
  <c r="BB43" i="70"/>
  <c r="BC43" i="70"/>
  <c r="BD43" i="70"/>
  <c r="BE43" i="70"/>
  <c r="BF43" i="70"/>
  <c r="BG43" i="70"/>
  <c r="BH43" i="70"/>
  <c r="BI43" i="70"/>
  <c r="BJ43" i="70"/>
  <c r="BK43" i="70"/>
  <c r="BL43" i="70"/>
  <c r="BM43" i="70"/>
  <c r="BN43" i="70"/>
  <c r="AV44" i="70"/>
  <c r="AW44" i="70"/>
  <c r="AX44" i="70"/>
  <c r="AY44" i="70"/>
  <c r="AZ44" i="70"/>
  <c r="BA44" i="70"/>
  <c r="BB44" i="70"/>
  <c r="BC44" i="70"/>
  <c r="BD44" i="70"/>
  <c r="BE44" i="70"/>
  <c r="BF44" i="70"/>
  <c r="BG44" i="70"/>
  <c r="BH44" i="70"/>
  <c r="BI44" i="70"/>
  <c r="BJ44" i="70"/>
  <c r="BK44" i="70"/>
  <c r="BL44" i="70"/>
  <c r="BM44" i="70"/>
  <c r="BN44" i="70"/>
  <c r="AW45" i="70"/>
  <c r="AX45" i="70"/>
  <c r="AY45" i="70"/>
  <c r="AZ45" i="70"/>
  <c r="BA45" i="70"/>
  <c r="BB45" i="70"/>
  <c r="BC45" i="70"/>
  <c r="BD45" i="70"/>
  <c r="BE45" i="70"/>
  <c r="BF45" i="70"/>
  <c r="BG45" i="70"/>
  <c r="BH45" i="70"/>
  <c r="BI45" i="70"/>
  <c r="BJ45" i="70"/>
  <c r="BK45" i="70"/>
  <c r="BL45" i="70"/>
  <c r="BM45" i="70"/>
  <c r="BN45" i="70"/>
  <c r="AX46" i="70"/>
  <c r="AY46" i="70"/>
  <c r="AZ46" i="70"/>
  <c r="BA46" i="70"/>
  <c r="BB46" i="70"/>
  <c r="BC46" i="70"/>
  <c r="BD46" i="70"/>
  <c r="BE46" i="70"/>
  <c r="BF46" i="70"/>
  <c r="BG46" i="70"/>
  <c r="BH46" i="70"/>
  <c r="BI46" i="70"/>
  <c r="BJ46" i="70"/>
  <c r="BK46" i="70"/>
  <c r="BL46" i="70"/>
  <c r="BM46" i="70"/>
  <c r="BN46" i="70"/>
  <c r="AY47" i="70"/>
  <c r="AZ47" i="70"/>
  <c r="BA47" i="70"/>
  <c r="BB47" i="70"/>
  <c r="BC47" i="70"/>
  <c r="BD47" i="70"/>
  <c r="BE47" i="70"/>
  <c r="BF47" i="70"/>
  <c r="BG47" i="70"/>
  <c r="BH47" i="70"/>
  <c r="BI47" i="70"/>
  <c r="BJ47" i="70"/>
  <c r="BK47" i="70"/>
  <c r="BL47" i="70"/>
  <c r="BM47" i="70"/>
  <c r="BN47" i="70"/>
  <c r="AZ48" i="70"/>
  <c r="BA48" i="70"/>
  <c r="BB48" i="70"/>
  <c r="BC48" i="70"/>
  <c r="BD48" i="70"/>
  <c r="BE48" i="70"/>
  <c r="BF48" i="70"/>
  <c r="BG48" i="70"/>
  <c r="BH48" i="70"/>
  <c r="BI48" i="70"/>
  <c r="BJ48" i="70"/>
  <c r="BK48" i="70"/>
  <c r="BL48" i="70"/>
  <c r="BM48" i="70"/>
  <c r="BN48" i="70"/>
  <c r="BA49" i="70"/>
  <c r="BB49" i="70"/>
  <c r="BC49" i="70"/>
  <c r="BD49" i="70"/>
  <c r="BE49" i="70"/>
  <c r="BF49" i="70"/>
  <c r="BG49" i="70"/>
  <c r="BH49" i="70"/>
  <c r="BI49" i="70"/>
  <c r="BJ49" i="70"/>
  <c r="BK49" i="70"/>
  <c r="BL49" i="70"/>
  <c r="BM49" i="70"/>
  <c r="BN49" i="70"/>
  <c r="BB50" i="70"/>
  <c r="BC50" i="70"/>
  <c r="BD50" i="70"/>
  <c r="BE50" i="70"/>
  <c r="BF50" i="70"/>
  <c r="BG50" i="70"/>
  <c r="BH50" i="70"/>
  <c r="BI50" i="70"/>
  <c r="BJ50" i="70"/>
  <c r="BK50" i="70"/>
  <c r="BL50" i="70"/>
  <c r="BM50" i="70"/>
  <c r="BN50" i="70"/>
  <c r="BC51" i="70"/>
  <c r="BD51" i="70"/>
  <c r="BE51" i="70"/>
  <c r="BF51" i="70"/>
  <c r="BG51" i="70"/>
  <c r="BH51" i="70"/>
  <c r="BI51" i="70"/>
  <c r="BJ51" i="70"/>
  <c r="BK51" i="70"/>
  <c r="BL51" i="70"/>
  <c r="BM51" i="70"/>
  <c r="BN51" i="70"/>
  <c r="BD52" i="70"/>
  <c r="BE52" i="70"/>
  <c r="BF52" i="70"/>
  <c r="BG52" i="70"/>
  <c r="BH52" i="70"/>
  <c r="BI52" i="70"/>
  <c r="BJ52" i="70"/>
  <c r="BK52" i="70"/>
  <c r="BL52" i="70"/>
  <c r="BM52" i="70"/>
  <c r="BN52" i="70"/>
  <c r="BE53" i="70"/>
  <c r="BF53" i="70"/>
  <c r="BG53" i="70"/>
  <c r="BH53" i="70"/>
  <c r="BI53" i="70"/>
  <c r="BJ53" i="70"/>
  <c r="BK53" i="70"/>
  <c r="BL53" i="70"/>
  <c r="BM53" i="70"/>
  <c r="BN53" i="70"/>
  <c r="BF54" i="70"/>
  <c r="BG54" i="70"/>
  <c r="BH54" i="70"/>
  <c r="BI54" i="70"/>
  <c r="BJ54" i="70"/>
  <c r="BK54" i="70"/>
  <c r="BL54" i="70"/>
  <c r="BM54" i="70"/>
  <c r="BN54" i="70"/>
  <c r="BG55" i="70"/>
  <c r="BH55" i="70"/>
  <c r="BI55" i="70"/>
  <c r="BJ55" i="70"/>
  <c r="BK55" i="70"/>
  <c r="BL55" i="70"/>
  <c r="BM55" i="70"/>
  <c r="BN55" i="70"/>
  <c r="BH56" i="70"/>
  <c r="BI56" i="70"/>
  <c r="BJ56" i="70"/>
  <c r="BK56" i="70"/>
  <c r="BL56" i="70"/>
  <c r="BM56" i="70"/>
  <c r="BN56" i="70"/>
  <c r="BI57" i="70"/>
  <c r="BJ57" i="70"/>
  <c r="BK57" i="70"/>
  <c r="BL57" i="70"/>
  <c r="BM57" i="70"/>
  <c r="BN57" i="70"/>
  <c r="BJ58" i="70"/>
  <c r="BK58" i="70"/>
  <c r="BL58" i="70"/>
  <c r="BM58" i="70"/>
  <c r="BN58" i="70"/>
  <c r="BK59" i="70"/>
  <c r="BL59" i="70"/>
  <c r="BM59" i="70"/>
  <c r="BN59" i="70"/>
  <c r="BL60" i="70"/>
  <c r="BM60" i="70"/>
  <c r="BN60" i="70"/>
  <c r="BM61" i="70"/>
  <c r="BN61" i="70"/>
  <c r="BN62" i="70"/>
  <c r="AQ107" i="70"/>
  <c r="AR107" i="70"/>
  <c r="AS107" i="70"/>
  <c r="AT107" i="70"/>
  <c r="AV107" i="70"/>
  <c r="AW107" i="70"/>
  <c r="AX107" i="70"/>
  <c r="AY107" i="70"/>
  <c r="AZ107" i="70"/>
  <c r="BA107" i="70"/>
  <c r="BB107" i="70"/>
  <c r="BC107" i="70"/>
  <c r="BD107" i="70"/>
  <c r="BE107" i="70"/>
  <c r="BF107" i="70"/>
  <c r="BG107" i="70"/>
  <c r="BH107" i="70"/>
  <c r="BI107" i="70"/>
  <c r="BJ107" i="70"/>
  <c r="BK107" i="70"/>
  <c r="BL107" i="70"/>
  <c r="BM107" i="70"/>
  <c r="BN107" i="70"/>
  <c r="AR108" i="70"/>
  <c r="AU108" i="70"/>
  <c r="AW108" i="70"/>
  <c r="AX108" i="70"/>
  <c r="AY108" i="70"/>
  <c r="AZ108" i="70"/>
  <c r="BA108" i="70"/>
  <c r="BB108" i="70"/>
  <c r="BC108" i="70"/>
  <c r="BD108" i="70"/>
  <c r="BE108" i="70"/>
  <c r="BF108" i="70"/>
  <c r="BG108" i="70"/>
  <c r="BH108" i="70"/>
  <c r="BI108" i="70"/>
  <c r="BJ108" i="70"/>
  <c r="BK108" i="70"/>
  <c r="BL108" i="70"/>
  <c r="BM108" i="70"/>
  <c r="BN108" i="70"/>
  <c r="AN109" i="70"/>
  <c r="AO109" i="70"/>
  <c r="AP109" i="70"/>
  <c r="AX109" i="70"/>
  <c r="AY109" i="70"/>
  <c r="AZ109" i="70"/>
  <c r="BA109" i="70"/>
  <c r="BB109" i="70"/>
  <c r="BC109" i="70"/>
  <c r="BD109" i="70"/>
  <c r="BE109" i="70"/>
  <c r="BF109" i="70"/>
  <c r="BG109" i="70"/>
  <c r="BH109" i="70"/>
  <c r="BI109" i="70"/>
  <c r="BJ109" i="70"/>
  <c r="BK109" i="70"/>
  <c r="BL109" i="70"/>
  <c r="BM109" i="70"/>
  <c r="BN109" i="70"/>
  <c r="AP110" i="70"/>
  <c r="AQ110" i="70"/>
  <c r="AY110" i="70"/>
  <c r="AZ110" i="70"/>
  <c r="BA110" i="70"/>
  <c r="BB110" i="70"/>
  <c r="BC110" i="70"/>
  <c r="BD110" i="70"/>
  <c r="BE110" i="70"/>
  <c r="BF110" i="70"/>
  <c r="BG110" i="70"/>
  <c r="BH110" i="70"/>
  <c r="BI110" i="70"/>
  <c r="BJ110" i="70"/>
  <c r="BK110" i="70"/>
  <c r="BL110" i="70"/>
  <c r="BM110" i="70"/>
  <c r="BN110" i="70"/>
  <c r="AZ111" i="70"/>
  <c r="BA111" i="70"/>
  <c r="BB111" i="70"/>
  <c r="BC111" i="70"/>
  <c r="BD111" i="70"/>
  <c r="BE111" i="70"/>
  <c r="BF111" i="70"/>
  <c r="BG111" i="70"/>
  <c r="BH111" i="70"/>
  <c r="BI111" i="70"/>
  <c r="BJ111" i="70"/>
  <c r="BK111" i="70"/>
  <c r="BL111" i="70"/>
  <c r="BM111" i="70"/>
  <c r="BN111" i="70"/>
  <c r="BA112" i="70"/>
  <c r="BB112" i="70"/>
  <c r="BC112" i="70"/>
  <c r="BD112" i="70"/>
  <c r="BE112" i="70"/>
  <c r="BF112" i="70"/>
  <c r="BG112" i="70"/>
  <c r="BH112" i="70"/>
  <c r="BI112" i="70"/>
  <c r="BJ112" i="70"/>
  <c r="BK112" i="70"/>
  <c r="BL112" i="70"/>
  <c r="BM112" i="70"/>
  <c r="BN112" i="70"/>
  <c r="AO113" i="70"/>
  <c r="BA113" i="70"/>
  <c r="BB113" i="70"/>
  <c r="BC113" i="70"/>
  <c r="BD113" i="70"/>
  <c r="BE113" i="70"/>
  <c r="BF113" i="70"/>
  <c r="BG113" i="70"/>
  <c r="BH113" i="70"/>
  <c r="BI113" i="70"/>
  <c r="BJ113" i="70"/>
  <c r="BK113" i="70"/>
  <c r="BL113" i="70"/>
  <c r="BM113" i="70"/>
  <c r="BN113" i="70"/>
  <c r="AY114" i="70"/>
  <c r="BC114" i="70"/>
  <c r="BD114" i="70"/>
  <c r="BE114" i="70"/>
  <c r="BF114" i="70"/>
  <c r="BG114" i="70"/>
  <c r="BH114" i="70"/>
  <c r="BI114" i="70"/>
  <c r="BJ114" i="70"/>
  <c r="BK114" i="70"/>
  <c r="BL114" i="70"/>
  <c r="BM114" i="70"/>
  <c r="BN114" i="70"/>
  <c r="AV115" i="70"/>
  <c r="BD115" i="70"/>
  <c r="BE115" i="70"/>
  <c r="BF115" i="70"/>
  <c r="BG115" i="70"/>
  <c r="BH115" i="70"/>
  <c r="BI115" i="70"/>
  <c r="BJ115" i="70"/>
  <c r="BK115" i="70"/>
  <c r="BL115" i="70"/>
  <c r="BM115" i="70"/>
  <c r="BN115" i="70"/>
  <c r="AR116" i="70"/>
  <c r="AS116" i="70"/>
  <c r="BE116" i="70"/>
  <c r="BF116" i="70"/>
  <c r="BG116" i="70"/>
  <c r="BH116" i="70"/>
  <c r="BI116" i="70"/>
  <c r="BJ116" i="70"/>
  <c r="BK116" i="70"/>
  <c r="BL116" i="70"/>
  <c r="BM116" i="70"/>
  <c r="BN116" i="70"/>
  <c r="BF117" i="70"/>
  <c r="BG117" i="70"/>
  <c r="BH117" i="70"/>
  <c r="BI117" i="70"/>
  <c r="BJ117" i="70"/>
  <c r="BK117" i="70"/>
  <c r="BL117" i="70"/>
  <c r="BM117" i="70"/>
  <c r="BN117" i="70"/>
  <c r="BG118" i="70"/>
  <c r="BH118" i="70"/>
  <c r="BI118" i="70"/>
  <c r="BJ118" i="70"/>
  <c r="BK118" i="70"/>
  <c r="BL118" i="70"/>
  <c r="BM118" i="70"/>
  <c r="BN118" i="70"/>
  <c r="BH119" i="70"/>
  <c r="BI119" i="70"/>
  <c r="BJ119" i="70"/>
  <c r="BK119" i="70"/>
  <c r="BL119" i="70"/>
  <c r="BM119" i="70"/>
  <c r="BN119" i="70"/>
  <c r="BI120" i="70"/>
  <c r="BJ120" i="70"/>
  <c r="BK120" i="70"/>
  <c r="BL120" i="70"/>
  <c r="BM120" i="70"/>
  <c r="BN120" i="70"/>
  <c r="AP121" i="70"/>
  <c r="AR121" i="70"/>
  <c r="BJ121" i="70"/>
  <c r="BK121" i="70"/>
  <c r="BL121" i="70"/>
  <c r="BM121" i="70"/>
  <c r="BN121" i="70"/>
  <c r="AO122" i="70"/>
  <c r="AU122" i="70"/>
  <c r="AX122" i="70"/>
  <c r="BK122" i="70"/>
  <c r="BL122" i="70"/>
  <c r="BM122" i="70"/>
  <c r="BN122" i="70"/>
  <c r="AN123" i="70"/>
  <c r="AZ123" i="70"/>
  <c r="BF123" i="70"/>
  <c r="BL123" i="70"/>
  <c r="BM123" i="70"/>
  <c r="BN123" i="70"/>
  <c r="AT124" i="70"/>
  <c r="BF124" i="70"/>
  <c r="BM124" i="70"/>
  <c r="BN124" i="70"/>
  <c r="BM125" i="70"/>
  <c r="BN125" i="70"/>
  <c r="AY126" i="70"/>
  <c r="BC126" i="70"/>
  <c r="BJ126" i="70"/>
  <c r="BH127" i="70"/>
  <c r="AS128" i="70"/>
  <c r="AW128" i="70"/>
  <c r="BD128" i="70"/>
  <c r="BB129" i="70"/>
  <c r="BN129" i="70"/>
  <c r="AQ130" i="70"/>
  <c r="AX130" i="70"/>
  <c r="AV131" i="70"/>
  <c r="BH131" i="70"/>
  <c r="BL131" i="70"/>
  <c r="AR132" i="70"/>
  <c r="AN133" i="70"/>
  <c r="AO133" i="70"/>
  <c r="BF133" i="70"/>
  <c r="BL133" i="70"/>
  <c r="BC134" i="70"/>
  <c r="BK134" i="70"/>
  <c r="AO106" i="70"/>
  <c r="AP106" i="70"/>
  <c r="AQ106" i="70"/>
  <c r="AR106" i="70"/>
  <c r="AS106" i="70"/>
  <c r="AU106" i="70"/>
  <c r="AV106" i="70"/>
  <c r="AW106" i="70"/>
  <c r="AX106" i="70"/>
  <c r="AY106" i="70"/>
  <c r="AZ106" i="70"/>
  <c r="BA106" i="70"/>
  <c r="BB106" i="70"/>
  <c r="BC106" i="70"/>
  <c r="BD106" i="70"/>
  <c r="BE106" i="70"/>
  <c r="BF106" i="70"/>
  <c r="BG106" i="70"/>
  <c r="BH106" i="70"/>
  <c r="BI106" i="70"/>
  <c r="BJ106" i="70"/>
  <c r="BK106" i="70"/>
  <c r="BL106" i="70"/>
  <c r="BM106" i="70"/>
  <c r="BN106" i="70"/>
  <c r="E15" i="70"/>
  <c r="E16" i="70"/>
  <c r="E17" i="70"/>
  <c r="E18" i="70"/>
  <c r="AT106" i="70" s="1"/>
  <c r="E19" i="70"/>
  <c r="E20" i="70"/>
  <c r="AN107" i="70" s="1"/>
  <c r="E21" i="70"/>
  <c r="E22" i="70"/>
  <c r="AO107" i="70" s="1"/>
  <c r="E23" i="70"/>
  <c r="E24" i="70"/>
  <c r="AP107" i="70" s="1"/>
  <c r="E25" i="70"/>
  <c r="E31" i="70"/>
  <c r="E32" i="70"/>
  <c r="E33" i="70"/>
  <c r="E34" i="70"/>
  <c r="AU107" i="70" s="1"/>
  <c r="E35" i="70"/>
  <c r="E36" i="70"/>
  <c r="AN108" i="70" s="1"/>
  <c r="E37" i="70"/>
  <c r="E38" i="70"/>
  <c r="AO108" i="70" s="1"/>
  <c r="E39" i="70"/>
  <c r="E40" i="70"/>
  <c r="AP108" i="70" s="1"/>
  <c r="E41" i="70"/>
  <c r="E42" i="70"/>
  <c r="AQ108" i="70" s="1"/>
  <c r="E43" i="70"/>
  <c r="E44" i="70"/>
  <c r="E45" i="70"/>
  <c r="E46" i="70"/>
  <c r="AS108" i="70" s="1"/>
  <c r="E47" i="70"/>
  <c r="E48" i="70"/>
  <c r="AT108" i="70" s="1"/>
  <c r="E49" i="70"/>
  <c r="E50" i="70"/>
  <c r="E51" i="70"/>
  <c r="E52" i="70"/>
  <c r="AV108" i="70" s="1"/>
  <c r="E58" i="70"/>
  <c r="E59" i="70"/>
  <c r="E60" i="70"/>
  <c r="AQ109" i="70" s="1"/>
  <c r="E61" i="70"/>
  <c r="E62" i="70"/>
  <c r="AR109" i="70" s="1"/>
  <c r="E63" i="70"/>
  <c r="E64" i="70"/>
  <c r="AS109" i="70" s="1"/>
  <c r="E65" i="70"/>
  <c r="E66" i="70"/>
  <c r="AT109" i="70" s="1"/>
  <c r="E67" i="70"/>
  <c r="E68" i="70"/>
  <c r="AU109" i="70" s="1"/>
  <c r="E69" i="70"/>
  <c r="E70" i="70"/>
  <c r="AV109" i="70" s="1"/>
  <c r="E71" i="70"/>
  <c r="E72" i="70"/>
  <c r="AW109" i="70" s="1"/>
  <c r="E73" i="70"/>
  <c r="E74" i="70"/>
  <c r="AN110" i="70" s="1"/>
  <c r="E75" i="70"/>
  <c r="E76" i="70"/>
  <c r="AO110" i="70" s="1"/>
  <c r="E77" i="70"/>
  <c r="E82" i="70"/>
  <c r="AR110" i="70" s="1"/>
  <c r="E83" i="70"/>
  <c r="E84" i="70"/>
  <c r="AS110" i="70" s="1"/>
  <c r="E85" i="70"/>
  <c r="E86" i="70"/>
  <c r="AT110" i="70" s="1"/>
  <c r="E87" i="70"/>
  <c r="E88" i="70"/>
  <c r="AU110" i="70" s="1"/>
  <c r="E89" i="70"/>
  <c r="E90" i="70"/>
  <c r="AV110" i="70" s="1"/>
  <c r="E91" i="70"/>
  <c r="E92" i="70"/>
  <c r="AW110" i="70" s="1"/>
  <c r="E93" i="70"/>
  <c r="E94" i="70"/>
  <c r="AX110" i="70" s="1"/>
  <c r="E95" i="70"/>
  <c r="E96" i="70"/>
  <c r="AN111" i="70" s="1"/>
  <c r="E97" i="70"/>
  <c r="E98" i="70"/>
  <c r="AO111" i="70" s="1"/>
  <c r="E99" i="70"/>
  <c r="E100" i="70"/>
  <c r="AP111" i="70" s="1"/>
  <c r="E101" i="70"/>
  <c r="E102" i="70"/>
  <c r="AQ111" i="70" s="1"/>
  <c r="E103" i="70"/>
  <c r="E104" i="70"/>
  <c r="AR111" i="70" s="1"/>
  <c r="E105" i="70"/>
  <c r="E106" i="70"/>
  <c r="AS111" i="70" s="1"/>
  <c r="E107" i="70"/>
  <c r="E108" i="70"/>
  <c r="AT111" i="70" s="1"/>
  <c r="E109" i="70"/>
  <c r="E110" i="70"/>
  <c r="AU111" i="70" s="1"/>
  <c r="E111" i="70"/>
  <c r="E112" i="70"/>
  <c r="AV111" i="70" s="1"/>
  <c r="E113" i="70"/>
  <c r="E114" i="70"/>
  <c r="AW111" i="70" s="1"/>
  <c r="E115" i="70"/>
  <c r="E116" i="70"/>
  <c r="AX111" i="70" s="1"/>
  <c r="E117" i="70"/>
  <c r="E118" i="70"/>
  <c r="AY111" i="70" s="1"/>
  <c r="E119" i="70"/>
  <c r="E120" i="70"/>
  <c r="AN112" i="70" s="1"/>
  <c r="E121" i="70"/>
  <c r="E122" i="70"/>
  <c r="AO112" i="70" s="1"/>
  <c r="E123" i="70"/>
  <c r="E124" i="70"/>
  <c r="AP112" i="70" s="1"/>
  <c r="E125" i="70"/>
  <c r="E126" i="70"/>
  <c r="AQ112" i="70" s="1"/>
  <c r="E127" i="70"/>
  <c r="E128" i="70"/>
  <c r="AR112" i="70" s="1"/>
  <c r="E129" i="70"/>
  <c r="E130" i="70"/>
  <c r="AS112" i="70" s="1"/>
  <c r="E131" i="70"/>
  <c r="E132" i="70"/>
  <c r="AT112" i="70" s="1"/>
  <c r="E133" i="70"/>
  <c r="E134" i="70"/>
  <c r="AU112" i="70" s="1"/>
  <c r="E135" i="70"/>
  <c r="E136" i="70"/>
  <c r="AV112" i="70" s="1"/>
  <c r="E137" i="70"/>
  <c r="E138" i="70"/>
  <c r="AW112" i="70" s="1"/>
  <c r="E139" i="70"/>
  <c r="E140" i="70"/>
  <c r="AX112" i="70" s="1"/>
  <c r="E141" i="70"/>
  <c r="E142" i="70"/>
  <c r="AY112" i="70" s="1"/>
  <c r="E143" i="70"/>
  <c r="E144" i="70"/>
  <c r="AZ112" i="70" s="1"/>
  <c r="E145" i="70"/>
  <c r="E146" i="70"/>
  <c r="AN113" i="70" s="1"/>
  <c r="E147" i="70"/>
  <c r="E148" i="70"/>
  <c r="E149" i="70"/>
  <c r="E150" i="70"/>
  <c r="AP113" i="70" s="1"/>
  <c r="E151" i="70"/>
  <c r="E152" i="70"/>
  <c r="AQ113" i="70" s="1"/>
  <c r="E153" i="70"/>
  <c r="E154" i="70"/>
  <c r="AR113" i="70" s="1"/>
  <c r="E155" i="70"/>
  <c r="E156" i="70"/>
  <c r="AS113" i="70" s="1"/>
  <c r="E157" i="70"/>
  <c r="E158" i="70"/>
  <c r="AT113" i="70" s="1"/>
  <c r="E159" i="70"/>
  <c r="E160" i="70"/>
  <c r="AU113" i="70" s="1"/>
  <c r="E161" i="70"/>
  <c r="E162" i="70"/>
  <c r="AV113" i="70" s="1"/>
  <c r="E163" i="70"/>
  <c r="E164" i="70"/>
  <c r="AW113" i="70" s="1"/>
  <c r="E165" i="70"/>
  <c r="E166" i="70"/>
  <c r="AX113" i="70" s="1"/>
  <c r="E167" i="70"/>
  <c r="E168" i="70"/>
  <c r="AY113" i="70" s="1"/>
  <c r="E169" i="70"/>
  <c r="E170" i="70"/>
  <c r="AZ113" i="70" s="1"/>
  <c r="E171" i="70"/>
  <c r="E172" i="70"/>
  <c r="E173" i="70"/>
  <c r="E174" i="70"/>
  <c r="AN114" i="70" s="1"/>
  <c r="E175" i="70"/>
  <c r="E176" i="70"/>
  <c r="AO114" i="70" s="1"/>
  <c r="E177" i="70"/>
  <c r="E178" i="70"/>
  <c r="AP114" i="70" s="1"/>
  <c r="E179" i="70"/>
  <c r="E180" i="70"/>
  <c r="AQ114" i="70" s="1"/>
  <c r="E181" i="70"/>
  <c r="E182" i="70"/>
  <c r="AR114" i="70" s="1"/>
  <c r="E183" i="70"/>
  <c r="E184" i="70"/>
  <c r="AS114" i="70" s="1"/>
  <c r="E185" i="70"/>
  <c r="E186" i="70"/>
  <c r="AT114" i="70" s="1"/>
  <c r="E187" i="70"/>
  <c r="E188" i="70"/>
  <c r="AU114" i="70" s="1"/>
  <c r="E189" i="70"/>
  <c r="E190" i="70"/>
  <c r="AV114" i="70" s="1"/>
  <c r="E191" i="70"/>
  <c r="E192" i="70"/>
  <c r="AW114" i="70" s="1"/>
  <c r="E193" i="70"/>
  <c r="E194" i="70"/>
  <c r="AX114" i="70" s="1"/>
  <c r="E195" i="70"/>
  <c r="E196" i="70"/>
  <c r="E197" i="70"/>
  <c r="E198" i="70"/>
  <c r="AZ114" i="70" s="1"/>
  <c r="E199" i="70"/>
  <c r="E200" i="70"/>
  <c r="BA114" i="70" s="1"/>
  <c r="E201" i="70"/>
  <c r="E202" i="70"/>
  <c r="BB114" i="70" s="1"/>
  <c r="E203" i="70"/>
  <c r="E204" i="70"/>
  <c r="AN115" i="70" s="1"/>
  <c r="E205" i="70"/>
  <c r="E206" i="70"/>
  <c r="AO115" i="70" s="1"/>
  <c r="E207" i="70"/>
  <c r="E208" i="70"/>
  <c r="AP115" i="70" s="1"/>
  <c r="E209" i="70"/>
  <c r="E210" i="70"/>
  <c r="AQ115" i="70" s="1"/>
  <c r="E211" i="70"/>
  <c r="E212" i="70"/>
  <c r="AR115" i="70" s="1"/>
  <c r="E213" i="70"/>
  <c r="E214" i="70"/>
  <c r="AS115" i="70" s="1"/>
  <c r="E215" i="70"/>
  <c r="E216" i="70"/>
  <c r="AT115" i="70" s="1"/>
  <c r="E217" i="70"/>
  <c r="E218" i="70"/>
  <c r="AU115" i="70" s="1"/>
  <c r="E219" i="70"/>
  <c r="E220" i="70"/>
  <c r="E221" i="70"/>
  <c r="E222" i="70"/>
  <c r="AW115" i="70" s="1"/>
  <c r="E223" i="70"/>
  <c r="E224" i="70"/>
  <c r="AX115" i="70" s="1"/>
  <c r="E225" i="70"/>
  <c r="E226" i="70"/>
  <c r="AY115" i="70" s="1"/>
  <c r="E227" i="70"/>
  <c r="E228" i="70"/>
  <c r="AZ115" i="70" s="1"/>
  <c r="E229" i="70"/>
  <c r="E230" i="70"/>
  <c r="BA115" i="70" s="1"/>
  <c r="E231" i="70"/>
  <c r="E232" i="70"/>
  <c r="BB115" i="70" s="1"/>
  <c r="E233" i="70"/>
  <c r="E234" i="70"/>
  <c r="BC115" i="70" s="1"/>
  <c r="E235" i="70"/>
  <c r="E236" i="70"/>
  <c r="AN116" i="70" s="1"/>
  <c r="E237" i="70"/>
  <c r="E238" i="70"/>
  <c r="AO116" i="70" s="1"/>
  <c r="E239" i="70"/>
  <c r="E240" i="70"/>
  <c r="AP116" i="70" s="1"/>
  <c r="E241" i="70"/>
  <c r="E242" i="70"/>
  <c r="AQ116" i="70" s="1"/>
  <c r="E243" i="70"/>
  <c r="E244" i="70"/>
  <c r="E245" i="70"/>
  <c r="E246" i="70"/>
  <c r="E247" i="70"/>
  <c r="E248" i="70"/>
  <c r="AT116" i="70" s="1"/>
  <c r="E249" i="70"/>
  <c r="E250" i="70"/>
  <c r="AU116" i="70" s="1"/>
  <c r="E251" i="70"/>
  <c r="E252" i="70"/>
  <c r="AV116" i="70" s="1"/>
  <c r="E253" i="70"/>
  <c r="E254" i="70"/>
  <c r="AW116" i="70" s="1"/>
  <c r="E255" i="70"/>
  <c r="E256" i="70"/>
  <c r="AX116" i="70" s="1"/>
  <c r="E257" i="70"/>
  <c r="E258" i="70"/>
  <c r="AY116" i="70" s="1"/>
  <c r="E259" i="70"/>
  <c r="E260" i="70"/>
  <c r="AZ116" i="70" s="1"/>
  <c r="E261" i="70"/>
  <c r="E262" i="70"/>
  <c r="BA116" i="70" s="1"/>
  <c r="E263" i="70"/>
  <c r="E264" i="70"/>
  <c r="BB116" i="70" s="1"/>
  <c r="E265" i="70"/>
  <c r="E266" i="70"/>
  <c r="BC116" i="70" s="1"/>
  <c r="E267" i="70"/>
  <c r="E268" i="70"/>
  <c r="BD116" i="70" s="1"/>
  <c r="E269" i="70"/>
  <c r="E270" i="70"/>
  <c r="AN117" i="70" s="1"/>
  <c r="E271" i="70"/>
  <c r="E272" i="70"/>
  <c r="AO117" i="70" s="1"/>
  <c r="E273" i="70"/>
  <c r="E274" i="70"/>
  <c r="AP117" i="70" s="1"/>
  <c r="E275" i="70"/>
  <c r="E276" i="70"/>
  <c r="AQ117" i="70" s="1"/>
  <c r="E277" i="70"/>
  <c r="E278" i="70"/>
  <c r="AR117" i="70" s="1"/>
  <c r="E279" i="70"/>
  <c r="E280" i="70"/>
  <c r="AS117" i="70" s="1"/>
  <c r="E281" i="70"/>
  <c r="E282" i="70"/>
  <c r="AT117" i="70" s="1"/>
  <c r="E283" i="70"/>
  <c r="E284" i="70"/>
  <c r="AU117" i="70" s="1"/>
  <c r="E285" i="70"/>
  <c r="E286" i="70"/>
  <c r="AV117" i="70" s="1"/>
  <c r="E287" i="70"/>
  <c r="E288" i="70"/>
  <c r="AW117" i="70" s="1"/>
  <c r="E289" i="70"/>
  <c r="E290" i="70"/>
  <c r="AX117" i="70" s="1"/>
  <c r="E291" i="70"/>
  <c r="E292" i="70"/>
  <c r="AY117" i="70" s="1"/>
  <c r="E293" i="70"/>
  <c r="E294" i="70"/>
  <c r="AZ117" i="70" s="1"/>
  <c r="E295" i="70"/>
  <c r="E296" i="70"/>
  <c r="BA117" i="70" s="1"/>
  <c r="E297" i="70"/>
  <c r="E298" i="70"/>
  <c r="BB117" i="70" s="1"/>
  <c r="E299" i="70"/>
  <c r="E300" i="70"/>
  <c r="BC117" i="70" s="1"/>
  <c r="E301" i="70"/>
  <c r="E302" i="70"/>
  <c r="BD117" i="70" s="1"/>
  <c r="E303" i="70"/>
  <c r="E304" i="70"/>
  <c r="BE117" i="70" s="1"/>
  <c r="E305" i="70"/>
  <c r="E306" i="70"/>
  <c r="AN118" i="70" s="1"/>
  <c r="E307" i="70"/>
  <c r="E308" i="70"/>
  <c r="AO118" i="70" s="1"/>
  <c r="E309" i="70"/>
  <c r="E310" i="70"/>
  <c r="AP118" i="70" s="1"/>
  <c r="E311" i="70"/>
  <c r="E312" i="70"/>
  <c r="AQ118" i="70" s="1"/>
  <c r="E313" i="70"/>
  <c r="E314" i="70"/>
  <c r="AR118" i="70" s="1"/>
  <c r="E315" i="70"/>
  <c r="E316" i="70"/>
  <c r="AS118" i="70" s="1"/>
  <c r="E317" i="70"/>
  <c r="E318" i="70"/>
  <c r="AT118" i="70" s="1"/>
  <c r="E319" i="70"/>
  <c r="E320" i="70"/>
  <c r="AU118" i="70" s="1"/>
  <c r="E321" i="70"/>
  <c r="E322" i="70"/>
  <c r="AV118" i="70" s="1"/>
  <c r="E323" i="70"/>
  <c r="E324" i="70"/>
  <c r="AW118" i="70" s="1"/>
  <c r="E325" i="70"/>
  <c r="E326" i="70"/>
  <c r="AX118" i="70" s="1"/>
  <c r="E327" i="70"/>
  <c r="E328" i="70"/>
  <c r="AY118" i="70" s="1"/>
  <c r="E329" i="70"/>
  <c r="E330" i="70"/>
  <c r="AZ118" i="70" s="1"/>
  <c r="E331" i="70"/>
  <c r="E332" i="70"/>
  <c r="BA118" i="70" s="1"/>
  <c r="E333" i="70"/>
  <c r="E334" i="70"/>
  <c r="BB118" i="70" s="1"/>
  <c r="E335" i="70"/>
  <c r="E336" i="70"/>
  <c r="BC118" i="70" s="1"/>
  <c r="E337" i="70"/>
  <c r="E338" i="70"/>
  <c r="BD118" i="70" s="1"/>
  <c r="E339" i="70"/>
  <c r="E340" i="70"/>
  <c r="BE118" i="70" s="1"/>
  <c r="E341" i="70"/>
  <c r="E342" i="70"/>
  <c r="BF118" i="70" s="1"/>
  <c r="E343" i="70"/>
  <c r="E344" i="70"/>
  <c r="AN119" i="70" s="1"/>
  <c r="E345" i="70"/>
  <c r="E346" i="70"/>
  <c r="AO119" i="70" s="1"/>
  <c r="E347" i="70"/>
  <c r="E348" i="70"/>
  <c r="AP119" i="70" s="1"/>
  <c r="E349" i="70"/>
  <c r="E350" i="70"/>
  <c r="AQ119" i="70" s="1"/>
  <c r="E351" i="70"/>
  <c r="E352" i="70"/>
  <c r="AR119" i="70" s="1"/>
  <c r="E353" i="70"/>
  <c r="E354" i="70"/>
  <c r="AS119" i="70" s="1"/>
  <c r="E355" i="70"/>
  <c r="E356" i="70"/>
  <c r="AT119" i="70" s="1"/>
  <c r="E357" i="70"/>
  <c r="E358" i="70"/>
  <c r="AU119" i="70" s="1"/>
  <c r="E359" i="70"/>
  <c r="E360" i="70"/>
  <c r="AV119" i="70" s="1"/>
  <c r="E361" i="70"/>
  <c r="E362" i="70"/>
  <c r="AW119" i="70" s="1"/>
  <c r="E363" i="70"/>
  <c r="E364" i="70"/>
  <c r="AX119" i="70" s="1"/>
  <c r="E365" i="70"/>
  <c r="E366" i="70"/>
  <c r="AY119" i="70" s="1"/>
  <c r="E367" i="70"/>
  <c r="E368" i="70"/>
  <c r="AZ119" i="70" s="1"/>
  <c r="E369" i="70"/>
  <c r="E370" i="70"/>
  <c r="BA119" i="70" s="1"/>
  <c r="E371" i="70"/>
  <c r="E372" i="70"/>
  <c r="BB119" i="70" s="1"/>
  <c r="E373" i="70"/>
  <c r="E374" i="70"/>
  <c r="BC119" i="70" s="1"/>
  <c r="E375" i="70"/>
  <c r="E376" i="70"/>
  <c r="BD119" i="70" s="1"/>
  <c r="E377" i="70"/>
  <c r="E378" i="70"/>
  <c r="BE119" i="70" s="1"/>
  <c r="E379" i="70"/>
  <c r="E380" i="70"/>
  <c r="BF119" i="70" s="1"/>
  <c r="E381" i="70"/>
  <c r="E382" i="70"/>
  <c r="BG119" i="70" s="1"/>
  <c r="E383" i="70"/>
  <c r="E384" i="70"/>
  <c r="AN120" i="70" s="1"/>
  <c r="E385" i="70"/>
  <c r="E386" i="70"/>
  <c r="AO120" i="70" s="1"/>
  <c r="E387" i="70"/>
  <c r="E388" i="70"/>
  <c r="AP120" i="70" s="1"/>
  <c r="E389" i="70"/>
  <c r="E390" i="70"/>
  <c r="AQ120" i="70" s="1"/>
  <c r="E391" i="70"/>
  <c r="E392" i="70"/>
  <c r="AR120" i="70" s="1"/>
  <c r="E393" i="70"/>
  <c r="E394" i="70"/>
  <c r="AS120" i="70" s="1"/>
  <c r="E395" i="70"/>
  <c r="E396" i="70"/>
  <c r="AT120" i="70" s="1"/>
  <c r="E397" i="70"/>
  <c r="E398" i="70"/>
  <c r="AU120" i="70" s="1"/>
  <c r="E399" i="70"/>
  <c r="E400" i="70"/>
  <c r="AV120" i="70" s="1"/>
  <c r="E401" i="70"/>
  <c r="E402" i="70"/>
  <c r="AW120" i="70" s="1"/>
  <c r="E403" i="70"/>
  <c r="E404" i="70"/>
  <c r="AX120" i="70" s="1"/>
  <c r="E405" i="70"/>
  <c r="E406" i="70"/>
  <c r="AY120" i="70" s="1"/>
  <c r="E407" i="70"/>
  <c r="E408" i="70"/>
  <c r="AZ120" i="70" s="1"/>
  <c r="E409" i="70"/>
  <c r="E410" i="70"/>
  <c r="BA120" i="70" s="1"/>
  <c r="E411" i="70"/>
  <c r="E412" i="70"/>
  <c r="BB120" i="70" s="1"/>
  <c r="E413" i="70"/>
  <c r="E414" i="70"/>
  <c r="BC120" i="70" s="1"/>
  <c r="E415" i="70"/>
  <c r="E416" i="70"/>
  <c r="BD120" i="70" s="1"/>
  <c r="E417" i="70"/>
  <c r="E418" i="70"/>
  <c r="BE120" i="70" s="1"/>
  <c r="E419" i="70"/>
  <c r="E420" i="70"/>
  <c r="BF120" i="70" s="1"/>
  <c r="E421" i="70"/>
  <c r="E422" i="70"/>
  <c r="BG120" i="70" s="1"/>
  <c r="E423" i="70"/>
  <c r="E424" i="70"/>
  <c r="BH120" i="70" s="1"/>
  <c r="E425" i="70"/>
  <c r="E426" i="70"/>
  <c r="AN121" i="70" s="1"/>
  <c r="E427" i="70"/>
  <c r="E428" i="70"/>
  <c r="AO121" i="70" s="1"/>
  <c r="E429" i="70"/>
  <c r="E430" i="70"/>
  <c r="E431" i="70"/>
  <c r="E432" i="70"/>
  <c r="AQ121" i="70" s="1"/>
  <c r="E433" i="70"/>
  <c r="E434" i="70"/>
  <c r="E435" i="70"/>
  <c r="E436" i="70"/>
  <c r="AS121" i="70" s="1"/>
  <c r="E437" i="70"/>
  <c r="E438" i="70"/>
  <c r="AT121" i="70" s="1"/>
  <c r="E439" i="70"/>
  <c r="E440" i="70"/>
  <c r="AU121" i="70" s="1"/>
  <c r="E441" i="70"/>
  <c r="E442" i="70"/>
  <c r="AV121" i="70" s="1"/>
  <c r="E443" i="70"/>
  <c r="E444" i="70"/>
  <c r="AW121" i="70" s="1"/>
  <c r="E445" i="70"/>
  <c r="E446" i="70"/>
  <c r="AX121" i="70" s="1"/>
  <c r="E447" i="70"/>
  <c r="E448" i="70"/>
  <c r="AY121" i="70" s="1"/>
  <c r="E449" i="70"/>
  <c r="E450" i="70"/>
  <c r="AZ121" i="70" s="1"/>
  <c r="E451" i="70"/>
  <c r="E452" i="70"/>
  <c r="BA121" i="70" s="1"/>
  <c r="E453" i="70"/>
  <c r="E454" i="70"/>
  <c r="BB121" i="70" s="1"/>
  <c r="E455" i="70"/>
  <c r="E456" i="70"/>
  <c r="BC121" i="70" s="1"/>
  <c r="E457" i="70"/>
  <c r="E458" i="70"/>
  <c r="BD121" i="70" s="1"/>
  <c r="E459" i="70"/>
  <c r="E460" i="70"/>
  <c r="BE121" i="70" s="1"/>
  <c r="E461" i="70"/>
  <c r="E462" i="70"/>
  <c r="BF121" i="70" s="1"/>
  <c r="E463" i="70"/>
  <c r="E464" i="70"/>
  <c r="BG121" i="70" s="1"/>
  <c r="E465" i="70"/>
  <c r="E466" i="70"/>
  <c r="BH121" i="70" s="1"/>
  <c r="E467" i="70"/>
  <c r="E468" i="70"/>
  <c r="BI121" i="70" s="1"/>
  <c r="E469" i="70"/>
  <c r="E470" i="70"/>
  <c r="AN122" i="70" s="1"/>
  <c r="E471" i="70"/>
  <c r="E472" i="70"/>
  <c r="E473" i="70"/>
  <c r="E474" i="70"/>
  <c r="AP122" i="70" s="1"/>
  <c r="E475" i="70"/>
  <c r="E476" i="70"/>
  <c r="AQ122" i="70" s="1"/>
  <c r="E477" i="70"/>
  <c r="E478" i="70"/>
  <c r="AR122" i="70" s="1"/>
  <c r="E479" i="70"/>
  <c r="E480" i="70"/>
  <c r="AS122" i="70" s="1"/>
  <c r="E481" i="70"/>
  <c r="E482" i="70"/>
  <c r="AT122" i="70" s="1"/>
  <c r="E483" i="70"/>
  <c r="E484" i="70"/>
  <c r="E485" i="70"/>
  <c r="E486" i="70"/>
  <c r="AV122" i="70" s="1"/>
  <c r="E487" i="70"/>
  <c r="E488" i="70"/>
  <c r="AW122" i="70" s="1"/>
  <c r="E489" i="70"/>
  <c r="E490" i="70"/>
  <c r="E491" i="70"/>
  <c r="E492" i="70"/>
  <c r="AY122" i="70" s="1"/>
  <c r="E493" i="70"/>
  <c r="E494" i="70"/>
  <c r="AZ122" i="70" s="1"/>
  <c r="E495" i="70"/>
  <c r="E496" i="70"/>
  <c r="BA122" i="70" s="1"/>
  <c r="E497" i="70"/>
  <c r="E498" i="70"/>
  <c r="BB122" i="70" s="1"/>
  <c r="E499" i="70"/>
  <c r="E500" i="70"/>
  <c r="BC122" i="70" s="1"/>
  <c r="E501" i="70"/>
  <c r="E502" i="70"/>
  <c r="BD122" i="70" s="1"/>
  <c r="E503" i="70"/>
  <c r="E504" i="70"/>
  <c r="BE122" i="70" s="1"/>
  <c r="E505" i="70"/>
  <c r="E506" i="70"/>
  <c r="BF122" i="70" s="1"/>
  <c r="E507" i="70"/>
  <c r="E508" i="70"/>
  <c r="BG122" i="70" s="1"/>
  <c r="E509" i="70"/>
  <c r="E510" i="70"/>
  <c r="BH122" i="70" s="1"/>
  <c r="E511" i="70"/>
  <c r="E512" i="70"/>
  <c r="BI122" i="70" s="1"/>
  <c r="E513" i="70"/>
  <c r="E514" i="70"/>
  <c r="BJ122" i="70" s="1"/>
  <c r="E515" i="70"/>
  <c r="E516" i="70"/>
  <c r="E517" i="70"/>
  <c r="E518" i="70"/>
  <c r="AO123" i="70" s="1"/>
  <c r="E519" i="70"/>
  <c r="E520" i="70"/>
  <c r="AP123" i="70" s="1"/>
  <c r="E521" i="70"/>
  <c r="E522" i="70"/>
  <c r="AQ123" i="70" s="1"/>
  <c r="E523" i="70"/>
  <c r="E524" i="70"/>
  <c r="AR123" i="70" s="1"/>
  <c r="E525" i="70"/>
  <c r="E526" i="70"/>
  <c r="AS123" i="70" s="1"/>
  <c r="E527" i="70"/>
  <c r="E528" i="70"/>
  <c r="AT123" i="70" s="1"/>
  <c r="E529" i="70"/>
  <c r="E530" i="70"/>
  <c r="AU123" i="70" s="1"/>
  <c r="E531" i="70"/>
  <c r="E532" i="70"/>
  <c r="AV123" i="70" s="1"/>
  <c r="E533" i="70"/>
  <c r="E534" i="70"/>
  <c r="AW123" i="70" s="1"/>
  <c r="E535" i="70"/>
  <c r="E536" i="70"/>
  <c r="AX123" i="70" s="1"/>
  <c r="E537" i="70"/>
  <c r="E538" i="70"/>
  <c r="AY123" i="70" s="1"/>
  <c r="E539" i="70"/>
  <c r="E540" i="70"/>
  <c r="E541" i="70"/>
  <c r="E542" i="70"/>
  <c r="BA123" i="70" s="1"/>
  <c r="E543" i="70"/>
  <c r="E544" i="70"/>
  <c r="BB123" i="70" s="1"/>
  <c r="E545" i="70"/>
  <c r="E546" i="70"/>
  <c r="BC123" i="70" s="1"/>
  <c r="E547" i="70"/>
  <c r="E548" i="70"/>
  <c r="BD123" i="70" s="1"/>
  <c r="E549" i="70"/>
  <c r="E550" i="70"/>
  <c r="BE123" i="70" s="1"/>
  <c r="E551" i="70"/>
  <c r="E552" i="70"/>
  <c r="E553" i="70"/>
  <c r="E554" i="70"/>
  <c r="BG123" i="70" s="1"/>
  <c r="E555" i="70"/>
  <c r="E556" i="70"/>
  <c r="BH123" i="70" s="1"/>
  <c r="E557" i="70"/>
  <c r="E558" i="70"/>
  <c r="BI123" i="70" s="1"/>
  <c r="E559" i="70"/>
  <c r="E560" i="70"/>
  <c r="BJ123" i="70" s="1"/>
  <c r="E561" i="70"/>
  <c r="E562" i="70"/>
  <c r="BK123" i="70" s="1"/>
  <c r="E563" i="70"/>
  <c r="E564" i="70"/>
  <c r="AN124" i="70" s="1"/>
  <c r="E565" i="70"/>
  <c r="E566" i="70"/>
  <c r="AO124" i="70" s="1"/>
  <c r="E567" i="70"/>
  <c r="E568" i="70"/>
  <c r="AP124" i="70" s="1"/>
  <c r="E569" i="70"/>
  <c r="E570" i="70"/>
  <c r="AQ124" i="70" s="1"/>
  <c r="E571" i="70"/>
  <c r="E572" i="70"/>
  <c r="AR124" i="70" s="1"/>
  <c r="E573" i="70"/>
  <c r="E574" i="70"/>
  <c r="AS124" i="70" s="1"/>
  <c r="E575" i="70"/>
  <c r="E576" i="70"/>
  <c r="E577" i="70"/>
  <c r="E578" i="70"/>
  <c r="AU124" i="70" s="1"/>
  <c r="E579" i="70"/>
  <c r="E580" i="70"/>
  <c r="AV124" i="70" s="1"/>
  <c r="E581" i="70"/>
  <c r="E582" i="70"/>
  <c r="AW124" i="70" s="1"/>
  <c r="E583" i="70"/>
  <c r="E584" i="70"/>
  <c r="AX124" i="70" s="1"/>
  <c r="E585" i="70"/>
  <c r="E586" i="70"/>
  <c r="AY124" i="70" s="1"/>
  <c r="E587" i="70"/>
  <c r="E588" i="70"/>
  <c r="AZ124" i="70" s="1"/>
  <c r="E589" i="70"/>
  <c r="E590" i="70"/>
  <c r="BA124" i="70" s="1"/>
  <c r="E591" i="70"/>
  <c r="E592" i="70"/>
  <c r="BB124" i="70" s="1"/>
  <c r="E593" i="70"/>
  <c r="E594" i="70"/>
  <c r="BC124" i="70" s="1"/>
  <c r="E595" i="70"/>
  <c r="E596" i="70"/>
  <c r="BD124" i="70" s="1"/>
  <c r="E597" i="70"/>
  <c r="E598" i="70"/>
  <c r="BE124" i="70" s="1"/>
  <c r="E599" i="70"/>
  <c r="E600" i="70"/>
  <c r="E601" i="70"/>
  <c r="E602" i="70"/>
  <c r="BG124" i="70" s="1"/>
  <c r="E603" i="70"/>
  <c r="E604" i="70"/>
  <c r="BH124" i="70" s="1"/>
  <c r="E605" i="70"/>
  <c r="E606" i="70"/>
  <c r="BI124" i="70" s="1"/>
  <c r="E607" i="70"/>
  <c r="E608" i="70"/>
  <c r="BJ124" i="70" s="1"/>
  <c r="E609" i="70"/>
  <c r="E610" i="70"/>
  <c r="BK124" i="70" s="1"/>
  <c r="E611" i="70"/>
  <c r="E612" i="70"/>
  <c r="BL124" i="70" s="1"/>
  <c r="E613" i="70"/>
  <c r="E614" i="70"/>
  <c r="AN125" i="70" s="1"/>
  <c r="E615" i="70"/>
  <c r="E616" i="70"/>
  <c r="AO125" i="70" s="1"/>
  <c r="E617" i="70"/>
  <c r="E618" i="70"/>
  <c r="AP125" i="70" s="1"/>
  <c r="E619" i="70"/>
  <c r="E620" i="70"/>
  <c r="AQ125" i="70" s="1"/>
  <c r="E621" i="70"/>
  <c r="E622" i="70"/>
  <c r="AR125" i="70" s="1"/>
  <c r="E623" i="70"/>
  <c r="E624" i="70"/>
  <c r="AS125" i="70" s="1"/>
  <c r="E625" i="70"/>
  <c r="E626" i="70"/>
  <c r="AT125" i="70" s="1"/>
  <c r="E627" i="70"/>
  <c r="E628" i="70"/>
  <c r="AU125" i="70" s="1"/>
  <c r="E629" i="70"/>
  <c r="E630" i="70"/>
  <c r="AV125" i="70" s="1"/>
  <c r="E631" i="70"/>
  <c r="E632" i="70"/>
  <c r="AW125" i="70" s="1"/>
  <c r="E633" i="70"/>
  <c r="E634" i="70"/>
  <c r="AX125" i="70" s="1"/>
  <c r="E635" i="70"/>
  <c r="E636" i="70"/>
  <c r="AY125" i="70" s="1"/>
  <c r="E637" i="70"/>
  <c r="E638" i="70"/>
  <c r="AZ125" i="70" s="1"/>
  <c r="E639" i="70"/>
  <c r="E640" i="70"/>
  <c r="BA125" i="70" s="1"/>
  <c r="E641" i="70"/>
  <c r="E642" i="70"/>
  <c r="BB125" i="70" s="1"/>
  <c r="E643" i="70"/>
  <c r="E644" i="70"/>
  <c r="BC125" i="70" s="1"/>
  <c r="E645" i="70"/>
  <c r="E646" i="70"/>
  <c r="BD125" i="70" s="1"/>
  <c r="E647" i="70"/>
  <c r="E648" i="70"/>
  <c r="BE125" i="70" s="1"/>
  <c r="E649" i="70"/>
  <c r="E650" i="70"/>
  <c r="BF125" i="70" s="1"/>
  <c r="E651" i="70"/>
  <c r="E652" i="70"/>
  <c r="BG125" i="70" s="1"/>
  <c r="E653" i="70"/>
  <c r="E654" i="70"/>
  <c r="BH125" i="70" s="1"/>
  <c r="E655" i="70"/>
  <c r="E656" i="70"/>
  <c r="BI125" i="70" s="1"/>
  <c r="E657" i="70"/>
  <c r="E658" i="70"/>
  <c r="BJ125" i="70" s="1"/>
  <c r="E659" i="70"/>
  <c r="E660" i="70"/>
  <c r="BK125" i="70" s="1"/>
  <c r="E661" i="70"/>
  <c r="E662" i="70"/>
  <c r="BL125" i="70" s="1"/>
  <c r="E663" i="70"/>
  <c r="E664" i="70"/>
  <c r="E665" i="70"/>
  <c r="E666" i="70"/>
  <c r="AN126" i="70" s="1"/>
  <c r="E667" i="70"/>
  <c r="E668" i="70"/>
  <c r="AO126" i="70" s="1"/>
  <c r="E669" i="70"/>
  <c r="E670" i="70"/>
  <c r="AP126" i="70" s="1"/>
  <c r="E671" i="70"/>
  <c r="E672" i="70"/>
  <c r="AQ126" i="70" s="1"/>
  <c r="E673" i="70"/>
  <c r="E674" i="70"/>
  <c r="AR126" i="70" s="1"/>
  <c r="E675" i="70"/>
  <c r="E676" i="70"/>
  <c r="AS126" i="70" s="1"/>
  <c r="E677" i="70"/>
  <c r="E678" i="70"/>
  <c r="AT126" i="70" s="1"/>
  <c r="E679" i="70"/>
  <c r="E680" i="70"/>
  <c r="AU126" i="70" s="1"/>
  <c r="E681" i="70"/>
  <c r="E682" i="70"/>
  <c r="AV126" i="70" s="1"/>
  <c r="E683" i="70"/>
  <c r="E684" i="70"/>
  <c r="AW126" i="70" s="1"/>
  <c r="E685" i="70"/>
  <c r="E686" i="70"/>
  <c r="AX126" i="70" s="1"/>
  <c r="E687" i="70"/>
  <c r="E688" i="70"/>
  <c r="E689" i="70"/>
  <c r="E690" i="70"/>
  <c r="AZ126" i="70" s="1"/>
  <c r="E691" i="70"/>
  <c r="E692" i="70"/>
  <c r="BA126" i="70" s="1"/>
  <c r="E693" i="70"/>
  <c r="E694" i="70"/>
  <c r="BB126" i="70" s="1"/>
  <c r="E695" i="70"/>
  <c r="E696" i="70"/>
  <c r="E697" i="70"/>
  <c r="E698" i="70"/>
  <c r="BD126" i="70" s="1"/>
  <c r="E699" i="70"/>
  <c r="E700" i="70"/>
  <c r="BE126" i="70" s="1"/>
  <c r="E701" i="70"/>
  <c r="E702" i="70"/>
  <c r="BF126" i="70" s="1"/>
  <c r="E703" i="70"/>
  <c r="E704" i="70"/>
  <c r="BG126" i="70" s="1"/>
  <c r="E705" i="70"/>
  <c r="E706" i="70"/>
  <c r="BH126" i="70" s="1"/>
  <c r="E707" i="70"/>
  <c r="E708" i="70"/>
  <c r="BI126" i="70" s="1"/>
  <c r="E709" i="70"/>
  <c r="E710" i="70"/>
  <c r="E711" i="70"/>
  <c r="E712" i="70"/>
  <c r="BK126" i="70" s="1"/>
  <c r="E713" i="70"/>
  <c r="E714" i="70"/>
  <c r="BL126" i="70" s="1"/>
  <c r="E715" i="70"/>
  <c r="E716" i="70"/>
  <c r="BM126" i="70" s="1"/>
  <c r="E717" i="70"/>
  <c r="E718" i="70"/>
  <c r="BN126" i="70" s="1"/>
  <c r="E719" i="70"/>
  <c r="E720" i="70"/>
  <c r="AN127" i="70" s="1"/>
  <c r="E721" i="70"/>
  <c r="E722" i="70"/>
  <c r="AO127" i="70" s="1"/>
  <c r="E723" i="70"/>
  <c r="E724" i="70"/>
  <c r="AP127" i="70" s="1"/>
  <c r="E725" i="70"/>
  <c r="E726" i="70"/>
  <c r="AQ127" i="70" s="1"/>
  <c r="E727" i="70"/>
  <c r="E728" i="70"/>
  <c r="AR127" i="70" s="1"/>
  <c r="E729" i="70"/>
  <c r="E730" i="70"/>
  <c r="AS127" i="70" s="1"/>
  <c r="E731" i="70"/>
  <c r="E732" i="70"/>
  <c r="AT127" i="70" s="1"/>
  <c r="E733" i="70"/>
  <c r="E734" i="70"/>
  <c r="AU127" i="70" s="1"/>
  <c r="E735" i="70"/>
  <c r="E736" i="70"/>
  <c r="AV127" i="70" s="1"/>
  <c r="E737" i="70"/>
  <c r="E738" i="70"/>
  <c r="AW127" i="70" s="1"/>
  <c r="E739" i="70"/>
  <c r="E740" i="70"/>
  <c r="AX127" i="70" s="1"/>
  <c r="E741" i="70"/>
  <c r="E742" i="70"/>
  <c r="AY127" i="70" s="1"/>
  <c r="E743" i="70"/>
  <c r="E744" i="70"/>
  <c r="AZ127" i="70" s="1"/>
  <c r="E745" i="70"/>
  <c r="E746" i="70"/>
  <c r="BA127" i="70" s="1"/>
  <c r="E747" i="70"/>
  <c r="E748" i="70"/>
  <c r="BB127" i="70" s="1"/>
  <c r="E749" i="70"/>
  <c r="E750" i="70"/>
  <c r="BC127" i="70" s="1"/>
  <c r="E751" i="70"/>
  <c r="E752" i="70"/>
  <c r="BD127" i="70" s="1"/>
  <c r="E753" i="70"/>
  <c r="E754" i="70"/>
  <c r="BE127" i="70" s="1"/>
  <c r="E755" i="70"/>
  <c r="E756" i="70"/>
  <c r="BF127" i="70" s="1"/>
  <c r="E757" i="70"/>
  <c r="E758" i="70"/>
  <c r="BG127" i="70" s="1"/>
  <c r="E759" i="70"/>
  <c r="E760" i="70"/>
  <c r="E761" i="70"/>
  <c r="E762" i="70"/>
  <c r="BI127" i="70" s="1"/>
  <c r="E763" i="70"/>
  <c r="E764" i="70"/>
  <c r="BJ127" i="70" s="1"/>
  <c r="E765" i="70"/>
  <c r="E766" i="70"/>
  <c r="BK127" i="70" s="1"/>
  <c r="E767" i="70"/>
  <c r="E768" i="70"/>
  <c r="BL127" i="70" s="1"/>
  <c r="E769" i="70"/>
  <c r="E770" i="70"/>
  <c r="BM127" i="70" s="1"/>
  <c r="E771" i="70"/>
  <c r="E772" i="70"/>
  <c r="BN127" i="70" s="1"/>
  <c r="E773" i="70"/>
  <c r="E774" i="70"/>
  <c r="AN128" i="70" s="1"/>
  <c r="E775" i="70"/>
  <c r="E776" i="70"/>
  <c r="AO128" i="70" s="1"/>
  <c r="E777" i="70"/>
  <c r="E778" i="70"/>
  <c r="AP128" i="70" s="1"/>
  <c r="E779" i="70"/>
  <c r="E780" i="70"/>
  <c r="AQ128" i="70" s="1"/>
  <c r="E781" i="70"/>
  <c r="E782" i="70"/>
  <c r="AR128" i="70" s="1"/>
  <c r="E783" i="70"/>
  <c r="E784" i="70"/>
  <c r="E785" i="70"/>
  <c r="E786" i="70"/>
  <c r="AT128" i="70" s="1"/>
  <c r="E787" i="70"/>
  <c r="E788" i="70"/>
  <c r="AU128" i="70" s="1"/>
  <c r="E789" i="70"/>
  <c r="E790" i="70"/>
  <c r="AV128" i="70" s="1"/>
  <c r="E791" i="70"/>
  <c r="E792" i="70"/>
  <c r="E793" i="70"/>
  <c r="E794" i="70"/>
  <c r="AX128" i="70" s="1"/>
  <c r="E795" i="70"/>
  <c r="E796" i="70"/>
  <c r="AY128" i="70" s="1"/>
  <c r="E797" i="70"/>
  <c r="E798" i="70"/>
  <c r="AZ128" i="70" s="1"/>
  <c r="E799" i="70"/>
  <c r="E800" i="70"/>
  <c r="BA128" i="70" s="1"/>
  <c r="E801" i="70"/>
  <c r="E802" i="70"/>
  <c r="BB128" i="70" s="1"/>
  <c r="E803" i="70"/>
  <c r="E804" i="70"/>
  <c r="BC128" i="70" s="1"/>
  <c r="E805" i="70"/>
  <c r="E806" i="70"/>
  <c r="E807" i="70"/>
  <c r="E808" i="70"/>
  <c r="BE128" i="70" s="1"/>
  <c r="E809" i="70"/>
  <c r="E810" i="70"/>
  <c r="BF128" i="70" s="1"/>
  <c r="E811" i="70"/>
  <c r="E812" i="70"/>
  <c r="BG128" i="70" s="1"/>
  <c r="E813" i="70"/>
  <c r="E814" i="70"/>
  <c r="BH128" i="70" s="1"/>
  <c r="E815" i="70"/>
  <c r="E816" i="70"/>
  <c r="BI128" i="70" s="1"/>
  <c r="E817" i="70"/>
  <c r="E818" i="70"/>
  <c r="BJ128" i="70" s="1"/>
  <c r="E819" i="70"/>
  <c r="E820" i="70"/>
  <c r="BK128" i="70" s="1"/>
  <c r="E821" i="70"/>
  <c r="E822" i="70"/>
  <c r="BL128" i="70" s="1"/>
  <c r="E823" i="70"/>
  <c r="E824" i="70"/>
  <c r="BM128" i="70" s="1"/>
  <c r="E825" i="70"/>
  <c r="E826" i="70"/>
  <c r="BN128" i="70" s="1"/>
  <c r="E827" i="70"/>
  <c r="E828" i="70"/>
  <c r="AN129" i="70" s="1"/>
  <c r="E829" i="70"/>
  <c r="E830" i="70"/>
  <c r="AO129" i="70" s="1"/>
  <c r="E831" i="70"/>
  <c r="E832" i="70"/>
  <c r="AP129" i="70" s="1"/>
  <c r="E833" i="70"/>
  <c r="E834" i="70"/>
  <c r="AQ129" i="70" s="1"/>
  <c r="E835" i="70"/>
  <c r="E836" i="70"/>
  <c r="AR129" i="70" s="1"/>
  <c r="E837" i="70"/>
  <c r="E838" i="70"/>
  <c r="AS129" i="70" s="1"/>
  <c r="E839" i="70"/>
  <c r="E840" i="70"/>
  <c r="AT129" i="70" s="1"/>
  <c r="E841" i="70"/>
  <c r="E842" i="70"/>
  <c r="AU129" i="70" s="1"/>
  <c r="E843" i="70"/>
  <c r="E844" i="70"/>
  <c r="AV129" i="70" s="1"/>
  <c r="E845" i="70"/>
  <c r="E846" i="70"/>
  <c r="AW129" i="70" s="1"/>
  <c r="E847" i="70"/>
  <c r="E848" i="70"/>
  <c r="AX129" i="70" s="1"/>
  <c r="E849" i="70"/>
  <c r="E850" i="70"/>
  <c r="AY129" i="70" s="1"/>
  <c r="E851" i="70"/>
  <c r="E852" i="70"/>
  <c r="AZ129" i="70" s="1"/>
  <c r="E853" i="70"/>
  <c r="E854" i="70"/>
  <c r="BA129" i="70" s="1"/>
  <c r="E855" i="70"/>
  <c r="E856" i="70"/>
  <c r="E857" i="70"/>
  <c r="E858" i="70"/>
  <c r="BC129" i="70" s="1"/>
  <c r="E859" i="70"/>
  <c r="E860" i="70"/>
  <c r="BD129" i="70" s="1"/>
  <c r="E861" i="70"/>
  <c r="E862" i="70"/>
  <c r="BE129" i="70" s="1"/>
  <c r="E863" i="70"/>
  <c r="E864" i="70"/>
  <c r="BF129" i="70" s="1"/>
  <c r="E865" i="70"/>
  <c r="E866" i="70"/>
  <c r="BG129" i="70" s="1"/>
  <c r="E867" i="70"/>
  <c r="E868" i="70"/>
  <c r="BH129" i="70" s="1"/>
  <c r="E869" i="70"/>
  <c r="E870" i="70"/>
  <c r="BI129" i="70" s="1"/>
  <c r="E871" i="70"/>
  <c r="E872" i="70"/>
  <c r="BJ129" i="70" s="1"/>
  <c r="E873" i="70"/>
  <c r="E874" i="70"/>
  <c r="BK129" i="70" s="1"/>
  <c r="E875" i="70"/>
  <c r="E876" i="70"/>
  <c r="BL129" i="70" s="1"/>
  <c r="E877" i="70"/>
  <c r="E878" i="70"/>
  <c r="BM129" i="70" s="1"/>
  <c r="E879" i="70"/>
  <c r="E880" i="70"/>
  <c r="E881" i="70"/>
  <c r="E882" i="70"/>
  <c r="AN130" i="70" s="1"/>
  <c r="E883" i="70"/>
  <c r="E884" i="70"/>
  <c r="AO130" i="70" s="1"/>
  <c r="E885" i="70"/>
  <c r="E886" i="70"/>
  <c r="AP130" i="70" s="1"/>
  <c r="E887" i="70"/>
  <c r="E888" i="70"/>
  <c r="E889" i="70"/>
  <c r="E890" i="70"/>
  <c r="AR130" i="70" s="1"/>
  <c r="E891" i="70"/>
  <c r="E892" i="70"/>
  <c r="AS130" i="70" s="1"/>
  <c r="E893" i="70"/>
  <c r="E894" i="70"/>
  <c r="AT130" i="70" s="1"/>
  <c r="E895" i="70"/>
  <c r="E896" i="70"/>
  <c r="AU130" i="70" s="1"/>
  <c r="E897" i="70"/>
  <c r="E898" i="70"/>
  <c r="AV130" i="70" s="1"/>
  <c r="E899" i="70"/>
  <c r="E900" i="70"/>
  <c r="AW130" i="70" s="1"/>
  <c r="E901" i="70"/>
  <c r="E902" i="70"/>
  <c r="E903" i="70"/>
  <c r="E904" i="70"/>
  <c r="AY130" i="70" s="1"/>
  <c r="E905" i="70"/>
  <c r="E906" i="70"/>
  <c r="AZ130" i="70" s="1"/>
  <c r="E907" i="70"/>
  <c r="E908" i="70"/>
  <c r="BA130" i="70" s="1"/>
  <c r="E909" i="70"/>
  <c r="E910" i="70"/>
  <c r="BB130" i="70" s="1"/>
  <c r="E911" i="70"/>
  <c r="E912" i="70"/>
  <c r="BC130" i="70" s="1"/>
  <c r="E913" i="70"/>
  <c r="E914" i="70"/>
  <c r="BD130" i="70" s="1"/>
  <c r="E915" i="70"/>
  <c r="E916" i="70"/>
  <c r="BE130" i="70" s="1"/>
  <c r="E917" i="70"/>
  <c r="E918" i="70"/>
  <c r="BF130" i="70" s="1"/>
  <c r="E919" i="70"/>
  <c r="E920" i="70"/>
  <c r="BG130" i="70" s="1"/>
  <c r="E921" i="70"/>
  <c r="E922" i="70"/>
  <c r="BH130" i="70" s="1"/>
  <c r="E923" i="70"/>
  <c r="E924" i="70"/>
  <c r="BI130" i="70" s="1"/>
  <c r="E925" i="70"/>
  <c r="E926" i="70"/>
  <c r="BJ130" i="70" s="1"/>
  <c r="E927" i="70"/>
  <c r="E928" i="70"/>
  <c r="BK130" i="70" s="1"/>
  <c r="E929" i="70"/>
  <c r="E930" i="70"/>
  <c r="BL130" i="70" s="1"/>
  <c r="E931" i="70"/>
  <c r="E932" i="70"/>
  <c r="BM130" i="70" s="1"/>
  <c r="E933" i="70"/>
  <c r="E934" i="70"/>
  <c r="BN130" i="70" s="1"/>
  <c r="E935" i="70"/>
  <c r="E936" i="70"/>
  <c r="AN131" i="70" s="1"/>
  <c r="E937" i="70"/>
  <c r="E938" i="70"/>
  <c r="AO131" i="70" s="1"/>
  <c r="E939" i="70"/>
  <c r="E940" i="70"/>
  <c r="AP131" i="70" s="1"/>
  <c r="E941" i="70"/>
  <c r="E942" i="70"/>
  <c r="AQ131" i="70" s="1"/>
  <c r="E943" i="70"/>
  <c r="E944" i="70"/>
  <c r="AR131" i="70" s="1"/>
  <c r="E945" i="70"/>
  <c r="E946" i="70"/>
  <c r="AS131" i="70" s="1"/>
  <c r="E947" i="70"/>
  <c r="E948" i="70"/>
  <c r="AT131" i="70" s="1"/>
  <c r="E949" i="70"/>
  <c r="E950" i="70"/>
  <c r="AU131" i="70" s="1"/>
  <c r="E951" i="70"/>
  <c r="E952" i="70"/>
  <c r="E953" i="70"/>
  <c r="E954" i="70"/>
  <c r="AW131" i="70" s="1"/>
  <c r="E955" i="70"/>
  <c r="E956" i="70"/>
  <c r="AX131" i="70" s="1"/>
  <c r="E957" i="70"/>
  <c r="E958" i="70"/>
  <c r="AY131" i="70" s="1"/>
  <c r="E959" i="70"/>
  <c r="E960" i="70"/>
  <c r="AZ131" i="70" s="1"/>
  <c r="E961" i="70"/>
  <c r="E962" i="70"/>
  <c r="BA131" i="70" s="1"/>
  <c r="E963" i="70"/>
  <c r="E964" i="70"/>
  <c r="BB131" i="70" s="1"/>
  <c r="E965" i="70"/>
  <c r="E966" i="70"/>
  <c r="BC131" i="70" s="1"/>
  <c r="E967" i="70"/>
  <c r="E968" i="70"/>
  <c r="BD131" i="70" s="1"/>
  <c r="E969" i="70"/>
  <c r="E970" i="70"/>
  <c r="BE131" i="70" s="1"/>
  <c r="E971" i="70"/>
  <c r="E972" i="70"/>
  <c r="BF131" i="70" s="1"/>
  <c r="E973" i="70"/>
  <c r="E974" i="70"/>
  <c r="BG131" i="70" s="1"/>
  <c r="E975" i="70"/>
  <c r="E976" i="70"/>
  <c r="E977" i="70"/>
  <c r="E978" i="70"/>
  <c r="BI131" i="70" s="1"/>
  <c r="E979" i="70"/>
  <c r="E980" i="70"/>
  <c r="BJ131" i="70" s="1"/>
  <c r="E981" i="70"/>
  <c r="E982" i="70"/>
  <c r="BK131" i="70" s="1"/>
  <c r="E983" i="70"/>
  <c r="E984" i="70"/>
  <c r="E985" i="70"/>
  <c r="E986" i="70"/>
  <c r="BM131" i="70" s="1"/>
  <c r="E987" i="70"/>
  <c r="E988" i="70"/>
  <c r="BN131" i="70" s="1"/>
  <c r="E989" i="70"/>
  <c r="E990" i="70"/>
  <c r="AN132" i="70" s="1"/>
  <c r="E991" i="70"/>
  <c r="E992" i="70"/>
  <c r="AO132" i="70" s="1"/>
  <c r="E993" i="70"/>
  <c r="E994" i="70"/>
  <c r="AP132" i="70" s="1"/>
  <c r="E995" i="70"/>
  <c r="E996" i="70"/>
  <c r="AQ132" i="70" s="1"/>
  <c r="E997" i="70"/>
  <c r="E998" i="70"/>
  <c r="E999" i="70"/>
  <c r="E1000" i="70"/>
  <c r="AS132" i="70" s="1"/>
  <c r="E1001" i="70"/>
  <c r="E1002" i="70"/>
  <c r="AT132" i="70" s="1"/>
  <c r="E1003" i="70"/>
  <c r="E1004" i="70"/>
  <c r="AU132" i="70" s="1"/>
  <c r="E1005" i="70"/>
  <c r="E1006" i="70"/>
  <c r="AV132" i="70" s="1"/>
  <c r="E1007" i="70"/>
  <c r="E1008" i="70"/>
  <c r="AW132" i="70" s="1"/>
  <c r="E1009" i="70"/>
  <c r="E1010" i="70"/>
  <c r="AX132" i="70" s="1"/>
  <c r="E1011" i="70"/>
  <c r="E1012" i="70"/>
  <c r="AY132" i="70" s="1"/>
  <c r="E1013" i="70"/>
  <c r="E1014" i="70"/>
  <c r="AZ132" i="70" s="1"/>
  <c r="E1015" i="70"/>
  <c r="E1016" i="70"/>
  <c r="BA132" i="70" s="1"/>
  <c r="E1017" i="70"/>
  <c r="E1018" i="70"/>
  <c r="BB132" i="70" s="1"/>
  <c r="E1019" i="70"/>
  <c r="E1020" i="70"/>
  <c r="BC132" i="70" s="1"/>
  <c r="E1021" i="70"/>
  <c r="E1022" i="70"/>
  <c r="BD132" i="70" s="1"/>
  <c r="E1023" i="70"/>
  <c r="E1024" i="70"/>
  <c r="BE132" i="70" s="1"/>
  <c r="E1025" i="70"/>
  <c r="E1026" i="70"/>
  <c r="BF132" i="70" s="1"/>
  <c r="E1027" i="70"/>
  <c r="E1028" i="70"/>
  <c r="BG132" i="70" s="1"/>
  <c r="E1029" i="70"/>
  <c r="E1030" i="70"/>
  <c r="BH132" i="70" s="1"/>
  <c r="E1031" i="70"/>
  <c r="E1032" i="70"/>
  <c r="BI132" i="70" s="1"/>
  <c r="E1033" i="70"/>
  <c r="E1034" i="70"/>
  <c r="BJ132" i="70" s="1"/>
  <c r="E1035" i="70"/>
  <c r="E1036" i="70"/>
  <c r="BK132" i="70" s="1"/>
  <c r="E1037" i="70"/>
  <c r="E1038" i="70"/>
  <c r="BL132" i="70" s="1"/>
  <c r="E1039" i="70"/>
  <c r="E1040" i="70"/>
  <c r="BM132" i="70" s="1"/>
  <c r="E1041" i="70"/>
  <c r="E1042" i="70"/>
  <c r="BN132" i="70" s="1"/>
  <c r="E1043" i="70"/>
  <c r="E1044" i="70"/>
  <c r="E1045" i="70"/>
  <c r="E1046" i="70"/>
  <c r="E1047" i="70"/>
  <c r="E1048" i="70"/>
  <c r="AP133" i="70" s="1"/>
  <c r="E1049" i="70"/>
  <c r="E1050" i="70"/>
  <c r="AQ133" i="70" s="1"/>
  <c r="E1051" i="70"/>
  <c r="E1052" i="70"/>
  <c r="AR133" i="70" s="1"/>
  <c r="E1053" i="70"/>
  <c r="E1054" i="70"/>
  <c r="AS133" i="70" s="1"/>
  <c r="E1055" i="70"/>
  <c r="E1056" i="70"/>
  <c r="AT133" i="70" s="1"/>
  <c r="E1057" i="70"/>
  <c r="E1058" i="70"/>
  <c r="AU133" i="70" s="1"/>
  <c r="E1059" i="70"/>
  <c r="E1060" i="70"/>
  <c r="AV133" i="70" s="1"/>
  <c r="E1061" i="70"/>
  <c r="E1062" i="70"/>
  <c r="AW133" i="70" s="1"/>
  <c r="E1063" i="70"/>
  <c r="E1064" i="70"/>
  <c r="AX133" i="70" s="1"/>
  <c r="E1065" i="70"/>
  <c r="E1066" i="70"/>
  <c r="AY133" i="70" s="1"/>
  <c r="E1067" i="70"/>
  <c r="E1068" i="70"/>
  <c r="AZ133" i="70" s="1"/>
  <c r="E1069" i="70"/>
  <c r="E1070" i="70"/>
  <c r="BA133" i="70" s="1"/>
  <c r="E1071" i="70"/>
  <c r="E1072" i="70"/>
  <c r="BB133" i="70" s="1"/>
  <c r="E1073" i="70"/>
  <c r="E1074" i="70"/>
  <c r="BC133" i="70" s="1"/>
  <c r="E1075" i="70"/>
  <c r="E1076" i="70"/>
  <c r="BD133" i="70" s="1"/>
  <c r="E1077" i="70"/>
  <c r="E1078" i="70"/>
  <c r="BE133" i="70" s="1"/>
  <c r="E1079" i="70"/>
  <c r="E1080" i="70"/>
  <c r="E1081" i="70"/>
  <c r="E1082" i="70"/>
  <c r="BG133" i="70" s="1"/>
  <c r="E1083" i="70"/>
  <c r="E1084" i="70"/>
  <c r="BH133" i="70" s="1"/>
  <c r="E1085" i="70"/>
  <c r="E1086" i="70"/>
  <c r="BI133" i="70" s="1"/>
  <c r="E1087" i="70"/>
  <c r="E1088" i="70"/>
  <c r="BJ133" i="70" s="1"/>
  <c r="E1089" i="70"/>
  <c r="E1090" i="70"/>
  <c r="BK133" i="70" s="1"/>
  <c r="E1091" i="70"/>
  <c r="E1092" i="70"/>
  <c r="E1093" i="70"/>
  <c r="E1094" i="70"/>
  <c r="BM133" i="70" s="1"/>
  <c r="E1095" i="70"/>
  <c r="E1096" i="70"/>
  <c r="BN133" i="70" s="1"/>
  <c r="E1097" i="70"/>
  <c r="E1098" i="70"/>
  <c r="AN134" i="70" s="1"/>
  <c r="E1099" i="70"/>
  <c r="E1100" i="70"/>
  <c r="AO134" i="70" s="1"/>
  <c r="E1101" i="70"/>
  <c r="E1102" i="70"/>
  <c r="AP134" i="70" s="1"/>
  <c r="E1103" i="70"/>
  <c r="E1104" i="70"/>
  <c r="AQ134" i="70" s="1"/>
  <c r="E1105" i="70"/>
  <c r="E1106" i="70"/>
  <c r="AR134" i="70" s="1"/>
  <c r="E1107" i="70"/>
  <c r="E1108" i="70"/>
  <c r="AS134" i="70" s="1"/>
  <c r="E1109" i="70"/>
  <c r="E1110" i="70"/>
  <c r="AT134" i="70" s="1"/>
  <c r="E1111" i="70"/>
  <c r="E1112" i="70"/>
  <c r="AU134" i="70" s="1"/>
  <c r="E1113" i="70"/>
  <c r="E1114" i="70"/>
  <c r="AV134" i="70" s="1"/>
  <c r="E1115" i="70"/>
  <c r="E1116" i="70"/>
  <c r="AW134" i="70" s="1"/>
  <c r="E1117" i="70"/>
  <c r="E1118" i="70"/>
  <c r="AX134" i="70" s="1"/>
  <c r="E1119" i="70"/>
  <c r="E1120" i="70"/>
  <c r="AY134" i="70" s="1"/>
  <c r="E1121" i="70"/>
  <c r="E1122" i="70"/>
  <c r="AZ134" i="70" s="1"/>
  <c r="E1123" i="70"/>
  <c r="E1124" i="70"/>
  <c r="BA134" i="70" s="1"/>
  <c r="E1125" i="70"/>
  <c r="E1126" i="70"/>
  <c r="BB134" i="70" s="1"/>
  <c r="E1127" i="70"/>
  <c r="E1128" i="70"/>
  <c r="E1129" i="70"/>
  <c r="E1130" i="70"/>
  <c r="BD134" i="70" s="1"/>
  <c r="E1131" i="70"/>
  <c r="E1132" i="70"/>
  <c r="BE134" i="70" s="1"/>
  <c r="E1133" i="70"/>
  <c r="E1134" i="70"/>
  <c r="BF134" i="70" s="1"/>
  <c r="E1135" i="70"/>
  <c r="E1136" i="70"/>
  <c r="BG134" i="70" s="1"/>
  <c r="E1137" i="70"/>
  <c r="E1138" i="70"/>
  <c r="BH134" i="70" s="1"/>
  <c r="E1139" i="70"/>
  <c r="E1140" i="70"/>
  <c r="BI134" i="70" s="1"/>
  <c r="E1141" i="70"/>
  <c r="E1142" i="70"/>
  <c r="BJ134" i="70" s="1"/>
  <c r="E1143" i="70"/>
  <c r="E1144" i="70"/>
  <c r="E1145" i="70"/>
  <c r="E1146" i="70"/>
  <c r="BL134" i="70" s="1"/>
  <c r="E1147" i="70"/>
  <c r="E1148" i="70"/>
  <c r="BM134" i="70" s="1"/>
  <c r="E1149" i="70"/>
  <c r="E1150" i="70"/>
  <c r="BN134" i="70" s="1"/>
  <c r="E1151" i="70"/>
  <c r="E6" i="70"/>
  <c r="AN106" i="70" s="1"/>
  <c r="AK166" i="70"/>
  <c r="AJ166" i="70"/>
  <c r="AI166" i="70"/>
  <c r="AH166" i="70"/>
  <c r="AG166" i="70"/>
  <c r="AF166" i="70"/>
  <c r="AE166" i="70"/>
  <c r="AD166" i="70"/>
  <c r="AC166" i="70"/>
  <c r="AB166" i="70"/>
  <c r="AA166" i="70"/>
  <c r="Z166" i="70"/>
  <c r="Y166" i="70"/>
  <c r="X166" i="70"/>
  <c r="W166" i="70"/>
  <c r="V166" i="70"/>
  <c r="U166" i="70"/>
  <c r="T166" i="70"/>
  <c r="S166" i="70"/>
  <c r="R166" i="70"/>
  <c r="Q166" i="70"/>
  <c r="P166" i="70"/>
  <c r="O166" i="70"/>
  <c r="N166" i="70"/>
  <c r="M166" i="70"/>
  <c r="L166" i="70"/>
  <c r="K166" i="70"/>
  <c r="AK165" i="70"/>
  <c r="AJ165" i="70"/>
  <c r="AI165" i="70"/>
  <c r="AH165" i="70"/>
  <c r="AG165" i="70"/>
  <c r="AF165" i="70"/>
  <c r="AE165" i="70"/>
  <c r="AD165" i="70"/>
  <c r="AC165" i="70"/>
  <c r="AB165" i="70"/>
  <c r="AA165" i="70"/>
  <c r="Z165" i="70"/>
  <c r="Y165" i="70"/>
  <c r="X165" i="70"/>
  <c r="W165" i="70"/>
  <c r="V165" i="70"/>
  <c r="V101" i="70" s="1"/>
  <c r="V70" i="70" s="1"/>
  <c r="U165" i="70"/>
  <c r="T165" i="70"/>
  <c r="S165" i="70"/>
  <c r="R165" i="70"/>
  <c r="Q165" i="70"/>
  <c r="P165" i="70"/>
  <c r="O165" i="70"/>
  <c r="N165" i="70"/>
  <c r="M165" i="70"/>
  <c r="L165" i="70"/>
  <c r="K165" i="70"/>
  <c r="AK164" i="70"/>
  <c r="AJ164" i="70"/>
  <c r="AI164" i="70"/>
  <c r="AH164" i="70"/>
  <c r="AG164" i="70"/>
  <c r="AF164" i="70"/>
  <c r="AE164" i="70"/>
  <c r="AD164" i="70"/>
  <c r="AC164" i="70"/>
  <c r="AB164" i="70"/>
  <c r="AA164" i="70"/>
  <c r="Z164" i="70"/>
  <c r="Y164" i="70"/>
  <c r="X164" i="70"/>
  <c r="W164" i="70"/>
  <c r="V164" i="70"/>
  <c r="U164" i="70"/>
  <c r="T164" i="70"/>
  <c r="S164" i="70"/>
  <c r="R164" i="70"/>
  <c r="Q164" i="70"/>
  <c r="P164" i="70"/>
  <c r="O164" i="70"/>
  <c r="N164" i="70"/>
  <c r="M164" i="70"/>
  <c r="L164" i="70"/>
  <c r="K164" i="70"/>
  <c r="AK163" i="70"/>
  <c r="AJ163" i="70"/>
  <c r="AI163" i="70"/>
  <c r="AH163" i="70"/>
  <c r="AG163" i="70"/>
  <c r="AF163" i="70"/>
  <c r="AF99" i="70" s="1"/>
  <c r="AF68" i="70" s="1"/>
  <c r="AE163" i="70"/>
  <c r="AD163" i="70"/>
  <c r="AC163" i="70"/>
  <c r="AB163" i="70"/>
  <c r="AB99" i="70" s="1"/>
  <c r="AB68" i="70" s="1"/>
  <c r="AA163" i="70"/>
  <c r="AA99" i="70" s="1"/>
  <c r="AA68" i="70" s="1"/>
  <c r="Z163" i="70"/>
  <c r="Y163" i="70"/>
  <c r="X163" i="70"/>
  <c r="W163" i="70"/>
  <c r="V163" i="70"/>
  <c r="U163" i="70"/>
  <c r="T163" i="70"/>
  <c r="S163" i="70"/>
  <c r="R163" i="70"/>
  <c r="Q163" i="70"/>
  <c r="P163" i="70"/>
  <c r="O163" i="70"/>
  <c r="N163" i="70"/>
  <c r="M163" i="70"/>
  <c r="L163" i="70"/>
  <c r="K163" i="70"/>
  <c r="AK162" i="70"/>
  <c r="AJ162" i="70"/>
  <c r="AI162" i="70"/>
  <c r="AH162" i="70"/>
  <c r="AG162" i="70"/>
  <c r="AF162" i="70"/>
  <c r="AE162" i="70"/>
  <c r="AD162" i="70"/>
  <c r="AC162" i="70"/>
  <c r="AB162" i="70"/>
  <c r="AA162" i="70"/>
  <c r="Z162" i="70"/>
  <c r="Y162" i="70"/>
  <c r="X162" i="70"/>
  <c r="W162" i="70"/>
  <c r="V162" i="70"/>
  <c r="U162" i="70"/>
  <c r="T162" i="70"/>
  <c r="S162" i="70"/>
  <c r="R162" i="70"/>
  <c r="Q162" i="70"/>
  <c r="P162" i="70"/>
  <c r="O162" i="70"/>
  <c r="N162" i="70"/>
  <c r="M162" i="70"/>
  <c r="L162" i="70"/>
  <c r="K162" i="70"/>
  <c r="AK161" i="70"/>
  <c r="AJ161" i="70"/>
  <c r="AI161" i="70"/>
  <c r="AH161" i="70"/>
  <c r="AG161" i="70"/>
  <c r="AF161" i="70"/>
  <c r="AE161" i="70"/>
  <c r="AD161" i="70"/>
  <c r="AC161" i="70"/>
  <c r="AB161" i="70"/>
  <c r="AA161" i="70"/>
  <c r="Z161" i="70"/>
  <c r="Y161" i="70"/>
  <c r="X161" i="70"/>
  <c r="W161" i="70"/>
  <c r="V161" i="70"/>
  <c r="U161" i="70"/>
  <c r="T161" i="70"/>
  <c r="S161" i="70"/>
  <c r="R161" i="70"/>
  <c r="Q161" i="70"/>
  <c r="P161" i="70"/>
  <c r="O161" i="70"/>
  <c r="N161" i="70"/>
  <c r="M161" i="70"/>
  <c r="L161" i="70"/>
  <c r="K161" i="70"/>
  <c r="AK160" i="70"/>
  <c r="AK96" i="70" s="1"/>
  <c r="AK65" i="70" s="1"/>
  <c r="AJ160" i="70"/>
  <c r="AI160" i="70"/>
  <c r="AH160" i="70"/>
  <c r="AG160" i="70"/>
  <c r="AF160" i="70"/>
  <c r="AE160" i="70"/>
  <c r="AD160" i="70"/>
  <c r="AC160" i="70"/>
  <c r="AB160" i="70"/>
  <c r="AA160" i="70"/>
  <c r="Z160" i="70"/>
  <c r="Y160" i="70"/>
  <c r="X160" i="70"/>
  <c r="W160" i="70"/>
  <c r="V160" i="70"/>
  <c r="U160" i="70"/>
  <c r="T160" i="70"/>
  <c r="S160" i="70"/>
  <c r="R160" i="70"/>
  <c r="Q160" i="70"/>
  <c r="P160" i="70"/>
  <c r="O160" i="70"/>
  <c r="N160" i="70"/>
  <c r="M160" i="70"/>
  <c r="L160" i="70"/>
  <c r="K160" i="70"/>
  <c r="AK159" i="70"/>
  <c r="AJ159" i="70"/>
  <c r="AI159" i="70"/>
  <c r="AH159" i="70"/>
  <c r="AG159" i="70"/>
  <c r="AF159" i="70"/>
  <c r="AE159" i="70"/>
  <c r="AD159" i="70"/>
  <c r="AC159" i="70"/>
  <c r="AB159" i="70"/>
  <c r="AA159" i="70"/>
  <c r="Z159" i="70"/>
  <c r="Y159" i="70"/>
  <c r="X159" i="70"/>
  <c r="W159" i="70"/>
  <c r="V159" i="70"/>
  <c r="U159" i="70"/>
  <c r="T159" i="70"/>
  <c r="S159" i="70"/>
  <c r="R159" i="70"/>
  <c r="Q159" i="70"/>
  <c r="P159" i="70"/>
  <c r="O159" i="70"/>
  <c r="N159" i="70"/>
  <c r="M159" i="70"/>
  <c r="L159" i="70"/>
  <c r="K159" i="70"/>
  <c r="AK158" i="70"/>
  <c r="AJ158" i="70"/>
  <c r="AI158" i="70"/>
  <c r="AH158" i="70"/>
  <c r="AG158" i="70"/>
  <c r="AF158" i="70"/>
  <c r="AE158" i="70"/>
  <c r="AD158" i="70"/>
  <c r="AC158" i="70"/>
  <c r="AB158" i="70"/>
  <c r="AA158" i="70"/>
  <c r="Z158" i="70"/>
  <c r="Y158" i="70"/>
  <c r="X158" i="70"/>
  <c r="W158" i="70"/>
  <c r="V158" i="70"/>
  <c r="U158" i="70"/>
  <c r="T158" i="70"/>
  <c r="S158" i="70"/>
  <c r="R158" i="70"/>
  <c r="Q158" i="70"/>
  <c r="P158" i="70"/>
  <c r="O158" i="70"/>
  <c r="N158" i="70"/>
  <c r="M158" i="70"/>
  <c r="L158" i="70"/>
  <c r="K158" i="70"/>
  <c r="AJ157" i="70"/>
  <c r="AI157" i="70"/>
  <c r="AH157" i="70"/>
  <c r="AG157" i="70"/>
  <c r="AG93" i="70" s="1"/>
  <c r="AG62" i="70" s="1"/>
  <c r="AF157" i="70"/>
  <c r="AE157" i="70"/>
  <c r="AD157" i="70"/>
  <c r="AC157" i="70"/>
  <c r="AB157" i="70"/>
  <c r="AA157" i="70"/>
  <c r="Z157" i="70"/>
  <c r="Y157" i="70"/>
  <c r="X157" i="70"/>
  <c r="W157" i="70"/>
  <c r="V157" i="70"/>
  <c r="U157" i="70"/>
  <c r="T157" i="70"/>
  <c r="S157" i="70"/>
  <c r="R157" i="70"/>
  <c r="Q157" i="70"/>
  <c r="P157" i="70"/>
  <c r="O157" i="70"/>
  <c r="N157" i="70"/>
  <c r="M157" i="70"/>
  <c r="L157" i="70"/>
  <c r="K157" i="70"/>
  <c r="AI156" i="70"/>
  <c r="AH156" i="70"/>
  <c r="AG156" i="70"/>
  <c r="AF156" i="70"/>
  <c r="AE156" i="70"/>
  <c r="AD156" i="70"/>
  <c r="AC156" i="70"/>
  <c r="AB156" i="70"/>
  <c r="AA156" i="70"/>
  <c r="Z156" i="70"/>
  <c r="Y156" i="70"/>
  <c r="X156" i="70"/>
  <c r="W156" i="70"/>
  <c r="V156" i="70"/>
  <c r="U156" i="70"/>
  <c r="T156" i="70"/>
  <c r="S156" i="70"/>
  <c r="R156" i="70"/>
  <c r="Q156" i="70"/>
  <c r="P156" i="70"/>
  <c r="O156" i="70"/>
  <c r="N156" i="70"/>
  <c r="M156" i="70"/>
  <c r="L156" i="70"/>
  <c r="K156" i="70"/>
  <c r="AH155" i="70"/>
  <c r="AG155" i="70"/>
  <c r="AF155" i="70"/>
  <c r="AE155" i="70"/>
  <c r="AD155" i="70"/>
  <c r="AC155" i="70"/>
  <c r="AB155" i="70"/>
  <c r="AA155" i="70"/>
  <c r="Z155" i="70"/>
  <c r="Y155" i="70"/>
  <c r="X155" i="70"/>
  <c r="W155" i="70"/>
  <c r="V155" i="70"/>
  <c r="U155" i="70"/>
  <c r="T155" i="70"/>
  <c r="S155" i="70"/>
  <c r="R155" i="70"/>
  <c r="Q155" i="70"/>
  <c r="P155" i="70"/>
  <c r="O155" i="70"/>
  <c r="N155" i="70"/>
  <c r="M155" i="70"/>
  <c r="L155" i="70"/>
  <c r="K155" i="70"/>
  <c r="AG154" i="70"/>
  <c r="AF154" i="70"/>
  <c r="AE154" i="70"/>
  <c r="AD154" i="70"/>
  <c r="AC154" i="70"/>
  <c r="AB154" i="70"/>
  <c r="AA154" i="70"/>
  <c r="Z154" i="70"/>
  <c r="Y154" i="70"/>
  <c r="X154" i="70"/>
  <c r="W154" i="70"/>
  <c r="V154" i="70"/>
  <c r="U154" i="70"/>
  <c r="T154" i="70"/>
  <c r="S154" i="70"/>
  <c r="R154" i="70"/>
  <c r="Q154" i="70"/>
  <c r="P154" i="70"/>
  <c r="O154" i="70"/>
  <c r="N154" i="70"/>
  <c r="M154" i="70"/>
  <c r="M90" i="70" s="1"/>
  <c r="M59" i="70" s="1"/>
  <c r="L154" i="70"/>
  <c r="K154" i="70"/>
  <c r="AF153" i="70"/>
  <c r="AE153" i="70"/>
  <c r="AD153" i="70"/>
  <c r="AC153" i="70"/>
  <c r="AB153" i="70"/>
  <c r="AA153" i="70"/>
  <c r="Z153" i="70"/>
  <c r="Y153" i="70"/>
  <c r="X153" i="70"/>
  <c r="W153" i="70"/>
  <c r="V153" i="70"/>
  <c r="U153" i="70"/>
  <c r="T153" i="70"/>
  <c r="S153" i="70"/>
  <c r="R153" i="70"/>
  <c r="Q153" i="70"/>
  <c r="P153" i="70"/>
  <c r="O153" i="70"/>
  <c r="N153" i="70"/>
  <c r="M153" i="70"/>
  <c r="L153" i="70"/>
  <c r="K153" i="70"/>
  <c r="AE152" i="70"/>
  <c r="AD152" i="70"/>
  <c r="AC152" i="70"/>
  <c r="AB152" i="70"/>
  <c r="AA152" i="70"/>
  <c r="Z152" i="70"/>
  <c r="Y152" i="70"/>
  <c r="Y88" i="70" s="1"/>
  <c r="Y57" i="70" s="1"/>
  <c r="X152" i="70"/>
  <c r="W152" i="70"/>
  <c r="V152" i="70"/>
  <c r="U152" i="70"/>
  <c r="T152" i="70"/>
  <c r="S152" i="70"/>
  <c r="R152" i="70"/>
  <c r="Q152" i="70"/>
  <c r="P152" i="70"/>
  <c r="O152" i="70"/>
  <c r="N152" i="70"/>
  <c r="M152" i="70"/>
  <c r="L152" i="70"/>
  <c r="K152" i="70"/>
  <c r="AD151" i="70"/>
  <c r="AC151" i="70"/>
  <c r="AB151" i="70"/>
  <c r="AA151" i="70"/>
  <c r="Z151" i="70"/>
  <c r="Y151" i="70"/>
  <c r="X151" i="70"/>
  <c r="W151" i="70"/>
  <c r="V151" i="70"/>
  <c r="U151" i="70"/>
  <c r="T151" i="70"/>
  <c r="S151" i="70"/>
  <c r="R151" i="70"/>
  <c r="Q151" i="70"/>
  <c r="P151" i="70"/>
  <c r="O151" i="70"/>
  <c r="N151" i="70"/>
  <c r="M151" i="70"/>
  <c r="L151" i="70"/>
  <c r="K151" i="70"/>
  <c r="AC150" i="70"/>
  <c r="AB150" i="70"/>
  <c r="AA150" i="70"/>
  <c r="Z150" i="70"/>
  <c r="Y150" i="70"/>
  <c r="X150" i="70"/>
  <c r="W150" i="70"/>
  <c r="V150" i="70"/>
  <c r="U150" i="70"/>
  <c r="T150" i="70"/>
  <c r="S150" i="70"/>
  <c r="R150" i="70"/>
  <c r="Q150" i="70"/>
  <c r="P150" i="70"/>
  <c r="O150" i="70"/>
  <c r="N150" i="70"/>
  <c r="M150" i="70"/>
  <c r="L150" i="70"/>
  <c r="K150" i="70"/>
  <c r="AB149" i="70"/>
  <c r="AA149" i="70"/>
  <c r="Z149" i="70"/>
  <c r="Y149" i="70"/>
  <c r="X149" i="70"/>
  <c r="W149" i="70"/>
  <c r="V149" i="70"/>
  <c r="U149" i="70"/>
  <c r="T149" i="70"/>
  <c r="S149" i="70"/>
  <c r="R149" i="70"/>
  <c r="Q149" i="70"/>
  <c r="Q85" i="70" s="1"/>
  <c r="Q54" i="70" s="1"/>
  <c r="P149" i="70"/>
  <c r="O149" i="70"/>
  <c r="N149" i="70"/>
  <c r="M149" i="70"/>
  <c r="M85" i="70" s="1"/>
  <c r="M54" i="70" s="1"/>
  <c r="AP54" i="70" s="1"/>
  <c r="L149" i="70"/>
  <c r="K149" i="70"/>
  <c r="AA148" i="70"/>
  <c r="AA84" i="70" s="1"/>
  <c r="AA53" i="70" s="1"/>
  <c r="Z148" i="70"/>
  <c r="Y148" i="70"/>
  <c r="X148" i="70"/>
  <c r="W148" i="70"/>
  <c r="V148" i="70"/>
  <c r="U148" i="70"/>
  <c r="T148" i="70"/>
  <c r="S148" i="70"/>
  <c r="R148" i="70"/>
  <c r="Q148" i="70"/>
  <c r="P148" i="70"/>
  <c r="O148" i="70"/>
  <c r="N148" i="70"/>
  <c r="M148" i="70"/>
  <c r="L148" i="70"/>
  <c r="K148" i="70"/>
  <c r="Z147" i="70"/>
  <c r="Y147" i="70"/>
  <c r="X147" i="70"/>
  <c r="W147" i="70"/>
  <c r="V147" i="70"/>
  <c r="U147" i="70"/>
  <c r="T147" i="70"/>
  <c r="S147" i="70"/>
  <c r="R147" i="70"/>
  <c r="Q147" i="70"/>
  <c r="P147" i="70"/>
  <c r="O147" i="70"/>
  <c r="N147" i="70"/>
  <c r="M147" i="70"/>
  <c r="L147" i="70"/>
  <c r="K147" i="70"/>
  <c r="Y146" i="70"/>
  <c r="X146" i="70"/>
  <c r="W146" i="70"/>
  <c r="V146" i="70"/>
  <c r="U146" i="70"/>
  <c r="T146" i="70"/>
  <c r="S146" i="70"/>
  <c r="R146" i="70"/>
  <c r="Q146" i="70"/>
  <c r="P146" i="70"/>
  <c r="O146" i="70"/>
  <c r="N146" i="70"/>
  <c r="M146" i="70"/>
  <c r="L146" i="70"/>
  <c r="K146" i="70"/>
  <c r="X145" i="70"/>
  <c r="W145" i="70"/>
  <c r="V145" i="70"/>
  <c r="U145" i="70"/>
  <c r="T145" i="70"/>
  <c r="S145" i="70"/>
  <c r="R145" i="70"/>
  <c r="Q145" i="70"/>
  <c r="P145" i="70"/>
  <c r="O145" i="70"/>
  <c r="N145" i="70"/>
  <c r="M145" i="70"/>
  <c r="L145" i="70"/>
  <c r="K145" i="70"/>
  <c r="W144" i="70"/>
  <c r="V144" i="70"/>
  <c r="U144" i="70"/>
  <c r="T144" i="70"/>
  <c r="S144" i="70"/>
  <c r="R144" i="70"/>
  <c r="Q144" i="70"/>
  <c r="P144" i="70"/>
  <c r="O144" i="70"/>
  <c r="N144" i="70"/>
  <c r="M144" i="70"/>
  <c r="L144" i="70"/>
  <c r="K144" i="70"/>
  <c r="V143" i="70"/>
  <c r="U143" i="70"/>
  <c r="T143" i="70"/>
  <c r="S143" i="70"/>
  <c r="R143" i="70"/>
  <c r="Q143" i="70"/>
  <c r="P143" i="70"/>
  <c r="O143" i="70"/>
  <c r="N143" i="70"/>
  <c r="M143" i="70"/>
  <c r="L143" i="70"/>
  <c r="K143" i="70"/>
  <c r="U142" i="70"/>
  <c r="T142" i="70"/>
  <c r="S142" i="70"/>
  <c r="R142" i="70"/>
  <c r="Q142" i="70"/>
  <c r="P142" i="70"/>
  <c r="O142" i="70"/>
  <c r="N142" i="70"/>
  <c r="M142" i="70"/>
  <c r="L142" i="70"/>
  <c r="K142" i="70"/>
  <c r="T141" i="70"/>
  <c r="S141" i="70"/>
  <c r="R141" i="70"/>
  <c r="Q141" i="70"/>
  <c r="P141" i="70"/>
  <c r="O141" i="70"/>
  <c r="N141" i="70"/>
  <c r="M141" i="70"/>
  <c r="L141" i="70"/>
  <c r="K141" i="70"/>
  <c r="S140" i="70"/>
  <c r="R140" i="70"/>
  <c r="Q140" i="70"/>
  <c r="P140" i="70"/>
  <c r="O140" i="70"/>
  <c r="N140" i="70"/>
  <c r="M140" i="70"/>
  <c r="L140" i="70"/>
  <c r="K140" i="70"/>
  <c r="R139" i="70"/>
  <c r="Q139" i="70"/>
  <c r="P139" i="70"/>
  <c r="O139" i="70"/>
  <c r="N139" i="70"/>
  <c r="M139" i="70"/>
  <c r="L139" i="70"/>
  <c r="K139" i="70"/>
  <c r="Q138" i="70"/>
  <c r="P138" i="70"/>
  <c r="O138" i="70"/>
  <c r="N138" i="70"/>
  <c r="M138" i="70"/>
  <c r="L138" i="70"/>
  <c r="K138" i="70"/>
  <c r="AK134" i="70"/>
  <c r="AJ134" i="70"/>
  <c r="AI134" i="70"/>
  <c r="AH134" i="70"/>
  <c r="AG134" i="70"/>
  <c r="AF134" i="70"/>
  <c r="AE134" i="70"/>
  <c r="AD134" i="70"/>
  <c r="AC134" i="70"/>
  <c r="AB134" i="70"/>
  <c r="AA134" i="70"/>
  <c r="Z134" i="70"/>
  <c r="Y134" i="70"/>
  <c r="X134" i="70"/>
  <c r="W134" i="70"/>
  <c r="V134" i="70"/>
  <c r="U134" i="70"/>
  <c r="T134" i="70"/>
  <c r="S134" i="70"/>
  <c r="R134" i="70"/>
  <c r="Q134" i="70"/>
  <c r="P134" i="70"/>
  <c r="P102" i="70" s="1"/>
  <c r="P71" i="70" s="1"/>
  <c r="O134" i="70"/>
  <c r="O102" i="70" s="1"/>
  <c r="O71" i="70" s="1"/>
  <c r="N134" i="70"/>
  <c r="N102" i="70" s="1"/>
  <c r="N71" i="70" s="1"/>
  <c r="M134" i="70"/>
  <c r="M102" i="70" s="1"/>
  <c r="M71" i="70" s="1"/>
  <c r="L134" i="70"/>
  <c r="K134" i="70"/>
  <c r="AK133" i="70"/>
  <c r="AJ133" i="70"/>
  <c r="AI133" i="70"/>
  <c r="AH133" i="70"/>
  <c r="AG133" i="70"/>
  <c r="AF133" i="70"/>
  <c r="AE133" i="70"/>
  <c r="AE101" i="70" s="1"/>
  <c r="AD133" i="70"/>
  <c r="AD101" i="70" s="1"/>
  <c r="AD70" i="70" s="1"/>
  <c r="AC133" i="70"/>
  <c r="AC101" i="70" s="1"/>
  <c r="AC70" i="70" s="1"/>
  <c r="AB133" i="70"/>
  <c r="AA133" i="70"/>
  <c r="Z133" i="70"/>
  <c r="Y133" i="70"/>
  <c r="X133" i="70"/>
  <c r="W133" i="70"/>
  <c r="V133" i="70"/>
  <c r="U133" i="70"/>
  <c r="T133" i="70"/>
  <c r="S133" i="70"/>
  <c r="S101" i="70" s="1"/>
  <c r="S70" i="70" s="1"/>
  <c r="R133" i="70"/>
  <c r="R101" i="70" s="1"/>
  <c r="R70" i="70" s="1"/>
  <c r="Q133" i="70"/>
  <c r="Q101" i="70" s="1"/>
  <c r="Q70" i="70" s="1"/>
  <c r="P133" i="70"/>
  <c r="O133" i="70"/>
  <c r="N133" i="70"/>
  <c r="M133" i="70"/>
  <c r="L133" i="70"/>
  <c r="K133" i="70"/>
  <c r="AK132" i="70"/>
  <c r="AJ132" i="70"/>
  <c r="AI132" i="70"/>
  <c r="AH132" i="70"/>
  <c r="AH100" i="70" s="1"/>
  <c r="AH69" i="70" s="1"/>
  <c r="AG132" i="70"/>
  <c r="AG100" i="70" s="1"/>
  <c r="AG69" i="70" s="1"/>
  <c r="AF132" i="70"/>
  <c r="AF100" i="70" s="1"/>
  <c r="AF69" i="70" s="1"/>
  <c r="AE132" i="70"/>
  <c r="AE100" i="70" s="1"/>
  <c r="AE69" i="70" s="1"/>
  <c r="AD132" i="70"/>
  <c r="AC132" i="70"/>
  <c r="AB132" i="70"/>
  <c r="AA132" i="70"/>
  <c r="Z132" i="70"/>
  <c r="Y132" i="70"/>
  <c r="X132" i="70"/>
  <c r="W132" i="70"/>
  <c r="V132" i="70"/>
  <c r="V100" i="70" s="1"/>
  <c r="V69" i="70" s="1"/>
  <c r="U132" i="70"/>
  <c r="U100" i="70" s="1"/>
  <c r="U69" i="70" s="1"/>
  <c r="T132" i="70"/>
  <c r="T100" i="70" s="1"/>
  <c r="T69" i="70" s="1"/>
  <c r="S132" i="70"/>
  <c r="R132" i="70"/>
  <c r="Q132" i="70"/>
  <c r="P132" i="70"/>
  <c r="O132" i="70"/>
  <c r="N132" i="70"/>
  <c r="M132" i="70"/>
  <c r="L132" i="70"/>
  <c r="K132" i="70"/>
  <c r="AK131" i="70"/>
  <c r="AK99" i="70" s="1"/>
  <c r="AK68" i="70" s="1"/>
  <c r="AJ131" i="70"/>
  <c r="AI131" i="70"/>
  <c r="AI99" i="70" s="1"/>
  <c r="AI68" i="70" s="1"/>
  <c r="AH131" i="70"/>
  <c r="AH99" i="70" s="1"/>
  <c r="AH68" i="70" s="1"/>
  <c r="AG131" i="70"/>
  <c r="AF131" i="70"/>
  <c r="AE131" i="70"/>
  <c r="AD131" i="70"/>
  <c r="AC131" i="70"/>
  <c r="AB131" i="70"/>
  <c r="AA131" i="70"/>
  <c r="Z131" i="70"/>
  <c r="Y131" i="70"/>
  <c r="Y99" i="70" s="1"/>
  <c r="Y68" i="70" s="1"/>
  <c r="X131" i="70"/>
  <c r="X99" i="70" s="1"/>
  <c r="X68" i="70" s="1"/>
  <c r="W131" i="70"/>
  <c r="W99" i="70" s="1"/>
  <c r="W68" i="70" s="1"/>
  <c r="V131" i="70"/>
  <c r="U131" i="70"/>
  <c r="T131" i="70"/>
  <c r="S131" i="70"/>
  <c r="R131" i="70"/>
  <c r="Q131" i="70"/>
  <c r="P131" i="70"/>
  <c r="O131" i="70"/>
  <c r="N131" i="70"/>
  <c r="M131" i="70"/>
  <c r="L131" i="70"/>
  <c r="L99" i="70" s="1"/>
  <c r="L68" i="70" s="1"/>
  <c r="AO68" i="70" s="1"/>
  <c r="K131" i="70"/>
  <c r="K99" i="70" s="1"/>
  <c r="K68" i="70" s="1"/>
  <c r="AK130" i="70"/>
  <c r="AJ130" i="70"/>
  <c r="AI130" i="70"/>
  <c r="AH130" i="70"/>
  <c r="AG130" i="70"/>
  <c r="AF130" i="70"/>
  <c r="AE130" i="70"/>
  <c r="AD130" i="70"/>
  <c r="AC130" i="70"/>
  <c r="AB130" i="70"/>
  <c r="AB98" i="70" s="1"/>
  <c r="AB67" i="70" s="1"/>
  <c r="AA130" i="70"/>
  <c r="AA98" i="70" s="1"/>
  <c r="AA67" i="70" s="1"/>
  <c r="Z130" i="70"/>
  <c r="Y130" i="70"/>
  <c r="X130" i="70"/>
  <c r="W130" i="70"/>
  <c r="V130" i="70"/>
  <c r="U130" i="70"/>
  <c r="T130" i="70"/>
  <c r="S130" i="70"/>
  <c r="R130" i="70"/>
  <c r="Q130" i="70"/>
  <c r="P130" i="70"/>
  <c r="P98" i="70" s="1"/>
  <c r="P67" i="70" s="1"/>
  <c r="O130" i="70"/>
  <c r="N130" i="70"/>
  <c r="N98" i="70" s="1"/>
  <c r="N67" i="70" s="1"/>
  <c r="M130" i="70"/>
  <c r="L130" i="70"/>
  <c r="K130" i="70"/>
  <c r="AK129" i="70"/>
  <c r="AJ129" i="70"/>
  <c r="AI129" i="70"/>
  <c r="AH129" i="70"/>
  <c r="AG129" i="70"/>
  <c r="AF129" i="70"/>
  <c r="AE129" i="70"/>
  <c r="AE97" i="70" s="1"/>
  <c r="AE66" i="70" s="1"/>
  <c r="AD129" i="70"/>
  <c r="AD97" i="70" s="1"/>
  <c r="AD66" i="70" s="1"/>
  <c r="AC129" i="70"/>
  <c r="AC97" i="70" s="1"/>
  <c r="AC66" i="70" s="1"/>
  <c r="AB129" i="70"/>
  <c r="AA129" i="70"/>
  <c r="Z129" i="70"/>
  <c r="Y129" i="70"/>
  <c r="X129" i="70"/>
  <c r="W129" i="70"/>
  <c r="V129" i="70"/>
  <c r="U129" i="70"/>
  <c r="T129" i="70"/>
  <c r="S129" i="70"/>
  <c r="S97" i="70" s="1"/>
  <c r="S66" i="70" s="1"/>
  <c r="AV66" i="70" s="1"/>
  <c r="R129" i="70"/>
  <c r="R97" i="70" s="1"/>
  <c r="R66" i="70" s="1"/>
  <c r="Q129" i="70"/>
  <c r="Q97" i="70" s="1"/>
  <c r="Q66" i="70" s="1"/>
  <c r="P129" i="70"/>
  <c r="O129" i="70"/>
  <c r="N129" i="70"/>
  <c r="M129" i="70"/>
  <c r="L129" i="70"/>
  <c r="K129" i="70"/>
  <c r="AK128" i="70"/>
  <c r="AJ128" i="70"/>
  <c r="AI128" i="70"/>
  <c r="AH128" i="70"/>
  <c r="AH96" i="70" s="1"/>
  <c r="AH65" i="70" s="1"/>
  <c r="AG128" i="70"/>
  <c r="AF128" i="70"/>
  <c r="AF96" i="70" s="1"/>
  <c r="AF65" i="70" s="1"/>
  <c r="AE128" i="70"/>
  <c r="AD128" i="70"/>
  <c r="AC128" i="70"/>
  <c r="AB128" i="70"/>
  <c r="AA128" i="70"/>
  <c r="Z128" i="70"/>
  <c r="Y128" i="70"/>
  <c r="X128" i="70"/>
  <c r="W128" i="70"/>
  <c r="V128" i="70"/>
  <c r="V96" i="70" s="1"/>
  <c r="V65" i="70" s="1"/>
  <c r="U128" i="70"/>
  <c r="U96" i="70" s="1"/>
  <c r="U65" i="70" s="1"/>
  <c r="T128" i="70"/>
  <c r="T96" i="70" s="1"/>
  <c r="T65" i="70" s="1"/>
  <c r="S128" i="70"/>
  <c r="R128" i="70"/>
  <c r="Q128" i="70"/>
  <c r="P128" i="70"/>
  <c r="O128" i="70"/>
  <c r="N128" i="70"/>
  <c r="M128" i="70"/>
  <c r="L128" i="70"/>
  <c r="K128" i="70"/>
  <c r="AK127" i="70"/>
  <c r="AJ127" i="70"/>
  <c r="AJ95" i="70" s="1"/>
  <c r="AJ64" i="70" s="1"/>
  <c r="AI127" i="70"/>
  <c r="AI95" i="70" s="1"/>
  <c r="AI64" i="70" s="1"/>
  <c r="AH127" i="70"/>
  <c r="AG127" i="70"/>
  <c r="AF127" i="70"/>
  <c r="AE127" i="70"/>
  <c r="AD127" i="70"/>
  <c r="AC127" i="70"/>
  <c r="AB127" i="70"/>
  <c r="AA127" i="70"/>
  <c r="Z127" i="70"/>
  <c r="Y127" i="70"/>
  <c r="Y95" i="70" s="1"/>
  <c r="Y64" i="70" s="1"/>
  <c r="X127" i="70"/>
  <c r="W127" i="70"/>
  <c r="W95" i="70" s="1"/>
  <c r="W64" i="70" s="1"/>
  <c r="V127" i="70"/>
  <c r="U127" i="70"/>
  <c r="T127" i="70"/>
  <c r="S127" i="70"/>
  <c r="R127" i="70"/>
  <c r="Q127" i="70"/>
  <c r="P127" i="70"/>
  <c r="O127" i="70"/>
  <c r="N127" i="70"/>
  <c r="M127" i="70"/>
  <c r="M95" i="70" s="1"/>
  <c r="M64" i="70" s="1"/>
  <c r="L127" i="70"/>
  <c r="K127" i="70"/>
  <c r="K95" i="70" s="1"/>
  <c r="K64" i="70" s="1"/>
  <c r="AN64" i="70" s="1"/>
  <c r="AK126" i="70"/>
  <c r="AJ126" i="70"/>
  <c r="AI126" i="70"/>
  <c r="AH126" i="70"/>
  <c r="AG126" i="70"/>
  <c r="AF126" i="70"/>
  <c r="AE126" i="70"/>
  <c r="AD126" i="70"/>
  <c r="AC126" i="70"/>
  <c r="AB126" i="70"/>
  <c r="AA126" i="70"/>
  <c r="Z126" i="70"/>
  <c r="Z94" i="70" s="1"/>
  <c r="Z63" i="70" s="1"/>
  <c r="Y126" i="70"/>
  <c r="X126" i="70"/>
  <c r="W126" i="70"/>
  <c r="V126" i="70"/>
  <c r="U126" i="70"/>
  <c r="T126" i="70"/>
  <c r="S126" i="70"/>
  <c r="R126" i="70"/>
  <c r="Q126" i="70"/>
  <c r="P126" i="70"/>
  <c r="P94" i="70" s="1"/>
  <c r="P63" i="70" s="1"/>
  <c r="O126" i="70"/>
  <c r="N126" i="70"/>
  <c r="N94" i="70" s="1"/>
  <c r="N63" i="70" s="1"/>
  <c r="M126" i="70"/>
  <c r="L126" i="70"/>
  <c r="K126" i="70"/>
  <c r="AJ125" i="70"/>
  <c r="AI125" i="70"/>
  <c r="AH125" i="70"/>
  <c r="AG125" i="70"/>
  <c r="AF125" i="70"/>
  <c r="AE125" i="70"/>
  <c r="AD125" i="70"/>
  <c r="AD93" i="70" s="1"/>
  <c r="AD62" i="70" s="1"/>
  <c r="AC125" i="70"/>
  <c r="AB125" i="70"/>
  <c r="AA125" i="70"/>
  <c r="Z125" i="70"/>
  <c r="Y125" i="70"/>
  <c r="X125" i="70"/>
  <c r="W125" i="70"/>
  <c r="W93" i="70" s="1"/>
  <c r="W62" i="70" s="1"/>
  <c r="V125" i="70"/>
  <c r="U125" i="70"/>
  <c r="T125" i="70"/>
  <c r="S125" i="70"/>
  <c r="R125" i="70"/>
  <c r="R93" i="70" s="1"/>
  <c r="R62" i="70" s="1"/>
  <c r="Q125" i="70"/>
  <c r="P125" i="70"/>
  <c r="P93" i="70" s="1"/>
  <c r="P62" i="70" s="1"/>
  <c r="O125" i="70"/>
  <c r="N125" i="70"/>
  <c r="M125" i="70"/>
  <c r="L125" i="70"/>
  <c r="K125" i="70"/>
  <c r="AI124" i="70"/>
  <c r="AH124" i="70"/>
  <c r="AG124" i="70"/>
  <c r="AF124" i="70"/>
  <c r="AE124" i="70"/>
  <c r="AE92" i="70" s="1"/>
  <c r="AE61" i="70" s="1"/>
  <c r="AD124" i="70"/>
  <c r="AC124" i="70"/>
  <c r="AC92" i="70" s="1"/>
  <c r="AC61" i="70" s="1"/>
  <c r="AB124" i="70"/>
  <c r="AA124" i="70"/>
  <c r="Z124" i="70"/>
  <c r="Y124" i="70"/>
  <c r="X124" i="70"/>
  <c r="X92" i="70" s="1"/>
  <c r="X61" i="70" s="1"/>
  <c r="BA61" i="70" s="1"/>
  <c r="W124" i="70"/>
  <c r="V124" i="70"/>
  <c r="U124" i="70"/>
  <c r="T124" i="70"/>
  <c r="S124" i="70"/>
  <c r="S92" i="70" s="1"/>
  <c r="S61" i="70" s="1"/>
  <c r="R124" i="70"/>
  <c r="Q124" i="70"/>
  <c r="P124" i="70"/>
  <c r="O124" i="70"/>
  <c r="N124" i="70"/>
  <c r="M124" i="70"/>
  <c r="L124" i="70"/>
  <c r="K124" i="70"/>
  <c r="AH123" i="70"/>
  <c r="AG123" i="70"/>
  <c r="AF123" i="70"/>
  <c r="AE123" i="70"/>
  <c r="AE91" i="70" s="1"/>
  <c r="AE60" i="70" s="1"/>
  <c r="AD123" i="70"/>
  <c r="AD91" i="70" s="1"/>
  <c r="AD60" i="70" s="1"/>
  <c r="AC123" i="70"/>
  <c r="AB123" i="70"/>
  <c r="AA123" i="70"/>
  <c r="Z123" i="70"/>
  <c r="Y123" i="70"/>
  <c r="X123" i="70"/>
  <c r="W123" i="70"/>
  <c r="V123" i="70"/>
  <c r="U123" i="70"/>
  <c r="T123" i="70"/>
  <c r="S123" i="70"/>
  <c r="S91" i="70" s="1"/>
  <c r="S60" i="70" s="1"/>
  <c r="R123" i="70"/>
  <c r="Q123" i="70"/>
  <c r="Q91" i="70" s="1"/>
  <c r="Q60" i="70" s="1"/>
  <c r="P123" i="70"/>
  <c r="O123" i="70"/>
  <c r="N123" i="70"/>
  <c r="M123" i="70"/>
  <c r="L123" i="70"/>
  <c r="K123" i="70"/>
  <c r="AG122" i="70"/>
  <c r="AF122" i="70"/>
  <c r="AE122" i="70"/>
  <c r="AD122" i="70"/>
  <c r="AC122" i="70"/>
  <c r="AB122" i="70"/>
  <c r="AA122" i="70"/>
  <c r="Z122" i="70"/>
  <c r="Y122" i="70"/>
  <c r="X122" i="70"/>
  <c r="W122" i="70"/>
  <c r="V122" i="70"/>
  <c r="U122" i="70"/>
  <c r="T122" i="70"/>
  <c r="S122" i="70"/>
  <c r="R122" i="70"/>
  <c r="Q122" i="70"/>
  <c r="P122" i="70"/>
  <c r="P90" i="70" s="1"/>
  <c r="P59" i="70" s="1"/>
  <c r="O122" i="70"/>
  <c r="O90" i="70" s="1"/>
  <c r="O59" i="70" s="1"/>
  <c r="AR59" i="70" s="1"/>
  <c r="N122" i="70"/>
  <c r="M122" i="70"/>
  <c r="L122" i="70"/>
  <c r="K122" i="70"/>
  <c r="AF121" i="70"/>
  <c r="AE121" i="70"/>
  <c r="AD121" i="70"/>
  <c r="AC121" i="70"/>
  <c r="AB121" i="70"/>
  <c r="AB89" i="70" s="1"/>
  <c r="AB58" i="70" s="1"/>
  <c r="AA121" i="70"/>
  <c r="Z121" i="70"/>
  <c r="Z89" i="70" s="1"/>
  <c r="Z58" i="70" s="1"/>
  <c r="Y121" i="70"/>
  <c r="X121" i="70"/>
  <c r="W121" i="70"/>
  <c r="V121" i="70"/>
  <c r="U121" i="70"/>
  <c r="T121" i="70"/>
  <c r="S121" i="70"/>
  <c r="R121" i="70"/>
  <c r="Q121" i="70"/>
  <c r="P121" i="70"/>
  <c r="P89" i="70" s="1"/>
  <c r="P58" i="70" s="1"/>
  <c r="O121" i="70"/>
  <c r="N121" i="70"/>
  <c r="N89" i="70" s="1"/>
  <c r="N58" i="70" s="1"/>
  <c r="M121" i="70"/>
  <c r="L121" i="70"/>
  <c r="K121" i="70"/>
  <c r="AE120" i="70"/>
  <c r="AD120" i="70"/>
  <c r="AC120" i="70"/>
  <c r="AB120" i="70"/>
  <c r="AA120" i="70"/>
  <c r="Z120" i="70"/>
  <c r="Y120" i="70"/>
  <c r="X120" i="70"/>
  <c r="X88" i="70" s="1"/>
  <c r="X57" i="70" s="1"/>
  <c r="W120" i="70"/>
  <c r="W88" i="70" s="1"/>
  <c r="W57" i="70" s="1"/>
  <c r="V120" i="70"/>
  <c r="U120" i="70"/>
  <c r="T120" i="70"/>
  <c r="S120" i="70"/>
  <c r="R120" i="70"/>
  <c r="Q120" i="70"/>
  <c r="P120" i="70"/>
  <c r="O120" i="70"/>
  <c r="N120" i="70"/>
  <c r="M120" i="70"/>
  <c r="M88" i="70" s="1"/>
  <c r="M57" i="70" s="1"/>
  <c r="L120" i="70"/>
  <c r="L88" i="70" s="1"/>
  <c r="L57" i="70" s="1"/>
  <c r="K120" i="70"/>
  <c r="K88" i="70" s="1"/>
  <c r="K57" i="70" s="1"/>
  <c r="AD119" i="70"/>
  <c r="AC119" i="70"/>
  <c r="AB119" i="70"/>
  <c r="AA119" i="70"/>
  <c r="Z119" i="70"/>
  <c r="Y119" i="70"/>
  <c r="X119" i="70"/>
  <c r="W119" i="70"/>
  <c r="V119" i="70"/>
  <c r="U119" i="70"/>
  <c r="T119" i="70"/>
  <c r="S119" i="70"/>
  <c r="S87" i="70" s="1"/>
  <c r="S56" i="70" s="1"/>
  <c r="AV56" i="70" s="1"/>
  <c r="R119" i="70"/>
  <c r="Q119" i="70"/>
  <c r="P119" i="70"/>
  <c r="O119" i="70"/>
  <c r="N119" i="70"/>
  <c r="M119" i="70"/>
  <c r="L119" i="70"/>
  <c r="K119" i="70"/>
  <c r="AC118" i="70"/>
  <c r="AB118" i="70"/>
  <c r="AB86" i="70" s="1"/>
  <c r="AB55" i="70" s="1"/>
  <c r="AA118" i="70"/>
  <c r="Z118" i="70"/>
  <c r="Y118" i="70"/>
  <c r="X118" i="70"/>
  <c r="W118" i="70"/>
  <c r="V118" i="70"/>
  <c r="U118" i="70"/>
  <c r="T118" i="70"/>
  <c r="S118" i="70"/>
  <c r="R118" i="70"/>
  <c r="Q118" i="70"/>
  <c r="P118" i="70"/>
  <c r="O118" i="70"/>
  <c r="N118" i="70"/>
  <c r="N86" i="70" s="1"/>
  <c r="N55" i="70" s="1"/>
  <c r="M118" i="70"/>
  <c r="L118" i="70"/>
  <c r="K118" i="70"/>
  <c r="AB117" i="70"/>
  <c r="AA117" i="70"/>
  <c r="Z117" i="70"/>
  <c r="Y117" i="70"/>
  <c r="X117" i="70"/>
  <c r="W117" i="70"/>
  <c r="V117" i="70"/>
  <c r="V85" i="70" s="1"/>
  <c r="V54" i="70" s="1"/>
  <c r="U117" i="70"/>
  <c r="T117" i="70"/>
  <c r="T85" i="70" s="1"/>
  <c r="T54" i="70" s="1"/>
  <c r="S117" i="70"/>
  <c r="R117" i="70"/>
  <c r="Q117" i="70"/>
  <c r="P117" i="70"/>
  <c r="O117" i="70"/>
  <c r="N117" i="70"/>
  <c r="M117" i="70"/>
  <c r="L117" i="70"/>
  <c r="K117" i="70"/>
  <c r="AA116" i="70"/>
  <c r="Z116" i="70"/>
  <c r="Y116" i="70"/>
  <c r="Y84" i="70" s="1"/>
  <c r="Y53" i="70" s="1"/>
  <c r="X116" i="70"/>
  <c r="W116" i="70"/>
  <c r="V116" i="70"/>
  <c r="U116" i="70"/>
  <c r="T116" i="70"/>
  <c r="S116" i="70"/>
  <c r="R116" i="70"/>
  <c r="Q116" i="70"/>
  <c r="P116" i="70"/>
  <c r="O116" i="70"/>
  <c r="N116" i="70"/>
  <c r="M116" i="70"/>
  <c r="M84" i="70" s="1"/>
  <c r="M53" i="70" s="1"/>
  <c r="L116" i="70"/>
  <c r="K116" i="70"/>
  <c r="Z115" i="70"/>
  <c r="Y115" i="70"/>
  <c r="X115" i="70"/>
  <c r="W115" i="70"/>
  <c r="V115" i="70"/>
  <c r="U115" i="70"/>
  <c r="T115" i="70"/>
  <c r="S115" i="70"/>
  <c r="S83" i="70" s="1"/>
  <c r="S52" i="70" s="1"/>
  <c r="R115" i="70"/>
  <c r="R83" i="70" s="1"/>
  <c r="R52" i="70" s="1"/>
  <c r="Q115" i="70"/>
  <c r="Q83" i="70" s="1"/>
  <c r="Q52" i="70" s="1"/>
  <c r="P115" i="70"/>
  <c r="O115" i="70"/>
  <c r="N115" i="70"/>
  <c r="M115" i="70"/>
  <c r="L115" i="70"/>
  <c r="K115" i="70"/>
  <c r="Y114" i="70"/>
  <c r="X114" i="70"/>
  <c r="W114" i="70"/>
  <c r="V114" i="70"/>
  <c r="V82" i="70" s="1"/>
  <c r="V51" i="70" s="1"/>
  <c r="U114" i="70"/>
  <c r="T114" i="70"/>
  <c r="T82" i="70" s="1"/>
  <c r="T51" i="70" s="1"/>
  <c r="S114" i="70"/>
  <c r="R114" i="70"/>
  <c r="Q114" i="70"/>
  <c r="P114" i="70"/>
  <c r="O114" i="70"/>
  <c r="N114" i="70"/>
  <c r="M114" i="70"/>
  <c r="L114" i="70"/>
  <c r="K114" i="70"/>
  <c r="X113" i="70"/>
  <c r="X81" i="70" s="1"/>
  <c r="X50" i="70" s="1"/>
  <c r="W113" i="70"/>
  <c r="V113" i="70"/>
  <c r="V81" i="70" s="1"/>
  <c r="V50" i="70" s="1"/>
  <c r="U113" i="70"/>
  <c r="T113" i="70"/>
  <c r="S113" i="70"/>
  <c r="R113" i="70"/>
  <c r="Q113" i="70"/>
  <c r="P113" i="70"/>
  <c r="O113" i="70"/>
  <c r="N113" i="70"/>
  <c r="M113" i="70"/>
  <c r="L113" i="70"/>
  <c r="L81" i="70" s="1"/>
  <c r="L50" i="70" s="1"/>
  <c r="K113" i="70"/>
  <c r="K81" i="70" s="1"/>
  <c r="K50" i="70" s="1"/>
  <c r="AN50" i="70" s="1"/>
  <c r="W112" i="70"/>
  <c r="W80" i="70" s="1"/>
  <c r="W49" i="70" s="1"/>
  <c r="AZ49" i="70" s="1"/>
  <c r="V112" i="70"/>
  <c r="U112" i="70"/>
  <c r="T112" i="70"/>
  <c r="S112" i="70"/>
  <c r="R112" i="70"/>
  <c r="Q112" i="70"/>
  <c r="P112" i="70"/>
  <c r="O112" i="70"/>
  <c r="N112" i="70"/>
  <c r="M112" i="70"/>
  <c r="L112" i="70"/>
  <c r="K112" i="70"/>
  <c r="K80" i="70" s="1"/>
  <c r="K49" i="70" s="1"/>
  <c r="V111" i="70"/>
  <c r="U111" i="70"/>
  <c r="T111" i="70"/>
  <c r="S111" i="70"/>
  <c r="R111" i="70"/>
  <c r="Q111" i="70"/>
  <c r="P111" i="70"/>
  <c r="O111" i="70"/>
  <c r="N111" i="70"/>
  <c r="M111" i="70"/>
  <c r="L111" i="70"/>
  <c r="K111" i="70"/>
  <c r="K79" i="70" s="1"/>
  <c r="K48" i="70" s="1"/>
  <c r="U110" i="70"/>
  <c r="T110" i="70"/>
  <c r="S110" i="70"/>
  <c r="R110" i="70"/>
  <c r="Q110" i="70"/>
  <c r="P110" i="70"/>
  <c r="O110" i="70"/>
  <c r="N110" i="70"/>
  <c r="M110" i="70"/>
  <c r="L110" i="70"/>
  <c r="L78" i="70" s="1"/>
  <c r="L47" i="70" s="1"/>
  <c r="K110" i="70"/>
  <c r="T109" i="70"/>
  <c r="T77" i="70" s="1"/>
  <c r="T46" i="70" s="1"/>
  <c r="S109" i="70"/>
  <c r="R109" i="70"/>
  <c r="Q109" i="70"/>
  <c r="P109" i="70"/>
  <c r="O109" i="70"/>
  <c r="N109" i="70"/>
  <c r="M109" i="70"/>
  <c r="L109" i="70"/>
  <c r="K109" i="70"/>
  <c r="S108" i="70"/>
  <c r="R108" i="70"/>
  <c r="Q108" i="70"/>
  <c r="Q76" i="70" s="1"/>
  <c r="Q45" i="70" s="1"/>
  <c r="P108" i="70"/>
  <c r="O108" i="70"/>
  <c r="N108" i="70"/>
  <c r="M108" i="70"/>
  <c r="L108" i="70"/>
  <c r="K108" i="70"/>
  <c r="R107" i="70"/>
  <c r="Q107" i="70"/>
  <c r="P107" i="70"/>
  <c r="O107" i="70"/>
  <c r="O75" i="70" s="1"/>
  <c r="O44" i="70" s="1"/>
  <c r="AR44" i="70" s="1"/>
  <c r="N107" i="70"/>
  <c r="M107" i="70"/>
  <c r="M75" i="70" s="1"/>
  <c r="M44" i="70" s="1"/>
  <c r="L107" i="70"/>
  <c r="K107" i="70"/>
  <c r="Q106" i="70"/>
  <c r="P106" i="70"/>
  <c r="O106" i="70"/>
  <c r="N106" i="70"/>
  <c r="M106" i="70"/>
  <c r="L106" i="70"/>
  <c r="K106" i="70"/>
  <c r="AB102" i="70"/>
  <c r="AB71" i="70" s="1"/>
  <c r="AA102" i="70"/>
  <c r="AA71" i="70" s="1"/>
  <c r="Z102" i="70"/>
  <c r="Z71" i="70" s="1"/>
  <c r="Z98" i="70"/>
  <c r="Z67" i="70" s="1"/>
  <c r="Q98" i="70"/>
  <c r="Q67" i="70" s="1"/>
  <c r="AK95" i="70"/>
  <c r="AK64" i="70" s="1"/>
  <c r="AF94" i="70"/>
  <c r="AF63" i="70" s="1"/>
  <c r="N85" i="70"/>
  <c r="N54" i="70" s="1"/>
  <c r="AE70" i="70"/>
  <c r="AK62" i="70"/>
  <c r="AK61" i="70"/>
  <c r="AJ61" i="70"/>
  <c r="AK60" i="70"/>
  <c r="AJ60" i="70"/>
  <c r="AI60" i="70"/>
  <c r="AK59" i="70"/>
  <c r="AJ59" i="70"/>
  <c r="AI59" i="70"/>
  <c r="AH59" i="70"/>
  <c r="AK58" i="70"/>
  <c r="AJ58" i="70"/>
  <c r="AI58" i="70"/>
  <c r="AH58" i="70"/>
  <c r="AG58" i="70"/>
  <c r="AK57" i="70"/>
  <c r="AJ57" i="70"/>
  <c r="AI57" i="70"/>
  <c r="AH57" i="70"/>
  <c r="AG57" i="70"/>
  <c r="AF57" i="70"/>
  <c r="AK56" i="70"/>
  <c r="AJ56" i="70"/>
  <c r="AI56" i="70"/>
  <c r="AH56" i="70"/>
  <c r="AG56" i="70"/>
  <c r="AF56" i="70"/>
  <c r="AE56" i="70"/>
  <c r="AK55" i="70"/>
  <c r="AJ55" i="70"/>
  <c r="AI55" i="70"/>
  <c r="AH55" i="70"/>
  <c r="AG55" i="70"/>
  <c r="AF55" i="70"/>
  <c r="AE55" i="70"/>
  <c r="AD55" i="70"/>
  <c r="AK54" i="70"/>
  <c r="AJ54" i="70"/>
  <c r="AI54" i="70"/>
  <c r="AH54" i="70"/>
  <c r="AG54" i="70"/>
  <c r="AF54" i="70"/>
  <c r="AE54" i="70"/>
  <c r="AD54" i="70"/>
  <c r="AC54" i="70"/>
  <c r="AK53" i="70"/>
  <c r="AJ53" i="70"/>
  <c r="AI53" i="70"/>
  <c r="AH53" i="70"/>
  <c r="AG53" i="70"/>
  <c r="AF53" i="70"/>
  <c r="AE53" i="70"/>
  <c r="AD53" i="70"/>
  <c r="AC53" i="70"/>
  <c r="AB53" i="70"/>
  <c r="AK52" i="70"/>
  <c r="AJ52" i="70"/>
  <c r="AI52" i="70"/>
  <c r="AH52" i="70"/>
  <c r="AG52" i="70"/>
  <c r="AF52" i="70"/>
  <c r="AE52" i="70"/>
  <c r="AD52" i="70"/>
  <c r="AC52" i="70"/>
  <c r="AB52" i="70"/>
  <c r="AA52" i="70"/>
  <c r="AK51" i="70"/>
  <c r="AJ51" i="70"/>
  <c r="AI51" i="70"/>
  <c r="AH51" i="70"/>
  <c r="AG51" i="70"/>
  <c r="AF51" i="70"/>
  <c r="AE51" i="70"/>
  <c r="AD51" i="70"/>
  <c r="AC51" i="70"/>
  <c r="AB51" i="70"/>
  <c r="AA51" i="70"/>
  <c r="Z51" i="70"/>
  <c r="AK50" i="70"/>
  <c r="AJ50" i="70"/>
  <c r="AI50" i="70"/>
  <c r="AH50" i="70"/>
  <c r="AG50" i="70"/>
  <c r="AF50" i="70"/>
  <c r="AE50" i="70"/>
  <c r="AD50" i="70"/>
  <c r="AC50" i="70"/>
  <c r="AB50" i="70"/>
  <c r="AA50" i="70"/>
  <c r="Z50" i="70"/>
  <c r="Y50" i="70"/>
  <c r="AK49" i="70"/>
  <c r="AJ49" i="70"/>
  <c r="AI49" i="70"/>
  <c r="AH49" i="70"/>
  <c r="AG49" i="70"/>
  <c r="AF49" i="70"/>
  <c r="AE49" i="70"/>
  <c r="AD49" i="70"/>
  <c r="AC49" i="70"/>
  <c r="AB49" i="70"/>
  <c r="AA49" i="70"/>
  <c r="Z49" i="70"/>
  <c r="Y49" i="70"/>
  <c r="X49" i="70"/>
  <c r="AK48" i="70"/>
  <c r="AJ48" i="70"/>
  <c r="AI48" i="70"/>
  <c r="AH48" i="70"/>
  <c r="AG48" i="70"/>
  <c r="AF48" i="70"/>
  <c r="AE48" i="70"/>
  <c r="AD48" i="70"/>
  <c r="AC48" i="70"/>
  <c r="AB48" i="70"/>
  <c r="AA48" i="70"/>
  <c r="Z48" i="70"/>
  <c r="Y48" i="70"/>
  <c r="X48" i="70"/>
  <c r="W48" i="70"/>
  <c r="AK47" i="70"/>
  <c r="AJ47" i="70"/>
  <c r="AI47" i="70"/>
  <c r="AH47" i="70"/>
  <c r="AG47" i="70"/>
  <c r="AF47" i="70"/>
  <c r="AE47" i="70"/>
  <c r="AD47" i="70"/>
  <c r="AC47" i="70"/>
  <c r="AB47" i="70"/>
  <c r="AA47" i="70"/>
  <c r="Z47" i="70"/>
  <c r="Y47" i="70"/>
  <c r="X47" i="70"/>
  <c r="W47" i="70"/>
  <c r="V47" i="70"/>
  <c r="AK46" i="70"/>
  <c r="AJ46" i="70"/>
  <c r="AI46" i="70"/>
  <c r="AH46" i="70"/>
  <c r="AG46" i="70"/>
  <c r="AF46" i="70"/>
  <c r="AE46" i="70"/>
  <c r="AD46" i="70"/>
  <c r="AC46" i="70"/>
  <c r="AB46" i="70"/>
  <c r="AA46" i="70"/>
  <c r="Z46" i="70"/>
  <c r="Y46" i="70"/>
  <c r="X46" i="70"/>
  <c r="W46" i="70"/>
  <c r="V46" i="70"/>
  <c r="U46" i="70"/>
  <c r="AK45" i="70"/>
  <c r="AJ45" i="70"/>
  <c r="AI45" i="70"/>
  <c r="AH45" i="70"/>
  <c r="AG45" i="70"/>
  <c r="AF45" i="70"/>
  <c r="AE45" i="70"/>
  <c r="AD45" i="70"/>
  <c r="AC45" i="70"/>
  <c r="AB45" i="70"/>
  <c r="AA45" i="70"/>
  <c r="Z45" i="70"/>
  <c r="Y45" i="70"/>
  <c r="X45" i="70"/>
  <c r="W45" i="70"/>
  <c r="V45" i="70"/>
  <c r="U45" i="70"/>
  <c r="T45" i="70"/>
  <c r="AK44" i="70"/>
  <c r="AJ44" i="70"/>
  <c r="AI44" i="70"/>
  <c r="AH44" i="70"/>
  <c r="AG44" i="70"/>
  <c r="AF44" i="70"/>
  <c r="AE44" i="70"/>
  <c r="AD44" i="70"/>
  <c r="AC44" i="70"/>
  <c r="AB44" i="70"/>
  <c r="AA44" i="70"/>
  <c r="Z44" i="70"/>
  <c r="Y44" i="70"/>
  <c r="X44" i="70"/>
  <c r="W44" i="70"/>
  <c r="V44" i="70"/>
  <c r="U44" i="70"/>
  <c r="T44" i="70"/>
  <c r="S44" i="70"/>
  <c r="AK43" i="70"/>
  <c r="AJ43" i="70"/>
  <c r="AI43" i="70"/>
  <c r="AH43" i="70"/>
  <c r="AG43" i="70"/>
  <c r="AF43" i="70"/>
  <c r="AE43" i="70"/>
  <c r="AD43" i="70"/>
  <c r="AC43" i="70"/>
  <c r="AB43" i="70"/>
  <c r="AA43" i="70"/>
  <c r="Z43" i="70"/>
  <c r="Y43" i="70"/>
  <c r="X43" i="70"/>
  <c r="W43" i="70"/>
  <c r="V43" i="70"/>
  <c r="U43" i="70"/>
  <c r="T43" i="70"/>
  <c r="S43" i="70"/>
  <c r="R43" i="70"/>
  <c r="Q80" i="70" l="1"/>
  <c r="Q49" i="70" s="1"/>
  <c r="BH60" i="70"/>
  <c r="AK100" i="70"/>
  <c r="AK69" i="70" s="1"/>
  <c r="AH101" i="70"/>
  <c r="AH70" i="70" s="1"/>
  <c r="BK70" i="70" s="1"/>
  <c r="S102" i="70"/>
  <c r="S71" i="70" s="1"/>
  <c r="H560" i="70" s="1"/>
  <c r="AE102" i="70"/>
  <c r="AE71" i="70" s="1"/>
  <c r="Y92" i="70"/>
  <c r="Y61" i="70" s="1"/>
  <c r="AK97" i="70"/>
  <c r="AK66" i="70" s="1"/>
  <c r="AI94" i="70"/>
  <c r="AI63" i="70" s="1"/>
  <c r="S76" i="70"/>
  <c r="S45" i="70" s="1"/>
  <c r="P86" i="70"/>
  <c r="P55" i="70" s="1"/>
  <c r="U87" i="70"/>
  <c r="U56" i="70" s="1"/>
  <c r="H185" i="70" s="1"/>
  <c r="R90" i="70"/>
  <c r="R59" i="70" s="1"/>
  <c r="AD90" i="70"/>
  <c r="AD59" i="70" s="1"/>
  <c r="BG59" i="70" s="1"/>
  <c r="AB94" i="70"/>
  <c r="AB63" i="70" s="1"/>
  <c r="M99" i="70"/>
  <c r="M68" i="70" s="1"/>
  <c r="AP68" i="70" s="1"/>
  <c r="AF91" i="70"/>
  <c r="AF60" i="70" s="1"/>
  <c r="AC98" i="70"/>
  <c r="AC67" i="70" s="1"/>
  <c r="Z99" i="70"/>
  <c r="Z68" i="70" s="1"/>
  <c r="AF101" i="70"/>
  <c r="AF70" i="70" s="1"/>
  <c r="BI70" i="70" s="1"/>
  <c r="AN57" i="70"/>
  <c r="AR71" i="70"/>
  <c r="BM69" i="70"/>
  <c r="H101" i="70"/>
  <c r="AY51" i="70"/>
  <c r="T87" i="70"/>
  <c r="T56" i="70" s="1"/>
  <c r="AW56" i="70" s="1"/>
  <c r="AU64" i="70"/>
  <c r="H147" i="70"/>
  <c r="AW54" i="70"/>
  <c r="AT45" i="70"/>
  <c r="AX68" i="70"/>
  <c r="BG65" i="70"/>
  <c r="BF56" i="70"/>
  <c r="AU62" i="70"/>
  <c r="H63" i="70"/>
  <c r="AN49" i="70"/>
  <c r="AN68" i="70"/>
  <c r="BD68" i="70"/>
  <c r="AX48" i="70"/>
  <c r="N79" i="70"/>
  <c r="N48" i="70" s="1"/>
  <c r="S90" i="70"/>
  <c r="S59" i="70" s="1"/>
  <c r="AV59" i="70" s="1"/>
  <c r="Z95" i="70"/>
  <c r="Z64" i="70" s="1"/>
  <c r="W100" i="70"/>
  <c r="W69" i="70" s="1"/>
  <c r="Q84" i="70"/>
  <c r="Q53" i="70" s="1"/>
  <c r="AF90" i="70"/>
  <c r="AF59" i="70" s="1"/>
  <c r="BI59" i="70" s="1"/>
  <c r="O95" i="70"/>
  <c r="O64" i="70" s="1"/>
  <c r="AR64" i="70" s="1"/>
  <c r="BL68" i="70"/>
  <c r="Y82" i="70"/>
  <c r="Y51" i="70" s="1"/>
  <c r="BB51" i="70" s="1"/>
  <c r="AH91" i="70"/>
  <c r="AH60" i="70" s="1"/>
  <c r="BK60" i="70" s="1"/>
  <c r="AE94" i="70"/>
  <c r="AE63" i="70" s="1"/>
  <c r="BH63" i="70" s="1"/>
  <c r="M96" i="70"/>
  <c r="M65" i="70" s="1"/>
  <c r="V97" i="70"/>
  <c r="V66" i="70" s="1"/>
  <c r="AY66" i="70" s="1"/>
  <c r="M100" i="70"/>
  <c r="M69" i="70" s="1"/>
  <c r="BK69" i="70"/>
  <c r="AY69" i="70"/>
  <c r="BN68" i="70"/>
  <c r="BB68" i="70"/>
  <c r="BE67" i="70"/>
  <c r="AS67" i="70"/>
  <c r="BH66" i="70"/>
  <c r="BF61" i="70"/>
  <c r="AV70" i="70"/>
  <c r="H89" i="70"/>
  <c r="BA50" i="70"/>
  <c r="T83" i="70"/>
  <c r="T52" i="70" s="1"/>
  <c r="K85" i="70"/>
  <c r="K54" i="70" s="1"/>
  <c r="Z88" i="70"/>
  <c r="Z57" i="70" s="1"/>
  <c r="N95" i="70"/>
  <c r="N64" i="70" s="1"/>
  <c r="AQ64" i="70" s="1"/>
  <c r="K96" i="70"/>
  <c r="K65" i="70" s="1"/>
  <c r="K100" i="70"/>
  <c r="K69" i="70" s="1"/>
  <c r="BI60" i="70"/>
  <c r="L74" i="70"/>
  <c r="L43" i="70" s="1"/>
  <c r="AO43" i="70" s="1"/>
  <c r="X82" i="70"/>
  <c r="X51" i="70" s="1"/>
  <c r="BA51" i="70" s="1"/>
  <c r="X85" i="70"/>
  <c r="X54" i="70" s="1"/>
  <c r="BA54" i="70" s="1"/>
  <c r="AD89" i="70"/>
  <c r="AD58" i="70" s="1"/>
  <c r="BG58" i="70" s="1"/>
  <c r="AG91" i="70"/>
  <c r="AG60" i="70" s="1"/>
  <c r="BJ60" i="70" s="1"/>
  <c r="AD94" i="70"/>
  <c r="AD63" i="70" s="1"/>
  <c r="BG63" i="70" s="1"/>
  <c r="L96" i="70"/>
  <c r="L65" i="70" s="1"/>
  <c r="AO65" i="70" s="1"/>
  <c r="U97" i="70"/>
  <c r="U66" i="70" s="1"/>
  <c r="AX66" i="70" s="1"/>
  <c r="O99" i="70"/>
  <c r="O68" i="70" s="1"/>
  <c r="AJ100" i="70"/>
  <c r="AJ69" i="70" s="1"/>
  <c r="R102" i="70"/>
  <c r="R71" i="70" s="1"/>
  <c r="AU71" i="70" s="1"/>
  <c r="AQ67" i="70"/>
  <c r="R75" i="70"/>
  <c r="R44" i="70" s="1"/>
  <c r="P79" i="70"/>
  <c r="P48" i="70" s="1"/>
  <c r="AS48" i="70" s="1"/>
  <c r="M82" i="70"/>
  <c r="M51" i="70" s="1"/>
  <c r="AP51" i="70" s="1"/>
  <c r="L87" i="70"/>
  <c r="L56" i="70" s="1"/>
  <c r="AG90" i="70"/>
  <c r="AG59" i="70" s="1"/>
  <c r="AH92" i="70"/>
  <c r="AH61" i="70" s="1"/>
  <c r="S94" i="70"/>
  <c r="S63" i="70" s="1"/>
  <c r="AV63" i="70" s="1"/>
  <c r="P95" i="70"/>
  <c r="P64" i="70" s="1"/>
  <c r="AB95" i="70"/>
  <c r="AB64" i="70" s="1"/>
  <c r="Y96" i="70"/>
  <c r="Y65" i="70" s="1"/>
  <c r="S98" i="70"/>
  <c r="S67" i="70" s="1"/>
  <c r="AV67" i="70" s="1"/>
  <c r="Y100" i="70"/>
  <c r="Y69" i="70" s="1"/>
  <c r="BE71" i="70"/>
  <c r="AS71" i="70"/>
  <c r="BH70" i="70"/>
  <c r="AV71" i="70"/>
  <c r="AT53" i="70"/>
  <c r="M78" i="70"/>
  <c r="M47" i="70" s="1"/>
  <c r="AP47" i="70" s="1"/>
  <c r="K82" i="70"/>
  <c r="K51" i="70" s="1"/>
  <c r="AN51" i="70" s="1"/>
  <c r="W85" i="70"/>
  <c r="W54" i="70" s="1"/>
  <c r="AZ54" i="70" s="1"/>
  <c r="Q89" i="70"/>
  <c r="Q58" i="70" s="1"/>
  <c r="T91" i="70"/>
  <c r="T60" i="70" s="1"/>
  <c r="AW60" i="70" s="1"/>
  <c r="AE93" i="70"/>
  <c r="AE62" i="70" s="1"/>
  <c r="T97" i="70"/>
  <c r="T66" i="70" s="1"/>
  <c r="AW66" i="70" s="1"/>
  <c r="N99" i="70"/>
  <c r="N68" i="70" s="1"/>
  <c r="AQ66" i="70"/>
  <c r="BF70" i="70"/>
  <c r="L77" i="70"/>
  <c r="L46" i="70" s="1"/>
  <c r="L82" i="70"/>
  <c r="L51" i="70" s="1"/>
  <c r="AO51" i="70" s="1"/>
  <c r="R86" i="70"/>
  <c r="R55" i="70" s="1"/>
  <c r="AU55" i="70" s="1"/>
  <c r="R89" i="70"/>
  <c r="R58" i="70" s="1"/>
  <c r="AG92" i="70"/>
  <c r="AG61" i="70" s="1"/>
  <c r="AF93" i="70"/>
  <c r="AF62" i="70" s="1"/>
  <c r="BI62" i="70" s="1"/>
  <c r="AA95" i="70"/>
  <c r="AA64" i="70" s="1"/>
  <c r="BD64" i="70" s="1"/>
  <c r="AJ96" i="70"/>
  <c r="AJ65" i="70" s="1"/>
  <c r="BM65" i="70" s="1"/>
  <c r="AD98" i="70"/>
  <c r="AD67" i="70" s="1"/>
  <c r="BG67" i="70" s="1"/>
  <c r="L100" i="70"/>
  <c r="L69" i="70" s="1"/>
  <c r="AO69" i="70" s="1"/>
  <c r="AG101" i="70"/>
  <c r="AG70" i="70" s="1"/>
  <c r="BJ70" i="70" s="1"/>
  <c r="BC63" i="70"/>
  <c r="M74" i="70"/>
  <c r="M43" i="70" s="1"/>
  <c r="M77" i="70"/>
  <c r="M46" i="70" s="1"/>
  <c r="O81" i="70"/>
  <c r="O50" i="70" s="1"/>
  <c r="V83" i="70"/>
  <c r="V52" i="70" s="1"/>
  <c r="AY52" i="70" s="1"/>
  <c r="Y85" i="70"/>
  <c r="Y54" i="70" s="1"/>
  <c r="U90" i="70"/>
  <c r="U59" i="70" s="1"/>
  <c r="AX59" i="70" s="1"/>
  <c r="V91" i="70"/>
  <c r="V60" i="70" s="1"/>
  <c r="K75" i="70"/>
  <c r="K44" i="70" s="1"/>
  <c r="O76" i="70"/>
  <c r="O45" i="70" s="1"/>
  <c r="R77" i="70"/>
  <c r="R46" i="70" s="1"/>
  <c r="AU46" i="70" s="1"/>
  <c r="U79" i="70"/>
  <c r="U48" i="70" s="1"/>
  <c r="U80" i="70"/>
  <c r="U49" i="70" s="1"/>
  <c r="AX49" i="70" s="1"/>
  <c r="O83" i="70"/>
  <c r="O52" i="70" s="1"/>
  <c r="K84" i="70"/>
  <c r="K53" i="70" s="1"/>
  <c r="AN53" i="70" s="1"/>
  <c r="L86" i="70"/>
  <c r="L55" i="70" s="1"/>
  <c r="X86" i="70"/>
  <c r="X55" i="70" s="1"/>
  <c r="Q87" i="70"/>
  <c r="Q56" i="70" s="1"/>
  <c r="AC87" i="70"/>
  <c r="AC56" i="70" s="1"/>
  <c r="AZ62" i="70"/>
  <c r="BC71" i="70"/>
  <c r="AU58" i="70"/>
  <c r="AR52" i="70"/>
  <c r="K77" i="70"/>
  <c r="K46" i="70" s="1"/>
  <c r="AN46" i="70" s="1"/>
  <c r="N80" i="70"/>
  <c r="N49" i="70" s="1"/>
  <c r="AC86" i="70"/>
  <c r="AC55" i="70" s="1"/>
  <c r="BF55" i="70" s="1"/>
  <c r="N88" i="70"/>
  <c r="N57" i="70" s="1"/>
  <c r="AQ57" i="70" s="1"/>
  <c r="T92" i="70"/>
  <c r="T61" i="70" s="1"/>
  <c r="AW61" i="70" s="1"/>
  <c r="S93" i="70"/>
  <c r="S62" i="70" s="1"/>
  <c r="AF97" i="70"/>
  <c r="AF66" i="70" s="1"/>
  <c r="AC102" i="70"/>
  <c r="AC71" i="70" s="1"/>
  <c r="N78" i="70"/>
  <c r="N47" i="70" s="1"/>
  <c r="AQ47" i="70" s="1"/>
  <c r="N81" i="70"/>
  <c r="N50" i="70" s="1"/>
  <c r="AQ50" i="70" s="1"/>
  <c r="W87" i="70"/>
  <c r="W56" i="70" s="1"/>
  <c r="AZ56" i="70" s="1"/>
  <c r="O88" i="70"/>
  <c r="O57" i="70" s="1"/>
  <c r="AR57" i="70" s="1"/>
  <c r="T93" i="70"/>
  <c r="T62" i="70" s="1"/>
  <c r="AW62" i="70" s="1"/>
  <c r="R94" i="70"/>
  <c r="R63" i="70" s="1"/>
  <c r="AU63" i="70" s="1"/>
  <c r="X96" i="70"/>
  <c r="X65" i="70" s="1"/>
  <c r="BA65" i="70" s="1"/>
  <c r="AG97" i="70"/>
  <c r="AG66" i="70" s="1"/>
  <c r="BJ66" i="70" s="1"/>
  <c r="X100" i="70"/>
  <c r="X69" i="70" s="1"/>
  <c r="BA69" i="70" s="1"/>
  <c r="AD102" i="70"/>
  <c r="AD71" i="70" s="1"/>
  <c r="BG71" i="70" s="1"/>
  <c r="AW65" i="70"/>
  <c r="O78" i="70"/>
  <c r="O47" i="70" s="1"/>
  <c r="P80" i="70"/>
  <c r="P49" i="70" s="1"/>
  <c r="AS49" i="70" s="1"/>
  <c r="R84" i="70"/>
  <c r="R53" i="70" s="1"/>
  <c r="AU53" i="70" s="1"/>
  <c r="S86" i="70"/>
  <c r="S55" i="70" s="1"/>
  <c r="P88" i="70"/>
  <c r="P57" i="70" s="1"/>
  <c r="AS57" i="70" s="1"/>
  <c r="AE89" i="70"/>
  <c r="AE58" i="70" s="1"/>
  <c r="BH58" i="70" s="1"/>
  <c r="V92" i="70"/>
  <c r="V61" i="70" s="1"/>
  <c r="AY61" i="70" s="1"/>
  <c r="U93" i="70"/>
  <c r="U62" i="70" s="1"/>
  <c r="AX62" i="70" s="1"/>
  <c r="L75" i="70"/>
  <c r="L44" i="70" s="1"/>
  <c r="S77" i="70"/>
  <c r="S46" i="70" s="1"/>
  <c r="AV46" i="70" s="1"/>
  <c r="U78" i="70"/>
  <c r="U47" i="70" s="1"/>
  <c r="V79" i="70"/>
  <c r="V48" i="70" s="1"/>
  <c r="V80" i="70"/>
  <c r="V49" i="70" s="1"/>
  <c r="AY49" i="70" s="1"/>
  <c r="U81" i="70"/>
  <c r="U50" i="70" s="1"/>
  <c r="P83" i="70"/>
  <c r="P52" i="70" s="1"/>
  <c r="AS52" i="70" s="1"/>
  <c r="S85" i="70"/>
  <c r="S54" i="70" s="1"/>
  <c r="AV54" i="70" s="1"/>
  <c r="M86" i="70"/>
  <c r="M55" i="70" s="1"/>
  <c r="AP55" i="70" s="1"/>
  <c r="Y86" i="70"/>
  <c r="Y55" i="70" s="1"/>
  <c r="R87" i="70"/>
  <c r="R56" i="70" s="1"/>
  <c r="AU56" i="70" s="1"/>
  <c r="AV45" i="70"/>
  <c r="AW59" i="70"/>
  <c r="K74" i="70"/>
  <c r="K43" i="70" s="1"/>
  <c r="AN43" i="70" s="1"/>
  <c r="M81" i="70"/>
  <c r="M50" i="70" s="1"/>
  <c r="AP50" i="70" s="1"/>
  <c r="Q86" i="70"/>
  <c r="Q55" i="70" s="1"/>
  <c r="V87" i="70"/>
  <c r="V56" i="70" s="1"/>
  <c r="AY56" i="70" s="1"/>
  <c r="AF92" i="70"/>
  <c r="AF61" i="70" s="1"/>
  <c r="BI61" i="70" s="1"/>
  <c r="Q94" i="70"/>
  <c r="Q63" i="70" s="1"/>
  <c r="AT63" i="70" s="1"/>
  <c r="AI96" i="70"/>
  <c r="AI65" i="70" s="1"/>
  <c r="BL65" i="70" s="1"/>
  <c r="T101" i="70"/>
  <c r="T70" i="70" s="1"/>
  <c r="BI68" i="70"/>
  <c r="BF58" i="70"/>
  <c r="Q75" i="70"/>
  <c r="Q44" i="70" s="1"/>
  <c r="AT44" i="70" s="1"/>
  <c r="U83" i="70"/>
  <c r="U52" i="70" s="1"/>
  <c r="AX52" i="70" s="1"/>
  <c r="L85" i="70"/>
  <c r="L54" i="70" s="1"/>
  <c r="AO54" i="70" s="1"/>
  <c r="T90" i="70"/>
  <c r="T59" i="70" s="1"/>
  <c r="U91" i="70"/>
  <c r="U60" i="70" s="1"/>
  <c r="AX60" i="70" s="1"/>
  <c r="AQ71" i="70"/>
  <c r="AT70" i="70"/>
  <c r="AW69" i="70"/>
  <c r="AZ68" i="70"/>
  <c r="BC67" i="70"/>
  <c r="BF66" i="70"/>
  <c r="BI65" i="70"/>
  <c r="BL64" i="70"/>
  <c r="BI63" i="70"/>
  <c r="AQ63" i="70"/>
  <c r="AT60" i="70"/>
  <c r="BC58" i="70"/>
  <c r="AQ58" i="70"/>
  <c r="AQ54" i="70"/>
  <c r="AT52" i="70"/>
  <c r="AT49" i="70"/>
  <c r="AO47" i="70"/>
  <c r="AY54" i="70"/>
  <c r="P75" i="70"/>
  <c r="P44" i="70" s="1"/>
  <c r="AS44" i="70" s="1"/>
  <c r="W82" i="70"/>
  <c r="W51" i="70" s="1"/>
  <c r="AZ51" i="70" s="1"/>
  <c r="P84" i="70"/>
  <c r="P53" i="70" s="1"/>
  <c r="AS53" i="70" s="1"/>
  <c r="AC89" i="70"/>
  <c r="AC58" i="70" s="1"/>
  <c r="AE90" i="70"/>
  <c r="AE59" i="70" s="1"/>
  <c r="BH59" i="70" s="1"/>
  <c r="AC94" i="70"/>
  <c r="AC63" i="70" s="1"/>
  <c r="W96" i="70"/>
  <c r="W65" i="70" s="1"/>
  <c r="AZ65" i="70" s="1"/>
  <c r="Q102" i="70"/>
  <c r="Q71" i="70" s="1"/>
  <c r="AT71" i="70" s="1"/>
  <c r="AW52" i="70"/>
  <c r="O79" i="70"/>
  <c r="O48" i="70" s="1"/>
  <c r="AR48" i="70" s="1"/>
  <c r="O80" i="70"/>
  <c r="O49" i="70" s="1"/>
  <c r="AR49" i="70" s="1"/>
  <c r="K87" i="70"/>
  <c r="K56" i="70" s="1"/>
  <c r="AN56" i="70" s="1"/>
  <c r="AA88" i="70"/>
  <c r="AA57" i="70" s="1"/>
  <c r="BD57" i="70" s="1"/>
  <c r="U92" i="70"/>
  <c r="U61" i="70" s="1"/>
  <c r="AX61" i="70" s="1"/>
  <c r="L80" i="70"/>
  <c r="L49" i="70" s="1"/>
  <c r="W81" i="70"/>
  <c r="W50" i="70" s="1"/>
  <c r="AZ50" i="70" s="1"/>
  <c r="N84" i="70"/>
  <c r="N53" i="70" s="1"/>
  <c r="AQ53" i="70" s="1"/>
  <c r="Z84" i="70"/>
  <c r="Z53" i="70" s="1"/>
  <c r="BC53" i="70" s="1"/>
  <c r="U85" i="70"/>
  <c r="U54" i="70" s="1"/>
  <c r="AX54" i="70" s="1"/>
  <c r="AA86" i="70"/>
  <c r="AA55" i="70" s="1"/>
  <c r="BD55" i="70" s="1"/>
  <c r="O89" i="70"/>
  <c r="O58" i="70" s="1"/>
  <c r="AR58" i="70" s="1"/>
  <c r="AA89" i="70"/>
  <c r="AA58" i="70" s="1"/>
  <c r="BD58" i="70" s="1"/>
  <c r="BI69" i="70"/>
  <c r="AT66" i="70"/>
  <c r="AZ64" i="70"/>
  <c r="AV52" i="70"/>
  <c r="AR50" i="70"/>
  <c r="BJ59" i="70"/>
  <c r="AN59" i="70"/>
  <c r="AT58" i="70"/>
  <c r="AW51" i="70"/>
  <c r="W92" i="70"/>
  <c r="W61" i="70" s="1"/>
  <c r="AH93" i="70"/>
  <c r="AH62" i="70" s="1"/>
  <c r="BK62" i="70" s="1"/>
  <c r="AI97" i="70"/>
  <c r="AI66" i="70" s="1"/>
  <c r="BL66" i="70" s="1"/>
  <c r="BF71" i="70"/>
  <c r="AW70" i="70"/>
  <c r="AZ69" i="70"/>
  <c r="BC68" i="70"/>
  <c r="AQ68" i="70"/>
  <c r="BF67" i="70"/>
  <c r="AT67" i="70"/>
  <c r="BI66" i="70"/>
  <c r="BC64" i="70"/>
  <c r="BF63" i="70"/>
  <c r="BH62" i="70"/>
  <c r="AV62" i="70"/>
  <c r="AP59" i="70"/>
  <c r="AT54" i="70"/>
  <c r="AQ48" i="70"/>
  <c r="BK65" i="70"/>
  <c r="AY65" i="70"/>
  <c r="BN64" i="70"/>
  <c r="BB64" i="70"/>
  <c r="AP64" i="70"/>
  <c r="BE63" i="70"/>
  <c r="AS63" i="70"/>
  <c r="BG62" i="70"/>
  <c r="BH61" i="70"/>
  <c r="BB61" i="70"/>
  <c r="AV61" i="70"/>
  <c r="BE58" i="70"/>
  <c r="AS58" i="70"/>
  <c r="BB57" i="70"/>
  <c r="AP57" i="70"/>
  <c r="BE55" i="70"/>
  <c r="AS55" i="70"/>
  <c r="AW46" i="70"/>
  <c r="BD62" i="70"/>
  <c r="AV60" i="70"/>
  <c r="AP46" i="70"/>
  <c r="U88" i="70"/>
  <c r="U57" i="70" s="1"/>
  <c r="AX57" i="70" s="1"/>
  <c r="L89" i="70"/>
  <c r="L58" i="70" s="1"/>
  <c r="AO58" i="70" s="1"/>
  <c r="X89" i="70"/>
  <c r="X58" i="70" s="1"/>
  <c r="BA58" i="70" s="1"/>
  <c r="N90" i="70"/>
  <c r="N59" i="70" s="1"/>
  <c r="Z90" i="70"/>
  <c r="Z59" i="70" s="1"/>
  <c r="BC59" i="70" s="1"/>
  <c r="O91" i="70"/>
  <c r="O60" i="70" s="1"/>
  <c r="AR60" i="70" s="1"/>
  <c r="AA91" i="70"/>
  <c r="AA60" i="70" s="1"/>
  <c r="BD60" i="70" s="1"/>
  <c r="O92" i="70"/>
  <c r="O61" i="70" s="1"/>
  <c r="AR61" i="70" s="1"/>
  <c r="AA92" i="70"/>
  <c r="AA61" i="70" s="1"/>
  <c r="BD61" i="70" s="1"/>
  <c r="N93" i="70"/>
  <c r="N62" i="70" s="1"/>
  <c r="AQ62" i="70" s="1"/>
  <c r="L94" i="70"/>
  <c r="L63" i="70" s="1"/>
  <c r="AO63" i="70" s="1"/>
  <c r="X94" i="70"/>
  <c r="X63" i="70" s="1"/>
  <c r="BA63" i="70" s="1"/>
  <c r="AJ94" i="70"/>
  <c r="AJ63" i="70" s="1"/>
  <c r="BM63" i="70" s="1"/>
  <c r="U95" i="70"/>
  <c r="U64" i="70" s="1"/>
  <c r="AX64" i="70" s="1"/>
  <c r="AG95" i="70"/>
  <c r="AG64" i="70" s="1"/>
  <c r="BJ64" i="70" s="1"/>
  <c r="R96" i="70"/>
  <c r="R65" i="70" s="1"/>
  <c r="AU65" i="70" s="1"/>
  <c r="AD96" i="70"/>
  <c r="AD65" i="70" s="1"/>
  <c r="L98" i="70"/>
  <c r="L67" i="70" s="1"/>
  <c r="X98" i="70"/>
  <c r="X67" i="70" s="1"/>
  <c r="BA67" i="70" s="1"/>
  <c r="AJ98" i="70"/>
  <c r="AJ67" i="70" s="1"/>
  <c r="BM67" i="70" s="1"/>
  <c r="AG99" i="70"/>
  <c r="AG68" i="70" s="1"/>
  <c r="BJ68" i="70" s="1"/>
  <c r="R100" i="70"/>
  <c r="R69" i="70" s="1"/>
  <c r="AU69" i="70" s="1"/>
  <c r="AA101" i="70"/>
  <c r="AA70" i="70" s="1"/>
  <c r="BD70" i="70" s="1"/>
  <c r="L102" i="70"/>
  <c r="L71" i="70" s="1"/>
  <c r="AO71" i="70" s="1"/>
  <c r="X102" i="70"/>
  <c r="X71" i="70" s="1"/>
  <c r="BA71" i="70" s="1"/>
  <c r="AJ102" i="70"/>
  <c r="AJ71" i="70" s="1"/>
  <c r="BM71" i="70" s="1"/>
  <c r="BD71" i="70"/>
  <c r="BG70" i="70"/>
  <c r="AU70" i="70"/>
  <c r="BJ69" i="70"/>
  <c r="AX69" i="70"/>
  <c r="BA68" i="70"/>
  <c r="BD67" i="70"/>
  <c r="BG66" i="70"/>
  <c r="AU66" i="70"/>
  <c r="AX65" i="70"/>
  <c r="BM64" i="70"/>
  <c r="AX58" i="70"/>
  <c r="BA57" i="70"/>
  <c r="AO57" i="70"/>
  <c r="AU52" i="70"/>
  <c r="AP44" i="70"/>
  <c r="BN66" i="70"/>
  <c r="AY63" i="70"/>
  <c r="AS62" i="70"/>
  <c r="AZ61" i="70"/>
  <c r="AS59" i="70"/>
  <c r="AZ57" i="70"/>
  <c r="BC55" i="70"/>
  <c r="AQ55" i="70"/>
  <c r="BB53" i="70"/>
  <c r="AV53" i="70"/>
  <c r="AP53" i="70"/>
  <c r="AY50" i="70"/>
  <c r="AN48" i="70"/>
  <c r="AO44" i="70"/>
  <c r="BN71" i="70"/>
  <c r="BH71" i="70"/>
  <c r="AP71" i="70"/>
  <c r="AY70" i="70"/>
  <c r="BN69" i="70"/>
  <c r="BH69" i="70"/>
  <c r="BB69" i="70"/>
  <c r="AP69" i="70"/>
  <c r="BK68" i="70"/>
  <c r="BE68" i="70"/>
  <c r="BN65" i="70"/>
  <c r="BB65" i="70"/>
  <c r="AP65" i="70"/>
  <c r="BE64" i="70"/>
  <c r="AS64" i="70"/>
  <c r="BJ62" i="70"/>
  <c r="BK61" i="70"/>
  <c r="AY60" i="70"/>
  <c r="AY57" i="70"/>
  <c r="AO56" i="70"/>
  <c r="AX50" i="70"/>
  <c r="AX47" i="70"/>
  <c r="BI64" i="70"/>
  <c r="BL63" i="70"/>
  <c r="BG60" i="70"/>
  <c r="BD53" i="70"/>
  <c r="AO50" i="70"/>
  <c r="AU44" i="70"/>
  <c r="AU59" i="70"/>
  <c r="N91" i="70"/>
  <c r="N60" i="70" s="1"/>
  <c r="AQ60" i="70" s="1"/>
  <c r="Z92" i="70"/>
  <c r="Z61" i="70" s="1"/>
  <c r="BC61" i="70" s="1"/>
  <c r="AF95" i="70"/>
  <c r="AF64" i="70" s="1"/>
  <c r="Q96" i="70"/>
  <c r="Q65" i="70" s="1"/>
  <c r="AT65" i="70" s="1"/>
  <c r="AC96" i="70"/>
  <c r="AC65" i="70" s="1"/>
  <c r="BF65" i="70" s="1"/>
  <c r="N97" i="70"/>
  <c r="N66" i="70" s="1"/>
  <c r="Z97" i="70"/>
  <c r="Z66" i="70" s="1"/>
  <c r="BC66" i="70" s="1"/>
  <c r="T99" i="70"/>
  <c r="T68" i="70" s="1"/>
  <c r="AW68" i="70" s="1"/>
  <c r="Q100" i="70"/>
  <c r="Q69" i="70" s="1"/>
  <c r="AT69" i="70" s="1"/>
  <c r="AC100" i="70"/>
  <c r="AC69" i="70" s="1"/>
  <c r="BF69" i="70" s="1"/>
  <c r="N101" i="70"/>
  <c r="N70" i="70" s="1"/>
  <c r="AQ70" i="70" s="1"/>
  <c r="W102" i="70"/>
  <c r="W71" i="70" s="1"/>
  <c r="AZ71" i="70" s="1"/>
  <c r="AI102" i="70"/>
  <c r="AI71" i="70" s="1"/>
  <c r="BL71" i="70" s="1"/>
  <c r="AP43" i="70"/>
  <c r="AD87" i="70"/>
  <c r="AD56" i="70" s="1"/>
  <c r="BG56" i="70" s="1"/>
  <c r="V88" i="70"/>
  <c r="V57" i="70" s="1"/>
  <c r="M89" i="70"/>
  <c r="M58" i="70" s="1"/>
  <c r="AP58" i="70" s="1"/>
  <c r="Y89" i="70"/>
  <c r="Y58" i="70" s="1"/>
  <c r="BB58" i="70" s="1"/>
  <c r="AA90" i="70"/>
  <c r="AA59" i="70" s="1"/>
  <c r="BD59" i="70" s="1"/>
  <c r="P91" i="70"/>
  <c r="P60" i="70" s="1"/>
  <c r="AS60" i="70" s="1"/>
  <c r="AB91" i="70"/>
  <c r="AB60" i="70" s="1"/>
  <c r="BE60" i="70" s="1"/>
  <c r="P92" i="70"/>
  <c r="P61" i="70" s="1"/>
  <c r="AS61" i="70" s="1"/>
  <c r="AB92" i="70"/>
  <c r="AB61" i="70" s="1"/>
  <c r="BE61" i="70" s="1"/>
  <c r="O93" i="70"/>
  <c r="O62" i="70" s="1"/>
  <c r="AR62" i="70" s="1"/>
  <c r="AA93" i="70"/>
  <c r="AA62" i="70" s="1"/>
  <c r="M94" i="70"/>
  <c r="M63" i="70" s="1"/>
  <c r="AP63" i="70" s="1"/>
  <c r="Y94" i="70"/>
  <c r="Y63" i="70" s="1"/>
  <c r="BB63" i="70" s="1"/>
  <c r="AK94" i="70"/>
  <c r="AK63" i="70" s="1"/>
  <c r="BN63" i="70" s="1"/>
  <c r="AH95" i="70"/>
  <c r="AH64" i="70" s="1"/>
  <c r="BK64" i="70" s="1"/>
  <c r="AB97" i="70"/>
  <c r="AB66" i="70" s="1"/>
  <c r="BE66" i="70" s="1"/>
  <c r="Y98" i="70"/>
  <c r="Y67" i="70" s="1"/>
  <c r="BB67" i="70" s="1"/>
  <c r="V99" i="70"/>
  <c r="V68" i="70" s="1"/>
  <c r="AY68" i="70" s="1"/>
  <c r="S100" i="70"/>
  <c r="S69" i="70" s="1"/>
  <c r="AV69" i="70" s="1"/>
  <c r="P101" i="70"/>
  <c r="P70" i="70" s="1"/>
  <c r="AS70" i="70" s="1"/>
  <c r="AB101" i="70"/>
  <c r="AB70" i="70" s="1"/>
  <c r="BE70" i="70" s="1"/>
  <c r="Y102" i="70"/>
  <c r="Y71" i="70" s="1"/>
  <c r="BB71" i="70" s="1"/>
  <c r="AK102" i="70"/>
  <c r="AK71" i="70" s="1"/>
  <c r="H90" i="70"/>
  <c r="O74" i="70"/>
  <c r="O43" i="70" s="1"/>
  <c r="AR43" i="70" s="1"/>
  <c r="O77" i="70"/>
  <c r="O46" i="70" s="1"/>
  <c r="AR46" i="70" s="1"/>
  <c r="Q78" i="70"/>
  <c r="Q47" i="70" s="1"/>
  <c r="AT47" i="70" s="1"/>
  <c r="R79" i="70"/>
  <c r="R48" i="70" s="1"/>
  <c r="AU48" i="70" s="1"/>
  <c r="L83" i="70"/>
  <c r="L52" i="70" s="1"/>
  <c r="AO52" i="70" s="1"/>
  <c r="X83" i="70"/>
  <c r="X52" i="70" s="1"/>
  <c r="BA52" i="70" s="1"/>
  <c r="AA85" i="70"/>
  <c r="AA54" i="70" s="1"/>
  <c r="BD54" i="70" s="1"/>
  <c r="U86" i="70"/>
  <c r="U55" i="70" s="1"/>
  <c r="AX55" i="70" s="1"/>
  <c r="N87" i="70"/>
  <c r="N56" i="70" s="1"/>
  <c r="AQ56" i="70" s="1"/>
  <c r="U89" i="70"/>
  <c r="U58" i="70" s="1"/>
  <c r="K90" i="70"/>
  <c r="K59" i="70" s="1"/>
  <c r="X91" i="70"/>
  <c r="X60" i="70" s="1"/>
  <c r="BA60" i="70" s="1"/>
  <c r="L92" i="70"/>
  <c r="L61" i="70" s="1"/>
  <c r="K93" i="70"/>
  <c r="K62" i="70" s="1"/>
  <c r="AN62" i="70" s="1"/>
  <c r="AI93" i="70"/>
  <c r="AI62" i="70" s="1"/>
  <c r="BL62" i="70" s="1"/>
  <c r="U94" i="70"/>
  <c r="U63" i="70" s="1"/>
  <c r="AX63" i="70" s="1"/>
  <c r="AG94" i="70"/>
  <c r="AG63" i="70" s="1"/>
  <c r="BJ63" i="70" s="1"/>
  <c r="R95" i="70"/>
  <c r="R64" i="70" s="1"/>
  <c r="AD95" i="70"/>
  <c r="AD64" i="70" s="1"/>
  <c r="BG64" i="70" s="1"/>
  <c r="O96" i="70"/>
  <c r="O65" i="70" s="1"/>
  <c r="AA96" i="70"/>
  <c r="AA65" i="70" s="1"/>
  <c r="BD65" i="70" s="1"/>
  <c r="L97" i="70"/>
  <c r="L66" i="70" s="1"/>
  <c r="AO66" i="70" s="1"/>
  <c r="X97" i="70"/>
  <c r="X66" i="70" s="1"/>
  <c r="BA66" i="70" s="1"/>
  <c r="AJ97" i="70"/>
  <c r="AJ66" i="70" s="1"/>
  <c r="BM66" i="70" s="1"/>
  <c r="U98" i="70"/>
  <c r="U67" i="70" s="1"/>
  <c r="AX67" i="70" s="1"/>
  <c r="AG98" i="70"/>
  <c r="AG67" i="70" s="1"/>
  <c r="BJ67" i="70" s="1"/>
  <c r="R99" i="70"/>
  <c r="R68" i="70" s="1"/>
  <c r="AU68" i="70" s="1"/>
  <c r="AD99" i="70"/>
  <c r="AD68" i="70" s="1"/>
  <c r="BG68" i="70" s="1"/>
  <c r="L101" i="70"/>
  <c r="L70" i="70" s="1"/>
  <c r="X101" i="70"/>
  <c r="X70" i="70" s="1"/>
  <c r="BA70" i="70" s="1"/>
  <c r="U102" i="70"/>
  <c r="U71" i="70" s="1"/>
  <c r="AX71" i="70" s="1"/>
  <c r="AG102" i="70"/>
  <c r="AG71" i="70" s="1"/>
  <c r="BJ71" i="70" s="1"/>
  <c r="P74" i="70"/>
  <c r="P43" i="70" s="1"/>
  <c r="AS43" i="70" s="1"/>
  <c r="M76" i="70"/>
  <c r="M45" i="70" s="1"/>
  <c r="AP45" i="70" s="1"/>
  <c r="R78" i="70"/>
  <c r="R47" i="70" s="1"/>
  <c r="AU47" i="70" s="1"/>
  <c r="R81" i="70"/>
  <c r="R50" i="70" s="1"/>
  <c r="AU50" i="70" s="1"/>
  <c r="P82" i="70"/>
  <c r="P51" i="70" s="1"/>
  <c r="AS51" i="70" s="1"/>
  <c r="M83" i="70"/>
  <c r="M52" i="70" s="1"/>
  <c r="AP52" i="70" s="1"/>
  <c r="AB85" i="70"/>
  <c r="AB54" i="70" s="1"/>
  <c r="V86" i="70"/>
  <c r="V55" i="70" s="1"/>
  <c r="AY55" i="70" s="1"/>
  <c r="V89" i="70"/>
  <c r="V58" i="70" s="1"/>
  <c r="AY58" i="70" s="1"/>
  <c r="L90" i="70"/>
  <c r="L59" i="70" s="1"/>
  <c r="X90" i="70"/>
  <c r="X59" i="70" s="1"/>
  <c r="BA59" i="70" s="1"/>
  <c r="M91" i="70"/>
  <c r="M60" i="70" s="1"/>
  <c r="AP60" i="70" s="1"/>
  <c r="Y91" i="70"/>
  <c r="Y60" i="70" s="1"/>
  <c r="BB60" i="70" s="1"/>
  <c r="M92" i="70"/>
  <c r="M61" i="70" s="1"/>
  <c r="AP61" i="70" s="1"/>
  <c r="L93" i="70"/>
  <c r="L62" i="70" s="1"/>
  <c r="AO62" i="70" s="1"/>
  <c r="X93" i="70"/>
  <c r="X62" i="70" s="1"/>
  <c r="BA62" i="70" s="1"/>
  <c r="AJ93" i="70"/>
  <c r="AJ62" i="70" s="1"/>
  <c r="BM62" i="70" s="1"/>
  <c r="V94" i="70"/>
  <c r="V63" i="70" s="1"/>
  <c r="AH94" i="70"/>
  <c r="AH63" i="70" s="1"/>
  <c r="BK63" i="70" s="1"/>
  <c r="S95" i="70"/>
  <c r="S64" i="70" s="1"/>
  <c r="AE95" i="70"/>
  <c r="AE64" i="70" s="1"/>
  <c r="BH64" i="70" s="1"/>
  <c r="P96" i="70"/>
  <c r="P65" i="70" s="1"/>
  <c r="AS65" i="70" s="1"/>
  <c r="AB96" i="70"/>
  <c r="AB65" i="70" s="1"/>
  <c r="BE65" i="70" s="1"/>
  <c r="M97" i="70"/>
  <c r="M66" i="70" s="1"/>
  <c r="AP66" i="70" s="1"/>
  <c r="Y97" i="70"/>
  <c r="Y66" i="70" s="1"/>
  <c r="BB66" i="70" s="1"/>
  <c r="V98" i="70"/>
  <c r="V67" i="70" s="1"/>
  <c r="AY67" i="70" s="1"/>
  <c r="AH98" i="70"/>
  <c r="AH67" i="70" s="1"/>
  <c r="BK67" i="70" s="1"/>
  <c r="Y101" i="70"/>
  <c r="Y70" i="70" s="1"/>
  <c r="BB70" i="70" s="1"/>
  <c r="AK101" i="70"/>
  <c r="AK70" i="70" s="1"/>
  <c r="BN70" i="70" s="1"/>
  <c r="N74" i="70"/>
  <c r="N43" i="70" s="1"/>
  <c r="AQ43" i="70" s="1"/>
  <c r="K76" i="70"/>
  <c r="K45" i="70" s="1"/>
  <c r="AN45" i="70" s="1"/>
  <c r="N77" i="70"/>
  <c r="N46" i="70" s="1"/>
  <c r="P78" i="70"/>
  <c r="P47" i="70" s="1"/>
  <c r="AS47" i="70" s="1"/>
  <c r="Q79" i="70"/>
  <c r="Q48" i="70" s="1"/>
  <c r="AT48" i="70" s="1"/>
  <c r="P81" i="70"/>
  <c r="P50" i="70" s="1"/>
  <c r="AS50" i="70" s="1"/>
  <c r="N82" i="70"/>
  <c r="N51" i="70" s="1"/>
  <c r="AQ51" i="70" s="1"/>
  <c r="K83" i="70"/>
  <c r="K52" i="70" s="1"/>
  <c r="AN52" i="70" s="1"/>
  <c r="W83" i="70"/>
  <c r="W52" i="70" s="1"/>
  <c r="AZ52" i="70" s="1"/>
  <c r="S84" i="70"/>
  <c r="S53" i="70" s="1"/>
  <c r="Z85" i="70"/>
  <c r="Z54" i="70" s="1"/>
  <c r="BC54" i="70" s="1"/>
  <c r="T86" i="70"/>
  <c r="T55" i="70" s="1"/>
  <c r="AW55" i="70" s="1"/>
  <c r="M87" i="70"/>
  <c r="M56" i="70" s="1"/>
  <c r="AP56" i="70" s="1"/>
  <c r="Y87" i="70"/>
  <c r="Y56" i="70" s="1"/>
  <c r="BB56" i="70" s="1"/>
  <c r="Q88" i="70"/>
  <c r="Q57" i="70" s="1"/>
  <c r="AT57" i="70" s="1"/>
  <c r="AC88" i="70"/>
  <c r="AC57" i="70" s="1"/>
  <c r="BF57" i="70" s="1"/>
  <c r="T89" i="70"/>
  <c r="T58" i="70" s="1"/>
  <c r="AF89" i="70"/>
  <c r="AF58" i="70" s="1"/>
  <c r="BI58" i="70" s="1"/>
  <c r="V90" i="70"/>
  <c r="V59" i="70" s="1"/>
  <c r="K91" i="70"/>
  <c r="K60" i="70" s="1"/>
  <c r="AN60" i="70" s="1"/>
  <c r="W91" i="70"/>
  <c r="W60" i="70" s="1"/>
  <c r="K92" i="70"/>
  <c r="K61" i="70" s="1"/>
  <c r="AI92" i="70"/>
  <c r="AI61" i="70" s="1"/>
  <c r="BL61" i="70" s="1"/>
  <c r="V93" i="70"/>
  <c r="V62" i="70" s="1"/>
  <c r="AY62" i="70" s="1"/>
  <c r="T94" i="70"/>
  <c r="T63" i="70" s="1"/>
  <c r="AW63" i="70" s="1"/>
  <c r="Q95" i="70"/>
  <c r="Q64" i="70" s="1"/>
  <c r="AT64" i="70" s="1"/>
  <c r="AC95" i="70"/>
  <c r="AC64" i="70" s="1"/>
  <c r="BF64" i="70" s="1"/>
  <c r="N96" i="70"/>
  <c r="N65" i="70" s="1"/>
  <c r="AQ65" i="70" s="1"/>
  <c r="W97" i="70"/>
  <c r="W66" i="70" s="1"/>
  <c r="AZ66" i="70" s="1"/>
  <c r="AF98" i="70"/>
  <c r="AF67" i="70" s="1"/>
  <c r="BI67" i="70" s="1"/>
  <c r="Q99" i="70"/>
  <c r="Q68" i="70" s="1"/>
  <c r="AT68" i="70" s="1"/>
  <c r="Z100" i="70"/>
  <c r="Z69" i="70" s="1"/>
  <c r="BC69" i="70" s="1"/>
  <c r="K101" i="70"/>
  <c r="K70" i="70" s="1"/>
  <c r="W101" i="70"/>
  <c r="W70" i="70" s="1"/>
  <c r="AZ70" i="70" s="1"/>
  <c r="AI101" i="70"/>
  <c r="AI70" i="70" s="1"/>
  <c r="BL70" i="70" s="1"/>
  <c r="T102" i="70"/>
  <c r="T71" i="70" s="1"/>
  <c r="AW71" i="70" s="1"/>
  <c r="AF102" i="70"/>
  <c r="AF71" i="70" s="1"/>
  <c r="BI71" i="70" s="1"/>
  <c r="Q77" i="70"/>
  <c r="Q46" i="70" s="1"/>
  <c r="AT46" i="70" s="1"/>
  <c r="S81" i="70"/>
  <c r="S50" i="70" s="1"/>
  <c r="AV50" i="70" s="1"/>
  <c r="N83" i="70"/>
  <c r="N52" i="70" s="1"/>
  <c r="AQ52" i="70" s="1"/>
  <c r="V84" i="70"/>
  <c r="V53" i="70" s="1"/>
  <c r="AY53" i="70" s="1"/>
  <c r="P87" i="70"/>
  <c r="P56" i="70" s="1"/>
  <c r="AS56" i="70" s="1"/>
  <c r="AB87" i="70"/>
  <c r="AB56" i="70" s="1"/>
  <c r="BE56" i="70" s="1"/>
  <c r="K89" i="70"/>
  <c r="K58" i="70" s="1"/>
  <c r="W89" i="70"/>
  <c r="W58" i="70" s="1"/>
  <c r="AZ58" i="70" s="1"/>
  <c r="Y90" i="70"/>
  <c r="Y59" i="70" s="1"/>
  <c r="BB59" i="70" s="1"/>
  <c r="Z91" i="70"/>
  <c r="Z60" i="70" s="1"/>
  <c r="BC60" i="70" s="1"/>
  <c r="N92" i="70"/>
  <c r="N61" i="70" s="1"/>
  <c r="AQ61" i="70" s="1"/>
  <c r="M93" i="70"/>
  <c r="M62" i="70" s="1"/>
  <c r="AP62" i="70" s="1"/>
  <c r="Y93" i="70"/>
  <c r="Y62" i="70" s="1"/>
  <c r="BB62" i="70" s="1"/>
  <c r="K94" i="70"/>
  <c r="K63" i="70" s="1"/>
  <c r="AN63" i="70" s="1"/>
  <c r="T95" i="70"/>
  <c r="T64" i="70" s="1"/>
  <c r="AW64" i="70" s="1"/>
  <c r="R91" i="70"/>
  <c r="R60" i="70" s="1"/>
  <c r="AU60" i="70" s="1"/>
  <c r="R92" i="70"/>
  <c r="R61" i="70" s="1"/>
  <c r="AU61" i="70" s="1"/>
  <c r="AD92" i="70"/>
  <c r="AD61" i="70" s="1"/>
  <c r="BG61" i="70" s="1"/>
  <c r="AC93" i="70"/>
  <c r="AC62" i="70" s="1"/>
  <c r="L95" i="70"/>
  <c r="L64" i="70" s="1"/>
  <c r="AG96" i="70"/>
  <c r="AG65" i="70" s="1"/>
  <c r="BJ65" i="70" s="1"/>
  <c r="O98" i="70"/>
  <c r="O67" i="70" s="1"/>
  <c r="AJ99" i="70"/>
  <c r="AJ68" i="70" s="1"/>
  <c r="BM68" i="70" s="1"/>
  <c r="O82" i="70"/>
  <c r="O51" i="70" s="1"/>
  <c r="AR51" i="70" s="1"/>
  <c r="R88" i="70"/>
  <c r="R57" i="70" s="1"/>
  <c r="AU57" i="70" s="1"/>
  <c r="W90" i="70"/>
  <c r="W59" i="70" s="1"/>
  <c r="AZ59" i="70" s="1"/>
  <c r="U84" i="70"/>
  <c r="U53" i="70" s="1"/>
  <c r="AX53" i="70" s="1"/>
  <c r="AH102" i="70"/>
  <c r="AH71" i="70" s="1"/>
  <c r="BK71" i="70" s="1"/>
  <c r="L76" i="70"/>
  <c r="L45" i="70" s="1"/>
  <c r="AO45" i="70" s="1"/>
  <c r="T84" i="70"/>
  <c r="T53" i="70" s="1"/>
  <c r="AW53" i="70" s="1"/>
  <c r="O100" i="70"/>
  <c r="O69" i="70" s="1"/>
  <c r="AA100" i="70"/>
  <c r="AA69" i="70" s="1"/>
  <c r="BD69" i="70" s="1"/>
  <c r="S80" i="70"/>
  <c r="S49" i="70" s="1"/>
  <c r="AV49" i="70" s="1"/>
  <c r="AE88" i="70"/>
  <c r="AE57" i="70" s="1"/>
  <c r="P100" i="70"/>
  <c r="P69" i="70" s="1"/>
  <c r="AS69" i="70" s="1"/>
  <c r="AB100" i="70"/>
  <c r="AB69" i="70" s="1"/>
  <c r="BE69" i="70" s="1"/>
  <c r="T78" i="70"/>
  <c r="T47" i="70" s="1"/>
  <c r="AW47" i="70" s="1"/>
  <c r="R85" i="70"/>
  <c r="R54" i="70" s="1"/>
  <c r="O97" i="70"/>
  <c r="O66" i="70" s="1"/>
  <c r="U99" i="70"/>
  <c r="U68" i="70" s="1"/>
  <c r="R80" i="70"/>
  <c r="R49" i="70" s="1"/>
  <c r="Q81" i="70"/>
  <c r="Q50" i="70" s="1"/>
  <c r="AT50" i="70" s="1"/>
  <c r="AD88" i="70"/>
  <c r="AD57" i="70" s="1"/>
  <c r="BG57" i="70" s="1"/>
  <c r="P77" i="70"/>
  <c r="P46" i="70" s="1"/>
  <c r="AS46" i="70" s="1"/>
  <c r="P85" i="70"/>
  <c r="P54" i="70" s="1"/>
  <c r="Z87" i="70"/>
  <c r="Z56" i="70" s="1"/>
  <c r="BC56" i="70" s="1"/>
  <c r="S88" i="70"/>
  <c r="S57" i="70" s="1"/>
  <c r="AV57" i="70" s="1"/>
  <c r="V102" i="70"/>
  <c r="V71" i="70" s="1"/>
  <c r="AY71" i="70" s="1"/>
  <c r="T81" i="70"/>
  <c r="T50" i="70" s="1"/>
  <c r="AW50" i="70" s="1"/>
  <c r="W84" i="70"/>
  <c r="W53" i="70" s="1"/>
  <c r="AA97" i="70"/>
  <c r="AA66" i="70" s="1"/>
  <c r="BD66" i="70" s="1"/>
  <c r="O85" i="70"/>
  <c r="O54" i="70" s="1"/>
  <c r="AR54" i="70" s="1"/>
  <c r="AJ101" i="70"/>
  <c r="AJ70" i="70" s="1"/>
  <c r="BM70" i="70" s="1"/>
  <c r="O87" i="70"/>
  <c r="O56" i="70" s="1"/>
  <c r="AR56" i="70" s="1"/>
  <c r="S99" i="70"/>
  <c r="S68" i="70" s="1"/>
  <c r="M101" i="70"/>
  <c r="M70" i="70" s="1"/>
  <c r="AP70" i="70" s="1"/>
  <c r="O101" i="70"/>
  <c r="O70" i="70" s="1"/>
  <c r="L91" i="70"/>
  <c r="L60" i="70" s="1"/>
  <c r="AO60" i="70" s="1"/>
  <c r="S79" i="70"/>
  <c r="S48" i="70" s="1"/>
  <c r="AV48" i="70" s="1"/>
  <c r="AA87" i="70"/>
  <c r="AA56" i="70" s="1"/>
  <c r="BD56" i="70" s="1"/>
  <c r="AE99" i="70"/>
  <c r="AE68" i="70" s="1"/>
  <c r="BH68" i="70" s="1"/>
  <c r="R82" i="70"/>
  <c r="R51" i="70" s="1"/>
  <c r="AU51" i="70" s="1"/>
  <c r="AD100" i="70"/>
  <c r="AD69" i="70" s="1"/>
  <c r="BG69" i="70" s="1"/>
  <c r="Z96" i="70"/>
  <c r="Z65" i="70" s="1"/>
  <c r="BC65" i="70" s="1"/>
  <c r="T98" i="70"/>
  <c r="T67" i="70" s="1"/>
  <c r="AW67" i="70" s="1"/>
  <c r="AC99" i="70"/>
  <c r="AC68" i="70" s="1"/>
  <c r="BF68" i="70" s="1"/>
  <c r="N100" i="70"/>
  <c r="N69" i="70" s="1"/>
  <c r="AQ69" i="70" s="1"/>
  <c r="Q74" i="70"/>
  <c r="Q43" i="70" s="1"/>
  <c r="N76" i="70"/>
  <c r="N45" i="70" s="1"/>
  <c r="AQ45" i="70" s="1"/>
  <c r="S78" i="70"/>
  <c r="S47" i="70" s="1"/>
  <c r="AV47" i="70" s="1"/>
  <c r="T79" i="70"/>
  <c r="T48" i="70" s="1"/>
  <c r="AW48" i="70" s="1"/>
  <c r="T80" i="70"/>
  <c r="T49" i="70" s="1"/>
  <c r="AW49" i="70" s="1"/>
  <c r="Q82" i="70"/>
  <c r="Q51" i="70" s="1"/>
  <c r="AT51" i="70" s="1"/>
  <c r="Z83" i="70"/>
  <c r="Z52" i="70" s="1"/>
  <c r="BC52" i="70" s="1"/>
  <c r="K86" i="70"/>
  <c r="K55" i="70" s="1"/>
  <c r="AN55" i="70" s="1"/>
  <c r="W86" i="70"/>
  <c r="W55" i="70" s="1"/>
  <c r="T88" i="70"/>
  <c r="T57" i="70" s="1"/>
  <c r="AW57" i="70" s="1"/>
  <c r="K98" i="70"/>
  <c r="K67" i="70" s="1"/>
  <c r="W98" i="70"/>
  <c r="W67" i="70" s="1"/>
  <c r="AZ67" i="70" s="1"/>
  <c r="AI98" i="70"/>
  <c r="AI67" i="70" s="1"/>
  <c r="BL67" i="70" s="1"/>
  <c r="Z101" i="70"/>
  <c r="Z70" i="70" s="1"/>
  <c r="BC70" i="70" s="1"/>
  <c r="K102" i="70"/>
  <c r="K71" i="70" s="1"/>
  <c r="AN71" i="70" s="1"/>
  <c r="Z86" i="70"/>
  <c r="Z55" i="70" s="1"/>
  <c r="AB90" i="70"/>
  <c r="AB59" i="70" s="1"/>
  <c r="BE59" i="70" s="1"/>
  <c r="AC91" i="70"/>
  <c r="AC60" i="70" s="1"/>
  <c r="BF60" i="70" s="1"/>
  <c r="Q92" i="70"/>
  <c r="Q61" i="70" s="1"/>
  <c r="AT61" i="70" s="1"/>
  <c r="AB93" i="70"/>
  <c r="AB62" i="70" s="1"/>
  <c r="L84" i="70"/>
  <c r="L53" i="70" s="1"/>
  <c r="AO53" i="70" s="1"/>
  <c r="X84" i="70"/>
  <c r="X53" i="70" s="1"/>
  <c r="BA53" i="70" s="1"/>
  <c r="V95" i="70"/>
  <c r="V64" i="70" s="1"/>
  <c r="AY64" i="70" s="1"/>
  <c r="S96" i="70"/>
  <c r="S65" i="70" s="1"/>
  <c r="AV65" i="70" s="1"/>
  <c r="AE96" i="70"/>
  <c r="AE65" i="70" s="1"/>
  <c r="BH65" i="70" s="1"/>
  <c r="P97" i="70"/>
  <c r="P66" i="70" s="1"/>
  <c r="AS66" i="70" s="1"/>
  <c r="M98" i="70"/>
  <c r="M67" i="70" s="1"/>
  <c r="AP67" i="70" s="1"/>
  <c r="AK98" i="70"/>
  <c r="AK67" i="70" s="1"/>
  <c r="BN67" i="70" s="1"/>
  <c r="M79" i="70"/>
  <c r="M48" i="70" s="1"/>
  <c r="AP48" i="70" s="1"/>
  <c r="M80" i="70"/>
  <c r="M49" i="70" s="1"/>
  <c r="O84" i="70"/>
  <c r="O53" i="70" s="1"/>
  <c r="P76" i="70"/>
  <c r="P45" i="70" s="1"/>
  <c r="AS45" i="70" s="1"/>
  <c r="S82" i="70"/>
  <c r="S51" i="70" s="1"/>
  <c r="AI100" i="70"/>
  <c r="AI69" i="70" s="1"/>
  <c r="BL69" i="70" s="1"/>
  <c r="N75" i="70"/>
  <c r="N44" i="70" s="1"/>
  <c r="AQ44" i="70" s="1"/>
  <c r="R76" i="70"/>
  <c r="R45" i="70" s="1"/>
  <c r="AU45" i="70" s="1"/>
  <c r="K78" i="70"/>
  <c r="K47" i="70" s="1"/>
  <c r="AN47" i="70" s="1"/>
  <c r="L79" i="70"/>
  <c r="L48" i="70" s="1"/>
  <c r="U82" i="70"/>
  <c r="U51" i="70" s="1"/>
  <c r="AX51" i="70" s="1"/>
  <c r="O86" i="70"/>
  <c r="O55" i="70" s="1"/>
  <c r="AC90" i="70"/>
  <c r="AC59" i="70" s="1"/>
  <c r="BF59" i="70" s="1"/>
  <c r="Q93" i="70"/>
  <c r="Q62" i="70" s="1"/>
  <c r="AT62" i="70" s="1"/>
  <c r="O94" i="70"/>
  <c r="O63" i="70" s="1"/>
  <c r="AA94" i="70"/>
  <c r="AA63" i="70" s="1"/>
  <c r="BD63" i="70" s="1"/>
  <c r="X95" i="70"/>
  <c r="X64" i="70" s="1"/>
  <c r="BA64" i="70" s="1"/>
  <c r="R98" i="70"/>
  <c r="R67" i="70" s="1"/>
  <c r="AU67" i="70" s="1"/>
  <c r="U101" i="70"/>
  <c r="U70" i="70" s="1"/>
  <c r="AX70" i="70" s="1"/>
  <c r="AH97" i="70"/>
  <c r="AH66" i="70" s="1"/>
  <c r="BK66" i="70" s="1"/>
  <c r="AE98" i="70"/>
  <c r="AE67" i="70" s="1"/>
  <c r="BH67" i="70" s="1"/>
  <c r="P99" i="70"/>
  <c r="P68" i="70" s="1"/>
  <c r="AS68" i="70" s="1"/>
  <c r="H183" i="70"/>
  <c r="H116" i="70"/>
  <c r="H345" i="70"/>
  <c r="H121" i="70"/>
  <c r="H298" i="70"/>
  <c r="H18" i="70"/>
  <c r="H296" i="70"/>
  <c r="H425" i="70"/>
  <c r="H76" i="70"/>
  <c r="Q90" i="70"/>
  <c r="Q59" i="70" s="1"/>
  <c r="AT59" i="70" s="1"/>
  <c r="X87" i="70"/>
  <c r="X56" i="70" s="1"/>
  <c r="BA56" i="70" s="1"/>
  <c r="Y83" i="70"/>
  <c r="Y52" i="70" s="1"/>
  <c r="BB52" i="70" s="1"/>
  <c r="K97" i="70"/>
  <c r="K66" i="70" s="1"/>
  <c r="AN66" i="70" s="1"/>
  <c r="Z93" i="70"/>
  <c r="Z62" i="70" s="1"/>
  <c r="BC62" i="70" s="1"/>
  <c r="W94" i="70"/>
  <c r="W63" i="70" s="1"/>
  <c r="AZ63" i="70" s="1"/>
  <c r="AB88" i="70"/>
  <c r="AB57" i="70" s="1"/>
  <c r="BE57" i="70" s="1"/>
  <c r="S89" i="70"/>
  <c r="S58" i="70" s="1"/>
  <c r="AV58" i="70" s="1"/>
  <c r="H10" i="70" l="1"/>
  <c r="AX56" i="70"/>
  <c r="H105" i="70"/>
  <c r="H149" i="70"/>
  <c r="H66" i="70"/>
  <c r="AQ49" i="70"/>
  <c r="H138" i="70"/>
  <c r="AN54" i="70"/>
  <c r="H275" i="70"/>
  <c r="H75" i="70"/>
  <c r="H506" i="70"/>
  <c r="H479" i="70"/>
  <c r="AV68" i="70"/>
  <c r="H261" i="70"/>
  <c r="H41" i="70"/>
  <c r="H317" i="70"/>
  <c r="H52" i="70"/>
  <c r="AO48" i="70"/>
  <c r="H73" i="70"/>
  <c r="H17" i="70"/>
  <c r="H502" i="70"/>
  <c r="AR69" i="70"/>
  <c r="H448" i="70"/>
  <c r="AR67" i="70"/>
  <c r="H220" i="70"/>
  <c r="H64" i="70"/>
  <c r="AO49" i="70"/>
  <c r="H62" i="70"/>
  <c r="AY48" i="70"/>
  <c r="H169" i="70"/>
  <c r="BA55" i="70"/>
  <c r="H152" i="70"/>
  <c r="BB54" i="70"/>
  <c r="H556" i="70"/>
  <c r="H186" i="70"/>
  <c r="H187" i="70"/>
  <c r="H164" i="70"/>
  <c r="AV55" i="70"/>
  <c r="H6" i="70"/>
  <c r="H143" i="70"/>
  <c r="AS54" i="70"/>
  <c r="H103" i="70"/>
  <c r="H444" i="70"/>
  <c r="AN67" i="70"/>
  <c r="H241" i="70"/>
  <c r="AQ59" i="70"/>
  <c r="H337" i="70"/>
  <c r="H242" i="70"/>
  <c r="H134" i="70"/>
  <c r="H336" i="70"/>
  <c r="H314" i="70"/>
  <c r="H553" i="70"/>
  <c r="H98" i="70"/>
  <c r="AV51" i="70"/>
  <c r="H168" i="70"/>
  <c r="AZ55" i="70"/>
  <c r="H70" i="70"/>
  <c r="AU49" i="70"/>
  <c r="H285" i="70"/>
  <c r="AN61" i="70"/>
  <c r="H157" i="70"/>
  <c r="AO55" i="70"/>
  <c r="H307" i="70"/>
  <c r="BJ61" i="70"/>
  <c r="H475" i="70"/>
  <c r="AR68" i="70"/>
  <c r="H33" i="70"/>
  <c r="AQ46" i="70"/>
  <c r="H13" i="70"/>
  <c r="AN44" i="70"/>
  <c r="H210" i="70"/>
  <c r="BC57" i="70"/>
  <c r="H215" i="70"/>
  <c r="BH57" i="70"/>
  <c r="H311" i="70"/>
  <c r="H286" i="70"/>
  <c r="AO61" i="70"/>
  <c r="H44" i="70"/>
  <c r="AR47" i="70"/>
  <c r="H181" i="70"/>
  <c r="AT56" i="70"/>
  <c r="H552" i="70"/>
  <c r="H21" i="70"/>
  <c r="H391" i="70"/>
  <c r="H150" i="70"/>
  <c r="H327" i="70"/>
  <c r="BE62" i="70"/>
  <c r="H499" i="70"/>
  <c r="H472" i="70"/>
  <c r="H364" i="70"/>
  <c r="AO64" i="70"/>
  <c r="H525" i="70"/>
  <c r="AN70" i="70"/>
  <c r="H273" i="70"/>
  <c r="AZ60" i="70"/>
  <c r="H533" i="70"/>
  <c r="H58" i="70"/>
  <c r="H529" i="70"/>
  <c r="AR70" i="70"/>
  <c r="H211" i="70"/>
  <c r="H200" i="70"/>
  <c r="H367" i="70"/>
  <c r="H281" i="70"/>
  <c r="H344" i="70"/>
  <c r="H151" i="70"/>
  <c r="H340" i="70"/>
  <c r="AR63" i="70"/>
  <c r="H125" i="70"/>
  <c r="AR53" i="70"/>
  <c r="H328" i="70"/>
  <c r="BF62" i="70"/>
  <c r="H216" i="70"/>
  <c r="AN58" i="70"/>
  <c r="H25" i="70"/>
  <c r="AR45" i="70"/>
  <c r="H67" i="70"/>
  <c r="H310" i="70"/>
  <c r="H363" i="70"/>
  <c r="H65" i="70"/>
  <c r="AP49" i="70"/>
  <c r="H133" i="70"/>
  <c r="AZ53" i="70"/>
  <c r="H421" i="70"/>
  <c r="AR66" i="70"/>
  <c r="H249" i="70"/>
  <c r="AY59" i="70"/>
  <c r="H394" i="70"/>
  <c r="AR65" i="70"/>
  <c r="H175" i="70"/>
  <c r="H526" i="70"/>
  <c r="AO70" i="70"/>
  <c r="H452" i="70"/>
  <c r="H371" i="70"/>
  <c r="AV64" i="70"/>
  <c r="H12" i="70"/>
  <c r="AT43" i="70"/>
  <c r="H155" i="70"/>
  <c r="BE54" i="70"/>
  <c r="H445" i="70"/>
  <c r="AO67" i="70"/>
  <c r="H418" i="70"/>
  <c r="H289" i="70"/>
  <c r="H145" i="70"/>
  <c r="AU54" i="70"/>
  <c r="H162" i="70"/>
  <c r="AT55" i="70"/>
  <c r="H31" i="70"/>
  <c r="AO46" i="70"/>
  <c r="H498" i="70"/>
  <c r="AN69" i="70"/>
  <c r="H42" i="70"/>
  <c r="H140" i="70"/>
  <c r="H288" i="70"/>
  <c r="H74" i="70"/>
  <c r="H160" i="70"/>
  <c r="AR55" i="70"/>
  <c r="H225" i="70"/>
  <c r="AW58" i="70"/>
  <c r="H239" i="70"/>
  <c r="AO59" i="70"/>
  <c r="H170" i="70"/>
  <c r="BB55" i="70"/>
  <c r="H390" i="70"/>
  <c r="AN65" i="70"/>
  <c r="H471" i="70"/>
  <c r="H195" i="70"/>
  <c r="H222" i="70"/>
  <c r="H118" i="70"/>
  <c r="H22" i="70"/>
  <c r="H72" i="70"/>
  <c r="H82" i="70"/>
  <c r="W2" i="70"/>
  <c r="H81" i="70"/>
  <c r="H179" i="70"/>
  <c r="H71" i="70"/>
  <c r="H398" i="70"/>
  <c r="V2" i="70"/>
  <c r="H40" i="70"/>
  <c r="H156" i="70"/>
  <c r="H130" i="70"/>
  <c r="H142" i="70"/>
  <c r="H85" i="70"/>
  <c r="H51" i="70"/>
  <c r="H203" i="70"/>
  <c r="H373" i="70"/>
  <c r="H354" i="70"/>
  <c r="H513" i="70"/>
  <c r="H349" i="70"/>
  <c r="H494" i="70"/>
  <c r="R2" i="70"/>
  <c r="H304" i="70"/>
  <c r="H236" i="70"/>
  <c r="H256" i="70"/>
  <c r="H575" i="70"/>
  <c r="H114" i="70"/>
  <c r="H464" i="70"/>
  <c r="H396" i="70"/>
  <c r="H243" i="70"/>
  <c r="H507" i="70"/>
  <c r="H537" i="70"/>
  <c r="H478" i="70"/>
  <c r="H409" i="70"/>
  <c r="H505" i="70"/>
  <c r="H543" i="70"/>
  <c r="H483" i="70"/>
  <c r="H441" i="70"/>
  <c r="H43" i="70"/>
  <c r="H230" i="70"/>
  <c r="H534" i="70"/>
  <c r="H178" i="70"/>
  <c r="H268" i="70"/>
  <c r="H190" i="70"/>
  <c r="H476" i="70"/>
  <c r="H232" i="70"/>
  <c r="H280" i="70"/>
  <c r="H139" i="70"/>
  <c r="H293" i="70"/>
  <c r="H244" i="70"/>
  <c r="H486" i="70"/>
  <c r="H287" i="70"/>
  <c r="H482" i="70"/>
  <c r="H48" i="70"/>
  <c r="H218" i="70"/>
  <c r="H94" i="70"/>
  <c r="H359" i="70"/>
  <c r="H509" i="70"/>
  <c r="H260" i="70"/>
  <c r="H563" i="70"/>
  <c r="H423" i="70"/>
  <c r="H500" i="70"/>
  <c r="H392" i="70"/>
  <c r="H136" i="70"/>
  <c r="H124" i="70"/>
  <c r="H362" i="70"/>
  <c r="H402" i="70"/>
  <c r="H231" i="70"/>
  <c r="H122" i="70"/>
  <c r="H370" i="70"/>
  <c r="H467" i="70"/>
  <c r="H248" i="70"/>
  <c r="H8" i="70"/>
  <c r="H35" i="70"/>
  <c r="H79" i="70"/>
  <c r="H108" i="70"/>
  <c r="H119" i="70"/>
  <c r="H561" i="70"/>
  <c r="H438" i="70"/>
  <c r="H309" i="70"/>
  <c r="H376" i="70"/>
  <c r="H308" i="70"/>
  <c r="H358" i="70"/>
  <c r="H214" i="70"/>
  <c r="H302" i="70"/>
  <c r="H305" i="70"/>
  <c r="H120" i="70"/>
  <c r="H457" i="70"/>
  <c r="H480" i="70"/>
  <c r="H284" i="70"/>
  <c r="H100" i="70"/>
  <c r="H245" i="70"/>
  <c r="H198" i="70"/>
  <c r="H485" i="70"/>
  <c r="H322" i="70"/>
  <c r="H465" i="70"/>
  <c r="H352" i="70"/>
  <c r="H254" i="70"/>
  <c r="H87" i="70"/>
  <c r="H91" i="70"/>
  <c r="H329" i="70"/>
  <c r="H301" i="70"/>
  <c r="H384" i="70"/>
  <c r="H536" i="70"/>
  <c r="H443" i="70"/>
  <c r="H474" i="70"/>
  <c r="H331" i="70"/>
  <c r="H30" i="70"/>
  <c r="H266" i="70"/>
  <c r="H36" i="70"/>
  <c r="H77" i="70"/>
  <c r="H165" i="70"/>
  <c r="H413" i="70"/>
  <c r="H432" i="70"/>
  <c r="H127" i="70"/>
  <c r="H176" i="70"/>
  <c r="H172" i="70"/>
  <c r="H557" i="70"/>
  <c r="H173" i="70"/>
  <c r="H141" i="70"/>
  <c r="H325" i="70"/>
  <c r="H569" i="70"/>
  <c r="H454" i="70"/>
  <c r="H253" i="70"/>
  <c r="H221" i="70"/>
  <c r="H347" i="70"/>
  <c r="H519" i="70"/>
  <c r="H528" i="70"/>
  <c r="H355" i="70"/>
  <c r="H37" i="70"/>
  <c r="H377" i="70"/>
  <c r="H99" i="70"/>
  <c r="H389" i="70"/>
  <c r="H436" i="70"/>
  <c r="H207" i="70"/>
  <c r="H397" i="70"/>
  <c r="H246" i="70"/>
  <c r="H192" i="70"/>
  <c r="H88" i="70"/>
  <c r="H14" i="70"/>
  <c r="H385" i="70"/>
  <c r="H357" i="70"/>
  <c r="H565" i="70"/>
  <c r="H503" i="70"/>
  <c r="H257" i="70"/>
  <c r="H369" i="70"/>
  <c r="H27" i="70"/>
  <c r="H414" i="70"/>
  <c r="H194" i="70"/>
  <c r="H504" i="70"/>
  <c r="H259" i="70"/>
  <c r="H555" i="70"/>
  <c r="H564" i="70"/>
  <c r="H270" i="70"/>
  <c r="H419" i="70"/>
  <c r="X2" i="70"/>
  <c r="H306" i="70"/>
  <c r="H406" i="70"/>
  <c r="H492" i="70"/>
  <c r="H562" i="70"/>
  <c r="H380" i="70"/>
  <c r="H547" i="70"/>
  <c r="H342" i="70"/>
  <c r="H39" i="70"/>
  <c r="H551" i="70"/>
  <c r="H208" i="70"/>
  <c r="H68" i="70"/>
  <c r="H554" i="70"/>
  <c r="H313" i="70"/>
  <c r="H383" i="70"/>
  <c r="H404" i="70"/>
  <c r="H299" i="70"/>
  <c r="H29" i="70"/>
  <c r="H86" i="70"/>
  <c r="H92" i="70"/>
  <c r="H348" i="70"/>
  <c r="H416" i="70"/>
  <c r="H386" i="70"/>
  <c r="H517" i="70"/>
  <c r="H59" i="70"/>
  <c r="H113" i="70"/>
  <c r="H481" i="70"/>
  <c r="H403" i="70"/>
  <c r="H351" i="70"/>
  <c r="H488" i="70"/>
  <c r="H300" i="70"/>
  <c r="H399" i="70"/>
  <c r="H53" i="70"/>
  <c r="H184" i="70"/>
  <c r="H570" i="70"/>
  <c r="H159" i="70"/>
  <c r="H96" i="70"/>
  <c r="H112" i="70"/>
  <c r="H428" i="70"/>
  <c r="H510" i="70"/>
  <c r="H277" i="70"/>
  <c r="H252" i="70"/>
  <c r="H350" i="70"/>
  <c r="H446" i="70"/>
  <c r="H490" i="70"/>
  <c r="H11" i="70"/>
  <c r="H107" i="70"/>
  <c r="H473" i="70"/>
  <c r="H356" i="70"/>
  <c r="H135" i="70"/>
  <c r="H335" i="70"/>
  <c r="H516" i="70"/>
  <c r="H527" i="70"/>
  <c r="H84" i="70"/>
  <c r="H508" i="70"/>
  <c r="H279" i="70"/>
  <c r="H323" i="70"/>
  <c r="H240" i="70"/>
  <c r="H450" i="70"/>
  <c r="H577" i="70"/>
  <c r="H34" i="70"/>
  <c r="H433" i="70"/>
  <c r="H427" i="70"/>
  <c r="H45" i="70"/>
  <c r="H489" i="70"/>
  <c r="H250" i="70"/>
  <c r="H269" i="70"/>
  <c r="H46" i="70"/>
  <c r="H271" i="70"/>
  <c r="H572" i="70"/>
  <c r="H571" i="70"/>
  <c r="H410" i="70"/>
  <c r="H276" i="70"/>
  <c r="H426" i="70"/>
  <c r="H312" i="70"/>
  <c r="H9" i="70"/>
  <c r="H295" i="70"/>
  <c r="H422" i="70"/>
  <c r="H338" i="70"/>
  <c r="H263" i="70"/>
  <c r="H235" i="70"/>
  <c r="H535" i="70"/>
  <c r="H440" i="70"/>
  <c r="H264" i="70"/>
  <c r="H541" i="70"/>
  <c r="H294" i="70"/>
  <c r="H199" i="70"/>
  <c r="H546" i="70"/>
  <c r="H290" i="70"/>
  <c r="H69" i="70"/>
  <c r="H217" i="70"/>
  <c r="H265" i="70"/>
  <c r="H93" i="70"/>
  <c r="H567" i="70"/>
  <c r="H161" i="70"/>
  <c r="H434" i="70"/>
  <c r="H262" i="70"/>
  <c r="H520" i="70"/>
  <c r="H320" i="70"/>
  <c r="H303" i="70"/>
  <c r="H458" i="70"/>
  <c r="H521" i="70"/>
  <c r="H484" i="70"/>
  <c r="H272" i="70"/>
  <c r="Y2" i="70"/>
  <c r="H95" i="70"/>
  <c r="H496" i="70"/>
  <c r="H566" i="70"/>
  <c r="H213" i="70"/>
  <c r="H274" i="70"/>
  <c r="H7" i="70"/>
  <c r="H49" i="70"/>
  <c r="H522" i="70"/>
  <c r="H493" i="70"/>
  <c r="H333" i="70"/>
  <c r="H429" i="70"/>
  <c r="H57" i="70"/>
  <c r="H412" i="70"/>
  <c r="H332" i="70"/>
  <c r="H80" i="70"/>
  <c r="H205" i="70"/>
  <c r="H542" i="70"/>
  <c r="H437" i="70"/>
  <c r="H381" i="70"/>
  <c r="H102" i="70"/>
  <c r="H449" i="70"/>
  <c r="H167" i="70"/>
  <c r="H545" i="70"/>
  <c r="Z2" i="70"/>
  <c r="H512" i="70"/>
  <c r="H415" i="70"/>
  <c r="H368" i="70"/>
  <c r="H255" i="70"/>
  <c r="H117" i="70"/>
  <c r="H497" i="70"/>
  <c r="H374" i="70"/>
  <c r="H466" i="70"/>
  <c r="H60" i="70"/>
  <c r="H378" i="70"/>
  <c r="H576" i="70"/>
  <c r="H278" i="70"/>
  <c r="H321" i="70"/>
  <c r="H227" i="70"/>
  <c r="H559" i="70"/>
  <c r="H530" i="70"/>
  <c r="H166" i="70"/>
  <c r="H515" i="70"/>
  <c r="H550" i="70"/>
  <c r="H292" i="70"/>
  <c r="H431" i="70"/>
  <c r="H154" i="70"/>
  <c r="H408" i="70"/>
  <c r="H148" i="70"/>
  <c r="H237" i="70"/>
  <c r="H247" i="70"/>
  <c r="H212" i="70"/>
  <c r="H204" i="70"/>
  <c r="H558" i="70"/>
  <c r="H395" i="70"/>
  <c r="H15" i="70"/>
  <c r="H282" i="70"/>
  <c r="H55" i="70"/>
  <c r="H177" i="70"/>
  <c r="H228" i="70"/>
  <c r="H163" i="70"/>
  <c r="H319" i="70"/>
  <c r="H106" i="70"/>
  <c r="H316" i="70"/>
  <c r="H439" i="70"/>
  <c r="H193" i="70"/>
  <c r="H544" i="70"/>
  <c r="H405" i="70"/>
  <c r="H549" i="70"/>
  <c r="H158" i="70"/>
  <c r="H468" i="70"/>
  <c r="H501" i="70"/>
  <c r="H174" i="70"/>
  <c r="H197" i="70"/>
  <c r="H548" i="70"/>
  <c r="H379" i="70"/>
  <c r="H202" i="70"/>
  <c r="H196" i="70"/>
  <c r="H234" i="70"/>
  <c r="H171" i="70"/>
  <c r="H50" i="70"/>
  <c r="H339" i="70"/>
  <c r="H129" i="70"/>
  <c r="H461" i="70"/>
  <c r="H137" i="70"/>
  <c r="H407" i="70"/>
  <c r="H531" i="70"/>
  <c r="H32" i="70"/>
  <c r="H297" i="70"/>
  <c r="H343" i="70"/>
  <c r="H401" i="70"/>
  <c r="H353" i="70"/>
  <c r="H115" i="70"/>
  <c r="H132" i="70"/>
  <c r="H123" i="70"/>
  <c r="H109" i="70"/>
  <c r="H19" i="70"/>
  <c r="H83" i="70"/>
  <c r="H326" i="70"/>
  <c r="H460" i="70"/>
  <c r="H315" i="70"/>
  <c r="H514" i="70"/>
  <c r="H539" i="70"/>
  <c r="H23" i="70"/>
  <c r="H447" i="70"/>
  <c r="H455" i="70"/>
  <c r="H153" i="70"/>
  <c r="H574" i="70"/>
  <c r="H477" i="70"/>
  <c r="H330" i="70"/>
  <c r="H146" i="70"/>
  <c r="H16" i="70"/>
  <c r="H223" i="70"/>
  <c r="H462" i="70"/>
  <c r="H334" i="70"/>
  <c r="H388" i="70"/>
  <c r="H456" i="70"/>
  <c r="H400" i="70"/>
  <c r="H318" i="70"/>
  <c r="H26" i="70"/>
  <c r="H131" i="70"/>
  <c r="H20" i="70"/>
  <c r="H417" i="70"/>
  <c r="H578" i="70"/>
  <c r="H487" i="70"/>
  <c r="H56" i="70"/>
  <c r="H144" i="70"/>
  <c r="H453" i="70"/>
  <c r="H568" i="70"/>
  <c r="H224" i="70"/>
  <c r="H424" i="70"/>
  <c r="H372" i="70"/>
  <c r="H411" i="70"/>
  <c r="H360" i="70"/>
  <c r="H206" i="70"/>
  <c r="H258" i="70"/>
  <c r="H209" i="70"/>
  <c r="H267" i="70"/>
  <c r="H346" i="70"/>
  <c r="H201" i="70"/>
  <c r="H110" i="70"/>
  <c r="H188" i="70"/>
  <c r="H97" i="70"/>
  <c r="H78" i="70"/>
  <c r="H28" i="70"/>
  <c r="H182" i="70"/>
  <c r="H233" i="70"/>
  <c r="H366" i="70"/>
  <c r="H341" i="70"/>
  <c r="H393" i="70"/>
  <c r="H382" i="70"/>
  <c r="H229" i="70"/>
  <c r="H387" i="70"/>
  <c r="H420" i="70"/>
  <c r="H495" i="70"/>
  <c r="H470" i="70"/>
  <c r="H451" i="70"/>
  <c r="H573" i="70"/>
  <c r="H511" i="70"/>
  <c r="H524" i="70"/>
  <c r="H463" i="70"/>
  <c r="H111" i="70"/>
  <c r="H518" i="70"/>
  <c r="H523" i="70"/>
  <c r="H491" i="70"/>
  <c r="H469" i="70"/>
  <c r="H538" i="70"/>
  <c r="H219" i="70"/>
  <c r="H54" i="70"/>
  <c r="H251" i="70"/>
  <c r="H459" i="70"/>
  <c r="H532" i="70"/>
  <c r="H291" i="70"/>
  <c r="H191" i="70"/>
  <c r="H324" i="70"/>
  <c r="H38" i="70"/>
  <c r="H430" i="70"/>
  <c r="H104" i="70"/>
  <c r="H540" i="70"/>
  <c r="H361" i="70"/>
  <c r="H128" i="70"/>
  <c r="H283" i="70"/>
  <c r="H226" i="70"/>
  <c r="H47" i="70"/>
  <c r="H442" i="70"/>
  <c r="H180" i="70"/>
  <c r="H24" i="70"/>
  <c r="H61" i="70"/>
  <c r="H435" i="70"/>
  <c r="H375" i="70"/>
  <c r="H189" i="70"/>
  <c r="H238" i="70"/>
  <c r="H365" i="70"/>
  <c r="H126" i="70"/>
  <c r="AA2" i="70" l="1"/>
  <c r="P43" i="67" l="1"/>
  <c r="Q43" i="67"/>
  <c r="R43" i="67"/>
  <c r="S43" i="67"/>
  <c r="T43" i="67"/>
  <c r="U43" i="67"/>
  <c r="V43" i="67"/>
  <c r="W43" i="67"/>
  <c r="X43" i="67"/>
  <c r="Y43" i="67"/>
  <c r="Z43" i="67"/>
  <c r="AA43" i="67"/>
  <c r="AB43" i="67"/>
  <c r="AC43" i="67"/>
  <c r="AD43" i="67"/>
  <c r="AE43" i="67"/>
  <c r="AF43" i="67"/>
  <c r="AG43" i="67"/>
  <c r="AH43" i="67"/>
  <c r="AI43" i="67"/>
  <c r="Q44" i="67"/>
  <c r="R44" i="67"/>
  <c r="S44" i="67"/>
  <c r="T44" i="67"/>
  <c r="U44" i="67"/>
  <c r="V44" i="67"/>
  <c r="W44" i="67"/>
  <c r="X44" i="67"/>
  <c r="Y44" i="67"/>
  <c r="Z44" i="67"/>
  <c r="AA44" i="67"/>
  <c r="AB44" i="67"/>
  <c r="AC44" i="67"/>
  <c r="AD44" i="67"/>
  <c r="AE44" i="67"/>
  <c r="AF44" i="67"/>
  <c r="AG44" i="67"/>
  <c r="AH44" i="67"/>
  <c r="AI44" i="67"/>
  <c r="R45" i="67"/>
  <c r="S45" i="67"/>
  <c r="T45" i="67"/>
  <c r="U45" i="67"/>
  <c r="V45" i="67"/>
  <c r="W45" i="67"/>
  <c r="X45" i="67"/>
  <c r="Y45" i="67"/>
  <c r="Z45" i="67"/>
  <c r="AA45" i="67"/>
  <c r="AB45" i="67"/>
  <c r="AC45" i="67"/>
  <c r="AD45" i="67"/>
  <c r="AE45" i="67"/>
  <c r="AF45" i="67"/>
  <c r="AG45" i="67"/>
  <c r="AH45" i="67"/>
  <c r="AI45" i="67"/>
  <c r="S46" i="67"/>
  <c r="T46" i="67"/>
  <c r="U46" i="67"/>
  <c r="V46" i="67"/>
  <c r="W46" i="67"/>
  <c r="X46" i="67"/>
  <c r="Y46" i="67"/>
  <c r="Z46" i="67"/>
  <c r="AA46" i="67"/>
  <c r="AB46" i="67"/>
  <c r="AC46" i="67"/>
  <c r="AD46" i="67"/>
  <c r="AE46" i="67"/>
  <c r="AF46" i="67"/>
  <c r="AG46" i="67"/>
  <c r="AH46" i="67"/>
  <c r="AI46" i="67"/>
  <c r="T47" i="67"/>
  <c r="U47" i="67"/>
  <c r="V47" i="67"/>
  <c r="W47" i="67"/>
  <c r="X47" i="67"/>
  <c r="Y47" i="67"/>
  <c r="Z47" i="67"/>
  <c r="AA47" i="67"/>
  <c r="AB47" i="67"/>
  <c r="AC47" i="67"/>
  <c r="AD47" i="67"/>
  <c r="AE47" i="67"/>
  <c r="AF47" i="67"/>
  <c r="AG47" i="67"/>
  <c r="AH47" i="67"/>
  <c r="AI47" i="67"/>
  <c r="U48" i="67"/>
  <c r="V48" i="67"/>
  <c r="W48" i="67"/>
  <c r="X48" i="67"/>
  <c r="Y48" i="67"/>
  <c r="Z48" i="67"/>
  <c r="AA48" i="67"/>
  <c r="AB48" i="67"/>
  <c r="AC48" i="67"/>
  <c r="AD48" i="67"/>
  <c r="AE48" i="67"/>
  <c r="AF48" i="67"/>
  <c r="AG48" i="67"/>
  <c r="AH48" i="67"/>
  <c r="AI48" i="67"/>
  <c r="V49" i="67"/>
  <c r="W49" i="67"/>
  <c r="X49" i="67"/>
  <c r="Y49" i="67"/>
  <c r="Z49" i="67"/>
  <c r="AA49" i="67"/>
  <c r="AB49" i="67"/>
  <c r="AC49" i="67"/>
  <c r="AD49" i="67"/>
  <c r="AE49" i="67"/>
  <c r="AF49" i="67"/>
  <c r="AG49" i="67"/>
  <c r="AH49" i="67"/>
  <c r="AI49" i="67"/>
  <c r="W50" i="67"/>
  <c r="X50" i="67"/>
  <c r="Y50" i="67"/>
  <c r="Z50" i="67"/>
  <c r="AA50" i="67"/>
  <c r="AB50" i="67"/>
  <c r="AC50" i="67"/>
  <c r="AD50" i="67"/>
  <c r="AE50" i="67"/>
  <c r="AF50" i="67"/>
  <c r="AG50" i="67"/>
  <c r="AH50" i="67"/>
  <c r="AI50" i="67"/>
  <c r="X51" i="67"/>
  <c r="Y51" i="67"/>
  <c r="Z51" i="67"/>
  <c r="AA51" i="67"/>
  <c r="AB51" i="67"/>
  <c r="AC51" i="67"/>
  <c r="AD51" i="67"/>
  <c r="AE51" i="67"/>
  <c r="AF51" i="67"/>
  <c r="AG51" i="67"/>
  <c r="AH51" i="67"/>
  <c r="AI51" i="67"/>
  <c r="Y52" i="67"/>
  <c r="Z52" i="67"/>
  <c r="AA52" i="67"/>
  <c r="AB52" i="67"/>
  <c r="AC52" i="67"/>
  <c r="AD52" i="67"/>
  <c r="AE52" i="67"/>
  <c r="AF52" i="67"/>
  <c r="AG52" i="67"/>
  <c r="AH52" i="67"/>
  <c r="AI52" i="67"/>
  <c r="Z53" i="67"/>
  <c r="AA53" i="67"/>
  <c r="AB53" i="67"/>
  <c r="AC53" i="67"/>
  <c r="AD53" i="67"/>
  <c r="AE53" i="67"/>
  <c r="AF53" i="67"/>
  <c r="AG53" i="67"/>
  <c r="AH53" i="67"/>
  <c r="AI53" i="67"/>
  <c r="AA54" i="67"/>
  <c r="AB54" i="67"/>
  <c r="AC54" i="67"/>
  <c r="AD54" i="67"/>
  <c r="AE54" i="67"/>
  <c r="AF54" i="67"/>
  <c r="AG54" i="67"/>
  <c r="AH54" i="67"/>
  <c r="AI54" i="67"/>
  <c r="AB55" i="67"/>
  <c r="AC55" i="67"/>
  <c r="AD55" i="67"/>
  <c r="AE55" i="67"/>
  <c r="AF55" i="67"/>
  <c r="AG55" i="67"/>
  <c r="AH55" i="67"/>
  <c r="AI55" i="67"/>
  <c r="AC56" i="67"/>
  <c r="AD56" i="67"/>
  <c r="AE56" i="67"/>
  <c r="AF56" i="67"/>
  <c r="AG56" i="67"/>
  <c r="AH56" i="67"/>
  <c r="AI56" i="67"/>
  <c r="AD57" i="67"/>
  <c r="AE57" i="67"/>
  <c r="AF57" i="67"/>
  <c r="AG57" i="67"/>
  <c r="AH57" i="67"/>
  <c r="AI57" i="67"/>
  <c r="AE58" i="67"/>
  <c r="AF58" i="67"/>
  <c r="AG58" i="67"/>
  <c r="AH58" i="67"/>
  <c r="AI58" i="67"/>
  <c r="AF59" i="67"/>
  <c r="AG59" i="67"/>
  <c r="AH59" i="67"/>
  <c r="AI59" i="67"/>
  <c r="AG60" i="67"/>
  <c r="AH60" i="67"/>
  <c r="AI60" i="67"/>
  <c r="AH61" i="67"/>
  <c r="AI61" i="67"/>
  <c r="AI62" i="67"/>
  <c r="AI166" i="67"/>
  <c r="AH166" i="67"/>
  <c r="AG166" i="67"/>
  <c r="AF166" i="67"/>
  <c r="AE166" i="67"/>
  <c r="AD166" i="67"/>
  <c r="AC166" i="67"/>
  <c r="AB166" i="67"/>
  <c r="AA166" i="67"/>
  <c r="Z166" i="67"/>
  <c r="Y166" i="67"/>
  <c r="X166" i="67"/>
  <c r="W166" i="67"/>
  <c r="V166" i="67"/>
  <c r="U166" i="67"/>
  <c r="T166" i="67"/>
  <c r="S166" i="67"/>
  <c r="S102" i="67" s="1"/>
  <c r="S71" i="67" s="1"/>
  <c r="AV71" i="67" s="1"/>
  <c r="R166" i="67"/>
  <c r="Q166" i="67"/>
  <c r="P166" i="67"/>
  <c r="O166" i="67"/>
  <c r="N166" i="67"/>
  <c r="M166" i="67"/>
  <c r="L166" i="67"/>
  <c r="K166" i="67"/>
  <c r="J166" i="67"/>
  <c r="I166" i="67"/>
  <c r="AI165" i="67"/>
  <c r="AH165" i="67"/>
  <c r="AG165" i="67"/>
  <c r="AF165" i="67"/>
  <c r="AE165" i="67"/>
  <c r="AD165" i="67"/>
  <c r="AC165" i="67"/>
  <c r="AB165" i="67"/>
  <c r="AA165" i="67"/>
  <c r="Z165" i="67"/>
  <c r="Y165" i="67"/>
  <c r="X165" i="67"/>
  <c r="W165" i="67"/>
  <c r="V165" i="67"/>
  <c r="U165" i="67"/>
  <c r="T165" i="67"/>
  <c r="S165" i="67"/>
  <c r="R165" i="67"/>
  <c r="Q165" i="67"/>
  <c r="P165" i="67"/>
  <c r="P101" i="67" s="1"/>
  <c r="P70" i="67" s="1"/>
  <c r="AS70" i="67" s="1"/>
  <c r="O165" i="67"/>
  <c r="N165" i="67"/>
  <c r="M165" i="67"/>
  <c r="L165" i="67"/>
  <c r="K165" i="67"/>
  <c r="J165" i="67"/>
  <c r="I165" i="67"/>
  <c r="AI164" i="67"/>
  <c r="AH164" i="67"/>
  <c r="AG164" i="67"/>
  <c r="AF164" i="67"/>
  <c r="AE164" i="67"/>
  <c r="AD164" i="67"/>
  <c r="AC164" i="67"/>
  <c r="AB164" i="67"/>
  <c r="AA164" i="67"/>
  <c r="Z164" i="67"/>
  <c r="Y164" i="67"/>
  <c r="Y100" i="67" s="1"/>
  <c r="Y69" i="67" s="1"/>
  <c r="BB69" i="67" s="1"/>
  <c r="X164" i="67"/>
  <c r="W164" i="67"/>
  <c r="V164" i="67"/>
  <c r="U164" i="67"/>
  <c r="T164" i="67"/>
  <c r="S164" i="67"/>
  <c r="R164" i="67"/>
  <c r="Q164" i="67"/>
  <c r="P164" i="67"/>
  <c r="O164" i="67"/>
  <c r="N164" i="67"/>
  <c r="M164" i="67"/>
  <c r="L164" i="67"/>
  <c r="K164" i="67"/>
  <c r="J164" i="67"/>
  <c r="I164" i="67"/>
  <c r="AI163" i="67"/>
  <c r="AH163" i="67"/>
  <c r="AG163" i="67"/>
  <c r="AF163" i="67"/>
  <c r="AE163" i="67"/>
  <c r="AD163" i="67"/>
  <c r="AC163" i="67"/>
  <c r="AB163" i="67"/>
  <c r="AB99" i="67" s="1"/>
  <c r="AB68" i="67" s="1"/>
  <c r="BE68" i="67" s="1"/>
  <c r="AA163" i="67"/>
  <c r="Z163" i="67"/>
  <c r="Y163" i="67"/>
  <c r="X163" i="67"/>
  <c r="W163" i="67"/>
  <c r="V163" i="67"/>
  <c r="U163" i="67"/>
  <c r="T163" i="67"/>
  <c r="S163" i="67"/>
  <c r="R163" i="67"/>
  <c r="Q163" i="67"/>
  <c r="P163" i="67"/>
  <c r="O163" i="67"/>
  <c r="N163" i="67"/>
  <c r="M163" i="67"/>
  <c r="L163" i="67"/>
  <c r="K163" i="67"/>
  <c r="J163" i="67"/>
  <c r="I163" i="67"/>
  <c r="AI162" i="67"/>
  <c r="AH162" i="67"/>
  <c r="AG162" i="67"/>
  <c r="AF162" i="67"/>
  <c r="AE162" i="67"/>
  <c r="AD162" i="67"/>
  <c r="AC162" i="67"/>
  <c r="AB162" i="67"/>
  <c r="AA162" i="67"/>
  <c r="Z162" i="67"/>
  <c r="Y162" i="67"/>
  <c r="X162" i="67"/>
  <c r="W162" i="67"/>
  <c r="V162" i="67"/>
  <c r="U162" i="67"/>
  <c r="T162" i="67"/>
  <c r="S162" i="67"/>
  <c r="R162" i="67"/>
  <c r="Q162" i="67"/>
  <c r="P162" i="67"/>
  <c r="O162" i="67"/>
  <c r="N162" i="67"/>
  <c r="M162" i="67"/>
  <c r="L162" i="67"/>
  <c r="K162" i="67"/>
  <c r="J162" i="67"/>
  <c r="I162" i="67"/>
  <c r="AI161" i="67"/>
  <c r="AH161" i="67"/>
  <c r="AG161" i="67"/>
  <c r="AF161" i="67"/>
  <c r="AE161" i="67"/>
  <c r="AD161" i="67"/>
  <c r="AC161" i="67"/>
  <c r="AB161" i="67"/>
  <c r="AA161" i="67"/>
  <c r="Z161" i="67"/>
  <c r="Y161" i="67"/>
  <c r="X161" i="67"/>
  <c r="W161" i="67"/>
  <c r="V161" i="67"/>
  <c r="U161" i="67"/>
  <c r="T161" i="67"/>
  <c r="S161" i="67"/>
  <c r="R161" i="67"/>
  <c r="Q161" i="67"/>
  <c r="P161" i="67"/>
  <c r="O161" i="67"/>
  <c r="N161" i="67"/>
  <c r="M161" i="67"/>
  <c r="L161" i="67"/>
  <c r="K161" i="67"/>
  <c r="J161" i="67"/>
  <c r="I161" i="67"/>
  <c r="AI160" i="67"/>
  <c r="AH160" i="67"/>
  <c r="AG160" i="67"/>
  <c r="AF160" i="67"/>
  <c r="AE160" i="67"/>
  <c r="AD160" i="67"/>
  <c r="AC160" i="67"/>
  <c r="AB160" i="67"/>
  <c r="AA160" i="67"/>
  <c r="Z160" i="67"/>
  <c r="Y160" i="67"/>
  <c r="X160" i="67"/>
  <c r="W160" i="67"/>
  <c r="V160" i="67"/>
  <c r="U160" i="67"/>
  <c r="T160" i="67"/>
  <c r="S160" i="67"/>
  <c r="R160" i="67"/>
  <c r="Q160" i="67"/>
  <c r="P160" i="67"/>
  <c r="O160" i="67"/>
  <c r="N160" i="67"/>
  <c r="N96" i="67" s="1"/>
  <c r="N65" i="67" s="1"/>
  <c r="AQ65" i="67" s="1"/>
  <c r="M160" i="67"/>
  <c r="L160" i="67"/>
  <c r="K160" i="67"/>
  <c r="J160" i="67"/>
  <c r="I160" i="67"/>
  <c r="AI159" i="67"/>
  <c r="AH159" i="67"/>
  <c r="AG159" i="67"/>
  <c r="AF159" i="67"/>
  <c r="AE159" i="67"/>
  <c r="AD159" i="67"/>
  <c r="AC159" i="67"/>
  <c r="AB159" i="67"/>
  <c r="AA159" i="67"/>
  <c r="Z159" i="67"/>
  <c r="Y159" i="67"/>
  <c r="X159" i="67"/>
  <c r="W159" i="67"/>
  <c r="V159" i="67"/>
  <c r="U159" i="67"/>
  <c r="T159" i="67"/>
  <c r="S159" i="67"/>
  <c r="R159" i="67"/>
  <c r="Q159" i="67"/>
  <c r="P159" i="67"/>
  <c r="O159" i="67"/>
  <c r="N159" i="67"/>
  <c r="M159" i="67"/>
  <c r="L159" i="67"/>
  <c r="K159" i="67"/>
  <c r="J159" i="67"/>
  <c r="I159" i="67"/>
  <c r="AI158" i="67"/>
  <c r="AH158" i="67"/>
  <c r="AG158" i="67"/>
  <c r="AF158" i="67"/>
  <c r="AE158" i="67"/>
  <c r="AD158" i="67"/>
  <c r="AC158" i="67"/>
  <c r="AB158" i="67"/>
  <c r="AA158" i="67"/>
  <c r="Z158" i="67"/>
  <c r="Y158" i="67"/>
  <c r="X158" i="67"/>
  <c r="W158" i="67"/>
  <c r="V158" i="67"/>
  <c r="U158" i="67"/>
  <c r="T158" i="67"/>
  <c r="T94" i="67" s="1"/>
  <c r="T63" i="67" s="1"/>
  <c r="AW63" i="67" s="1"/>
  <c r="S158" i="67"/>
  <c r="R158" i="67"/>
  <c r="Q158" i="67"/>
  <c r="P158" i="67"/>
  <c r="O158" i="67"/>
  <c r="N158" i="67"/>
  <c r="M158" i="67"/>
  <c r="L158" i="67"/>
  <c r="K158" i="67"/>
  <c r="J158" i="67"/>
  <c r="I158" i="67"/>
  <c r="AH157" i="67"/>
  <c r="AG157" i="67"/>
  <c r="AF157" i="67"/>
  <c r="AE157" i="67"/>
  <c r="AD157" i="67"/>
  <c r="AC157" i="67"/>
  <c r="AB157" i="67"/>
  <c r="AA157" i="67"/>
  <c r="Z157" i="67"/>
  <c r="Y157" i="67"/>
  <c r="X157" i="67"/>
  <c r="W157" i="67"/>
  <c r="V157" i="67"/>
  <c r="U157" i="67"/>
  <c r="T157" i="67"/>
  <c r="S157" i="67"/>
  <c r="R157" i="67"/>
  <c r="Q157" i="67"/>
  <c r="P157" i="67"/>
  <c r="O157" i="67"/>
  <c r="N157" i="67"/>
  <c r="M157" i="67"/>
  <c r="L157" i="67"/>
  <c r="K157" i="67"/>
  <c r="J157" i="67"/>
  <c r="I157" i="67"/>
  <c r="AG156" i="67"/>
  <c r="AF156" i="67"/>
  <c r="AE156" i="67"/>
  <c r="AD156" i="67"/>
  <c r="AC156" i="67"/>
  <c r="AB156" i="67"/>
  <c r="AA156" i="67"/>
  <c r="Z156" i="67"/>
  <c r="Y156" i="67"/>
  <c r="X156" i="67"/>
  <c r="W156" i="67"/>
  <c r="V156" i="67"/>
  <c r="U156" i="67"/>
  <c r="T156" i="67"/>
  <c r="S156" i="67"/>
  <c r="R156" i="67"/>
  <c r="Q156" i="67"/>
  <c r="P156" i="67"/>
  <c r="O156" i="67"/>
  <c r="N156" i="67"/>
  <c r="M156" i="67"/>
  <c r="L156" i="67"/>
  <c r="K156" i="67"/>
  <c r="J156" i="67"/>
  <c r="I156" i="67"/>
  <c r="AF155" i="67"/>
  <c r="AE155" i="67"/>
  <c r="AD155" i="67"/>
  <c r="AC155" i="67"/>
  <c r="AB155" i="67"/>
  <c r="AA155" i="67"/>
  <c r="Z155" i="67"/>
  <c r="Y155" i="67"/>
  <c r="X155" i="67"/>
  <c r="W155" i="67"/>
  <c r="V155" i="67"/>
  <c r="U155" i="67"/>
  <c r="T155" i="67"/>
  <c r="S155" i="67"/>
  <c r="R155" i="67"/>
  <c r="Q155" i="67"/>
  <c r="P155" i="67"/>
  <c r="O155" i="67"/>
  <c r="N155" i="67"/>
  <c r="M155" i="67"/>
  <c r="L155" i="67"/>
  <c r="K155" i="67"/>
  <c r="J155" i="67"/>
  <c r="J91" i="67" s="1"/>
  <c r="J60" i="67" s="1"/>
  <c r="AM60" i="67" s="1"/>
  <c r="I155" i="67"/>
  <c r="AE154" i="67"/>
  <c r="AD154" i="67"/>
  <c r="AC154" i="67"/>
  <c r="AB154" i="67"/>
  <c r="AA154" i="67"/>
  <c r="Z154" i="67"/>
  <c r="Y154" i="67"/>
  <c r="X154" i="67"/>
  <c r="W154" i="67"/>
  <c r="V154" i="67"/>
  <c r="U154" i="67"/>
  <c r="T154" i="67"/>
  <c r="S154" i="67"/>
  <c r="R154" i="67"/>
  <c r="Q154" i="67"/>
  <c r="P154" i="67"/>
  <c r="O154" i="67"/>
  <c r="N154" i="67"/>
  <c r="M154" i="67"/>
  <c r="L154" i="67"/>
  <c r="K154" i="67"/>
  <c r="J154" i="67"/>
  <c r="I154" i="67"/>
  <c r="AD153" i="67"/>
  <c r="AC153" i="67"/>
  <c r="AB153" i="67"/>
  <c r="AA153" i="67"/>
  <c r="Z153" i="67"/>
  <c r="Y153" i="67"/>
  <c r="X153" i="67"/>
  <c r="W153" i="67"/>
  <c r="V153" i="67"/>
  <c r="U153" i="67"/>
  <c r="T153" i="67"/>
  <c r="S153" i="67"/>
  <c r="R153" i="67"/>
  <c r="Q153" i="67"/>
  <c r="P153" i="67"/>
  <c r="O153" i="67"/>
  <c r="N153" i="67"/>
  <c r="M153" i="67"/>
  <c r="L153" i="67"/>
  <c r="K153" i="67"/>
  <c r="J153" i="67"/>
  <c r="I153" i="67"/>
  <c r="AC152" i="67"/>
  <c r="AB152" i="67"/>
  <c r="AA152" i="67"/>
  <c r="Z152" i="67"/>
  <c r="Y152" i="67"/>
  <c r="X152" i="67"/>
  <c r="W152" i="67"/>
  <c r="V152" i="67"/>
  <c r="U152" i="67"/>
  <c r="T152" i="67"/>
  <c r="S152" i="67"/>
  <c r="R152" i="67"/>
  <c r="Q152" i="67"/>
  <c r="P152" i="67"/>
  <c r="O152" i="67"/>
  <c r="N152" i="67"/>
  <c r="M152" i="67"/>
  <c r="L152" i="67"/>
  <c r="K152" i="67"/>
  <c r="J152" i="67"/>
  <c r="I152" i="67"/>
  <c r="AB151" i="67"/>
  <c r="AA151" i="67"/>
  <c r="Z151" i="67"/>
  <c r="Y151" i="67"/>
  <c r="X151" i="67"/>
  <c r="W151" i="67"/>
  <c r="V151" i="67"/>
  <c r="U151" i="67"/>
  <c r="T151" i="67"/>
  <c r="S151" i="67"/>
  <c r="R151" i="67"/>
  <c r="Q151" i="67"/>
  <c r="P151" i="67"/>
  <c r="O151" i="67"/>
  <c r="N151" i="67"/>
  <c r="M151" i="67"/>
  <c r="L151" i="67"/>
  <c r="K151" i="67"/>
  <c r="J151" i="67"/>
  <c r="I151" i="67"/>
  <c r="AA150" i="67"/>
  <c r="Z150" i="67"/>
  <c r="Y150" i="67"/>
  <c r="X150" i="67"/>
  <c r="W150" i="67"/>
  <c r="V150" i="67"/>
  <c r="U150" i="67"/>
  <c r="T150" i="67"/>
  <c r="S150" i="67"/>
  <c r="R150" i="67"/>
  <c r="Q150" i="67"/>
  <c r="P150" i="67"/>
  <c r="O150" i="67"/>
  <c r="N150" i="67"/>
  <c r="M150" i="67"/>
  <c r="L150" i="67"/>
  <c r="K150" i="67"/>
  <c r="J150" i="67"/>
  <c r="I150" i="67"/>
  <c r="Z149" i="67"/>
  <c r="Y149" i="67"/>
  <c r="X149" i="67"/>
  <c r="W149" i="67"/>
  <c r="V149" i="67"/>
  <c r="U149" i="67"/>
  <c r="T149" i="67"/>
  <c r="S149" i="67"/>
  <c r="R149" i="67"/>
  <c r="Q149" i="67"/>
  <c r="P149" i="67"/>
  <c r="O149" i="67"/>
  <c r="N149" i="67"/>
  <c r="M149" i="67"/>
  <c r="L149" i="67"/>
  <c r="K149" i="67"/>
  <c r="J149" i="67"/>
  <c r="I149" i="67"/>
  <c r="Y148" i="67"/>
  <c r="X148" i="67"/>
  <c r="W148" i="67"/>
  <c r="V148" i="67"/>
  <c r="U148" i="67"/>
  <c r="T148" i="67"/>
  <c r="S148" i="67"/>
  <c r="R148" i="67"/>
  <c r="Q148" i="67"/>
  <c r="P148" i="67"/>
  <c r="O148" i="67"/>
  <c r="N148" i="67"/>
  <c r="M148" i="67"/>
  <c r="L148" i="67"/>
  <c r="K148" i="67"/>
  <c r="J148" i="67"/>
  <c r="I148" i="67"/>
  <c r="X147" i="67"/>
  <c r="W147" i="67"/>
  <c r="V147" i="67"/>
  <c r="U147" i="67"/>
  <c r="T147" i="67"/>
  <c r="S147" i="67"/>
  <c r="R147" i="67"/>
  <c r="Q147" i="67"/>
  <c r="P147" i="67"/>
  <c r="O147" i="67"/>
  <c r="N147" i="67"/>
  <c r="M147" i="67"/>
  <c r="L147" i="67"/>
  <c r="K147" i="67"/>
  <c r="J147" i="67"/>
  <c r="I147" i="67"/>
  <c r="W146" i="67"/>
  <c r="V146" i="67"/>
  <c r="U146" i="67"/>
  <c r="T146" i="67"/>
  <c r="S146" i="67"/>
  <c r="R146" i="67"/>
  <c r="Q146" i="67"/>
  <c r="P146" i="67"/>
  <c r="O146" i="67"/>
  <c r="N146" i="67"/>
  <c r="M146" i="67"/>
  <c r="L146" i="67"/>
  <c r="K146" i="67"/>
  <c r="J146" i="67"/>
  <c r="I146" i="67"/>
  <c r="V145" i="67"/>
  <c r="U145" i="67"/>
  <c r="T145" i="67"/>
  <c r="S145" i="67"/>
  <c r="R145" i="67"/>
  <c r="Q145" i="67"/>
  <c r="P145" i="67"/>
  <c r="O145" i="67"/>
  <c r="N145" i="67"/>
  <c r="M145" i="67"/>
  <c r="L145" i="67"/>
  <c r="K145" i="67"/>
  <c r="J145" i="67"/>
  <c r="I145" i="67"/>
  <c r="U144" i="67"/>
  <c r="T144" i="67"/>
  <c r="S144" i="67"/>
  <c r="R144" i="67"/>
  <c r="Q144" i="67"/>
  <c r="P144" i="67"/>
  <c r="O144" i="67"/>
  <c r="N144" i="67"/>
  <c r="M144" i="67"/>
  <c r="L144" i="67"/>
  <c r="K144" i="67"/>
  <c r="J144" i="67"/>
  <c r="I144" i="67"/>
  <c r="T143" i="67"/>
  <c r="S143" i="67"/>
  <c r="R143" i="67"/>
  <c r="Q143" i="67"/>
  <c r="P143" i="67"/>
  <c r="O143" i="67"/>
  <c r="N143" i="67"/>
  <c r="M143" i="67"/>
  <c r="L143" i="67"/>
  <c r="K143" i="67"/>
  <c r="J143" i="67"/>
  <c r="I143" i="67"/>
  <c r="S142" i="67"/>
  <c r="R142" i="67"/>
  <c r="Q142" i="67"/>
  <c r="P142" i="67"/>
  <c r="O142" i="67"/>
  <c r="N142" i="67"/>
  <c r="M142" i="67"/>
  <c r="L142" i="67"/>
  <c r="K142" i="67"/>
  <c r="J142" i="67"/>
  <c r="I142" i="67"/>
  <c r="R141" i="67"/>
  <c r="Q141" i="67"/>
  <c r="P141" i="67"/>
  <c r="O141" i="67"/>
  <c r="N141" i="67"/>
  <c r="M141" i="67"/>
  <c r="L141" i="67"/>
  <c r="K141" i="67"/>
  <c r="J141" i="67"/>
  <c r="I141" i="67"/>
  <c r="Q140" i="67"/>
  <c r="P140" i="67"/>
  <c r="O140" i="67"/>
  <c r="N140" i="67"/>
  <c r="M140" i="67"/>
  <c r="L140" i="67"/>
  <c r="K140" i="67"/>
  <c r="J140" i="67"/>
  <c r="I140" i="67"/>
  <c r="P139" i="67"/>
  <c r="O139" i="67"/>
  <c r="N139" i="67"/>
  <c r="M139" i="67"/>
  <c r="L139" i="67"/>
  <c r="K139" i="67"/>
  <c r="J139" i="67"/>
  <c r="I139" i="67"/>
  <c r="O138" i="67"/>
  <c r="N138" i="67"/>
  <c r="M138" i="67"/>
  <c r="L138" i="67"/>
  <c r="K138" i="67"/>
  <c r="J138" i="67"/>
  <c r="I138" i="67"/>
  <c r="AI134" i="67"/>
  <c r="AI102" i="67" s="1"/>
  <c r="AI71" i="67" s="1"/>
  <c r="BL71" i="67" s="1"/>
  <c r="AH134" i="67"/>
  <c r="AG134" i="67"/>
  <c r="AF134" i="67"/>
  <c r="AE134" i="67"/>
  <c r="AD134" i="67"/>
  <c r="AC134" i="67"/>
  <c r="AB134" i="67"/>
  <c r="AB102" i="67" s="1"/>
  <c r="AB71" i="67" s="1"/>
  <c r="BE71" i="67" s="1"/>
  <c r="AA134" i="67"/>
  <c r="AA102" i="67" s="1"/>
  <c r="AA71" i="67" s="1"/>
  <c r="BD71" i="67" s="1"/>
  <c r="Z134" i="67"/>
  <c r="Y134" i="67"/>
  <c r="X134" i="67"/>
  <c r="W134" i="67"/>
  <c r="W102" i="67" s="1"/>
  <c r="W71" i="67" s="1"/>
  <c r="AZ71" i="67" s="1"/>
  <c r="V134" i="67"/>
  <c r="U134" i="67"/>
  <c r="T134" i="67"/>
  <c r="S134" i="67"/>
  <c r="R134" i="67"/>
  <c r="Q134" i="67"/>
  <c r="P134" i="67"/>
  <c r="O134" i="67"/>
  <c r="N134" i="67"/>
  <c r="M134" i="67"/>
  <c r="L134" i="67"/>
  <c r="K134" i="67"/>
  <c r="J134" i="67"/>
  <c r="I134" i="67"/>
  <c r="AI133" i="67"/>
  <c r="AH133" i="67"/>
  <c r="AG133" i="67"/>
  <c r="AF133" i="67"/>
  <c r="AE133" i="67"/>
  <c r="AD133" i="67"/>
  <c r="AD101" i="67" s="1"/>
  <c r="AD70" i="67" s="1"/>
  <c r="BG70" i="67" s="1"/>
  <c r="AC133" i="67"/>
  <c r="AB133" i="67"/>
  <c r="AA133" i="67"/>
  <c r="Z133" i="67"/>
  <c r="Y133" i="67"/>
  <c r="X133" i="67"/>
  <c r="W133" i="67"/>
  <c r="V133" i="67"/>
  <c r="U133" i="67"/>
  <c r="T133" i="67"/>
  <c r="S133" i="67"/>
  <c r="S101" i="67" s="1"/>
  <c r="S70" i="67" s="1"/>
  <c r="AV70" i="67" s="1"/>
  <c r="R133" i="67"/>
  <c r="R101" i="67" s="1"/>
  <c r="R70" i="67" s="1"/>
  <c r="AU70" i="67" s="1"/>
  <c r="Q133" i="67"/>
  <c r="P133" i="67"/>
  <c r="O133" i="67"/>
  <c r="N133" i="67"/>
  <c r="M133" i="67"/>
  <c r="L133" i="67"/>
  <c r="K133" i="67"/>
  <c r="J133" i="67"/>
  <c r="I133" i="67"/>
  <c r="AI132" i="67"/>
  <c r="AH132" i="67"/>
  <c r="AH100" i="67" s="1"/>
  <c r="AH69" i="67" s="1"/>
  <c r="BK69" i="67" s="1"/>
  <c r="AG132" i="67"/>
  <c r="AG100" i="67" s="1"/>
  <c r="AG69" i="67" s="1"/>
  <c r="BJ69" i="67" s="1"/>
  <c r="AF132" i="67"/>
  <c r="AE132" i="67"/>
  <c r="AD132" i="67"/>
  <c r="AC132" i="67"/>
  <c r="AB132" i="67"/>
  <c r="AA132" i="67"/>
  <c r="Z132" i="67"/>
  <c r="Y132" i="67"/>
  <c r="X132" i="67"/>
  <c r="W132" i="67"/>
  <c r="V132" i="67"/>
  <c r="V100" i="67" s="1"/>
  <c r="V69" i="67" s="1"/>
  <c r="AY69" i="67" s="1"/>
  <c r="U132" i="67"/>
  <c r="T132" i="67"/>
  <c r="S132" i="67"/>
  <c r="R132" i="67"/>
  <c r="Q132" i="67"/>
  <c r="P132" i="67"/>
  <c r="O132" i="67"/>
  <c r="N132" i="67"/>
  <c r="M132" i="67"/>
  <c r="L132" i="67"/>
  <c r="K132" i="67"/>
  <c r="J132" i="67"/>
  <c r="J100" i="67" s="1"/>
  <c r="J69" i="67" s="1"/>
  <c r="AM69" i="67" s="1"/>
  <c r="I132" i="67"/>
  <c r="I100" i="67" s="1"/>
  <c r="I69" i="67" s="1"/>
  <c r="AL69" i="67" s="1"/>
  <c r="AI131" i="67"/>
  <c r="AH131" i="67"/>
  <c r="AG131" i="67"/>
  <c r="AF131" i="67"/>
  <c r="AE131" i="67"/>
  <c r="AD131" i="67"/>
  <c r="AC131" i="67"/>
  <c r="AB131" i="67"/>
  <c r="AA131" i="67"/>
  <c r="Z131" i="67"/>
  <c r="Y131" i="67"/>
  <c r="Y99" i="67" s="1"/>
  <c r="Y68" i="67" s="1"/>
  <c r="BB68" i="67" s="1"/>
  <c r="X131" i="67"/>
  <c r="W131" i="67"/>
  <c r="V131" i="67"/>
  <c r="U131" i="67"/>
  <c r="T131" i="67"/>
  <c r="S131" i="67"/>
  <c r="R131" i="67"/>
  <c r="Q131" i="67"/>
  <c r="P131" i="67"/>
  <c r="O131" i="67"/>
  <c r="N131" i="67"/>
  <c r="M131" i="67"/>
  <c r="L131" i="67"/>
  <c r="K131" i="67"/>
  <c r="J131" i="67"/>
  <c r="I131" i="67"/>
  <c r="AI130" i="67"/>
  <c r="AH130" i="67"/>
  <c r="AG130" i="67"/>
  <c r="AF130" i="67"/>
  <c r="AE130" i="67"/>
  <c r="AD130" i="67"/>
  <c r="AC130" i="67"/>
  <c r="AB130" i="67"/>
  <c r="AA130" i="67"/>
  <c r="Z130" i="67"/>
  <c r="Y130" i="67"/>
  <c r="X130" i="67"/>
  <c r="W130" i="67"/>
  <c r="V130" i="67"/>
  <c r="V98" i="67" s="1"/>
  <c r="V67" i="67" s="1"/>
  <c r="AY67" i="67" s="1"/>
  <c r="U130" i="67"/>
  <c r="T130" i="67"/>
  <c r="S130" i="67"/>
  <c r="R130" i="67"/>
  <c r="Q130" i="67"/>
  <c r="P130" i="67"/>
  <c r="O130" i="67"/>
  <c r="N130" i="67"/>
  <c r="M130" i="67"/>
  <c r="L130" i="67"/>
  <c r="K130" i="67"/>
  <c r="J130" i="67"/>
  <c r="I130" i="67"/>
  <c r="AI129" i="67"/>
  <c r="AH129" i="67"/>
  <c r="AG129" i="67"/>
  <c r="AF129" i="67"/>
  <c r="AE129" i="67"/>
  <c r="AD129" i="67"/>
  <c r="AC129" i="67"/>
  <c r="AB129" i="67"/>
  <c r="AA129" i="67"/>
  <c r="Z129" i="67"/>
  <c r="Y129" i="67"/>
  <c r="X129" i="67"/>
  <c r="W129" i="67"/>
  <c r="V129" i="67"/>
  <c r="U129" i="67"/>
  <c r="T129" i="67"/>
  <c r="T97" i="67" s="1"/>
  <c r="T66" i="67" s="1"/>
  <c r="AW66" i="67" s="1"/>
  <c r="S129" i="67"/>
  <c r="S97" i="67" s="1"/>
  <c r="S66" i="67" s="1"/>
  <c r="AV66" i="67" s="1"/>
  <c r="R129" i="67"/>
  <c r="Q129" i="67"/>
  <c r="P129" i="67"/>
  <c r="O129" i="67"/>
  <c r="N129" i="67"/>
  <c r="M129" i="67"/>
  <c r="L129" i="67"/>
  <c r="K129" i="67"/>
  <c r="J129" i="67"/>
  <c r="I129" i="67"/>
  <c r="AI128" i="67"/>
  <c r="AI96" i="67" s="1"/>
  <c r="AI65" i="67" s="1"/>
  <c r="BL65" i="67" s="1"/>
  <c r="AH128" i="67"/>
  <c r="AH96" i="67" s="1"/>
  <c r="AH65" i="67" s="1"/>
  <c r="BK65" i="67" s="1"/>
  <c r="AG128" i="67"/>
  <c r="AF128" i="67"/>
  <c r="AE128" i="67"/>
  <c r="AD128" i="67"/>
  <c r="AC128" i="67"/>
  <c r="AB128" i="67"/>
  <c r="AA128" i="67"/>
  <c r="Z128" i="67"/>
  <c r="Y128" i="67"/>
  <c r="X128" i="67"/>
  <c r="W128" i="67"/>
  <c r="V128" i="67"/>
  <c r="V96" i="67" s="1"/>
  <c r="V65" i="67" s="1"/>
  <c r="AY65" i="67" s="1"/>
  <c r="U128" i="67"/>
  <c r="T128" i="67"/>
  <c r="S128" i="67"/>
  <c r="R128" i="67"/>
  <c r="Q128" i="67"/>
  <c r="P128" i="67"/>
  <c r="O128" i="67"/>
  <c r="N128" i="67"/>
  <c r="M128" i="67"/>
  <c r="L128" i="67"/>
  <c r="K128" i="67"/>
  <c r="J128" i="67"/>
  <c r="J96" i="67" s="1"/>
  <c r="J65" i="67" s="1"/>
  <c r="AM65" i="67" s="1"/>
  <c r="I128" i="67"/>
  <c r="AI127" i="67"/>
  <c r="AH127" i="67"/>
  <c r="AG127" i="67"/>
  <c r="AF127" i="67"/>
  <c r="AE127" i="67"/>
  <c r="AD127" i="67"/>
  <c r="AC127" i="67"/>
  <c r="AB127" i="67"/>
  <c r="AA127" i="67"/>
  <c r="Z127" i="67"/>
  <c r="Y127" i="67"/>
  <c r="Y95" i="67" s="1"/>
  <c r="Y64" i="67" s="1"/>
  <c r="BB64" i="67" s="1"/>
  <c r="X127" i="67"/>
  <c r="W127" i="67"/>
  <c r="V127" i="67"/>
  <c r="U127" i="67"/>
  <c r="T127" i="67"/>
  <c r="S127" i="67"/>
  <c r="R127" i="67"/>
  <c r="Q127" i="67"/>
  <c r="P127" i="67"/>
  <c r="O127" i="67"/>
  <c r="N127" i="67"/>
  <c r="M127" i="67"/>
  <c r="M95" i="67" s="1"/>
  <c r="M64" i="67" s="1"/>
  <c r="AP64" i="67" s="1"/>
  <c r="L127" i="67"/>
  <c r="K127" i="67"/>
  <c r="J127" i="67"/>
  <c r="I127" i="67"/>
  <c r="AI126" i="67"/>
  <c r="AI94" i="67" s="1"/>
  <c r="AI63" i="67" s="1"/>
  <c r="BL63" i="67" s="1"/>
  <c r="AH126" i="67"/>
  <c r="AG126" i="67"/>
  <c r="AF126" i="67"/>
  <c r="AE126" i="67"/>
  <c r="AD126" i="67"/>
  <c r="AC126" i="67"/>
  <c r="AB126" i="67"/>
  <c r="AB94" i="67" s="1"/>
  <c r="AB63" i="67" s="1"/>
  <c r="BE63" i="67" s="1"/>
  <c r="AA126" i="67"/>
  <c r="Z126" i="67"/>
  <c r="Y126" i="67"/>
  <c r="X126" i="67"/>
  <c r="W126" i="67"/>
  <c r="V126" i="67"/>
  <c r="U126" i="67"/>
  <c r="T126" i="67"/>
  <c r="S126" i="67"/>
  <c r="R126" i="67"/>
  <c r="Q126" i="67"/>
  <c r="P126" i="67"/>
  <c r="P94" i="67" s="1"/>
  <c r="P63" i="67" s="1"/>
  <c r="AS63" i="67" s="1"/>
  <c r="O126" i="67"/>
  <c r="N126" i="67"/>
  <c r="M126" i="67"/>
  <c r="L126" i="67"/>
  <c r="K126" i="67"/>
  <c r="J126" i="67"/>
  <c r="I126" i="67"/>
  <c r="AH125" i="67"/>
  <c r="AG125" i="67"/>
  <c r="AF125" i="67"/>
  <c r="AE125" i="67"/>
  <c r="AD125" i="67"/>
  <c r="AD93" i="67" s="1"/>
  <c r="AD62" i="67" s="1"/>
  <c r="BG62" i="67" s="1"/>
  <c r="AC125" i="67"/>
  <c r="AB125" i="67"/>
  <c r="AA125" i="67"/>
  <c r="Z125" i="67"/>
  <c r="Y125" i="67"/>
  <c r="X125" i="67"/>
  <c r="W125" i="67"/>
  <c r="V125" i="67"/>
  <c r="U125" i="67"/>
  <c r="T125" i="67"/>
  <c r="S125" i="67"/>
  <c r="R125" i="67"/>
  <c r="R93" i="67" s="1"/>
  <c r="R62" i="67" s="1"/>
  <c r="AU62" i="67" s="1"/>
  <c r="Q125" i="67"/>
  <c r="P125" i="67"/>
  <c r="O125" i="67"/>
  <c r="N125" i="67"/>
  <c r="M125" i="67"/>
  <c r="L125" i="67"/>
  <c r="K125" i="67"/>
  <c r="J125" i="67"/>
  <c r="I125" i="67"/>
  <c r="AG124" i="67"/>
  <c r="AF124" i="67"/>
  <c r="AE124" i="67"/>
  <c r="AE92" i="67" s="1"/>
  <c r="AE61" i="67" s="1"/>
  <c r="BH61" i="67" s="1"/>
  <c r="AD124" i="67"/>
  <c r="AC124" i="67"/>
  <c r="AB124" i="67"/>
  <c r="AA124" i="67"/>
  <c r="Z124" i="67"/>
  <c r="Y124" i="67"/>
  <c r="X124" i="67"/>
  <c r="W124" i="67"/>
  <c r="V124" i="67"/>
  <c r="U124" i="67"/>
  <c r="T124" i="67"/>
  <c r="S124" i="67"/>
  <c r="S92" i="67" s="1"/>
  <c r="S61" i="67" s="1"/>
  <c r="AV61" i="67" s="1"/>
  <c r="R124" i="67"/>
  <c r="Q124" i="67"/>
  <c r="P124" i="67"/>
  <c r="O124" i="67"/>
  <c r="N124" i="67"/>
  <c r="M124" i="67"/>
  <c r="L124" i="67"/>
  <c r="K124" i="67"/>
  <c r="J124" i="67"/>
  <c r="I124" i="67"/>
  <c r="AF123" i="67"/>
  <c r="AE123" i="67"/>
  <c r="AE91" i="67" s="1"/>
  <c r="AE60" i="67" s="1"/>
  <c r="BH60" i="67" s="1"/>
  <c r="AD123" i="67"/>
  <c r="AC123" i="67"/>
  <c r="AB123" i="67"/>
  <c r="AA123" i="67"/>
  <c r="Z123" i="67"/>
  <c r="Y123" i="67"/>
  <c r="X123" i="67"/>
  <c r="W123" i="67"/>
  <c r="V123" i="67"/>
  <c r="U123" i="67"/>
  <c r="T123" i="67"/>
  <c r="S123" i="67"/>
  <c r="S91" i="67" s="1"/>
  <c r="S60" i="67" s="1"/>
  <c r="AV60" i="67" s="1"/>
  <c r="R123" i="67"/>
  <c r="Q123" i="67"/>
  <c r="P123" i="67"/>
  <c r="O123" i="67"/>
  <c r="N123" i="67"/>
  <c r="M123" i="67"/>
  <c r="L123" i="67"/>
  <c r="K123" i="67"/>
  <c r="J123" i="67"/>
  <c r="I123" i="67"/>
  <c r="AE122" i="67"/>
  <c r="AD122" i="67"/>
  <c r="AD90" i="67" s="1"/>
  <c r="AD59" i="67" s="1"/>
  <c r="BG59" i="67" s="1"/>
  <c r="AC122" i="67"/>
  <c r="AC90" i="67" s="1"/>
  <c r="AC59" i="67" s="1"/>
  <c r="BF59" i="67" s="1"/>
  <c r="AB122" i="67"/>
  <c r="AA122" i="67"/>
  <c r="Z122" i="67"/>
  <c r="Y122" i="67"/>
  <c r="X122" i="67"/>
  <c r="W122" i="67"/>
  <c r="V122" i="67"/>
  <c r="U122" i="67"/>
  <c r="T122" i="67"/>
  <c r="S122" i="67"/>
  <c r="R122" i="67"/>
  <c r="R90" i="67" s="1"/>
  <c r="R59" i="67" s="1"/>
  <c r="AU59" i="67" s="1"/>
  <c r="Q122" i="67"/>
  <c r="P122" i="67"/>
  <c r="O122" i="67"/>
  <c r="N122" i="67"/>
  <c r="M122" i="67"/>
  <c r="L122" i="67"/>
  <c r="K122" i="67"/>
  <c r="J122" i="67"/>
  <c r="I122" i="67"/>
  <c r="AD121" i="67"/>
  <c r="AC121" i="67"/>
  <c r="AB121" i="67"/>
  <c r="AB89" i="67" s="1"/>
  <c r="AB58" i="67" s="1"/>
  <c r="BE58" i="67" s="1"/>
  <c r="AA121" i="67"/>
  <c r="Z121" i="67"/>
  <c r="Y121" i="67"/>
  <c r="X121" i="67"/>
  <c r="W121" i="67"/>
  <c r="V121" i="67"/>
  <c r="U121" i="67"/>
  <c r="T121" i="67"/>
  <c r="S121" i="67"/>
  <c r="R121" i="67"/>
  <c r="Q121" i="67"/>
  <c r="P121" i="67"/>
  <c r="P89" i="67" s="1"/>
  <c r="P58" i="67" s="1"/>
  <c r="AS58" i="67" s="1"/>
  <c r="O121" i="67"/>
  <c r="N121" i="67"/>
  <c r="M121" i="67"/>
  <c r="L121" i="67"/>
  <c r="K121" i="67"/>
  <c r="J121" i="67"/>
  <c r="I121" i="67"/>
  <c r="AC120" i="67"/>
  <c r="AB120" i="67"/>
  <c r="AA120" i="67"/>
  <c r="Z120" i="67"/>
  <c r="Y120" i="67"/>
  <c r="Y88" i="67" s="1"/>
  <c r="Y57" i="67" s="1"/>
  <c r="BB57" i="67" s="1"/>
  <c r="X120" i="67"/>
  <c r="X88" i="67" s="1"/>
  <c r="X57" i="67" s="1"/>
  <c r="BA57" i="67" s="1"/>
  <c r="W120" i="67"/>
  <c r="V120" i="67"/>
  <c r="U120" i="67"/>
  <c r="T120" i="67"/>
  <c r="S120" i="67"/>
  <c r="R120" i="67"/>
  <c r="Q120" i="67"/>
  <c r="P120" i="67"/>
  <c r="O120" i="67"/>
  <c r="N120" i="67"/>
  <c r="M120" i="67"/>
  <c r="M88" i="67" s="1"/>
  <c r="M57" i="67" s="1"/>
  <c r="AP57" i="67" s="1"/>
  <c r="L120" i="67"/>
  <c r="K120" i="67"/>
  <c r="J120" i="67"/>
  <c r="I120" i="67"/>
  <c r="AB119" i="67"/>
  <c r="AA119" i="67"/>
  <c r="Z119" i="67"/>
  <c r="Y119" i="67"/>
  <c r="X119" i="67"/>
  <c r="W119" i="67"/>
  <c r="V119" i="67"/>
  <c r="U119" i="67"/>
  <c r="U87" i="67" s="1"/>
  <c r="U56" i="67" s="1"/>
  <c r="AX56" i="67" s="1"/>
  <c r="T119" i="67"/>
  <c r="T87" i="67" s="1"/>
  <c r="T56" i="67" s="1"/>
  <c r="AW56" i="67" s="1"/>
  <c r="S119" i="67"/>
  <c r="R119" i="67"/>
  <c r="Q119" i="67"/>
  <c r="P119" i="67"/>
  <c r="O119" i="67"/>
  <c r="N119" i="67"/>
  <c r="M119" i="67"/>
  <c r="L119" i="67"/>
  <c r="K119" i="67"/>
  <c r="J119" i="67"/>
  <c r="I119" i="67"/>
  <c r="I87" i="67" s="1"/>
  <c r="I56" i="67" s="1"/>
  <c r="AL56" i="67" s="1"/>
  <c r="AA118" i="67"/>
  <c r="AA86" i="67" s="1"/>
  <c r="AA55" i="67" s="1"/>
  <c r="BD55" i="67" s="1"/>
  <c r="Z118" i="67"/>
  <c r="Y118" i="67"/>
  <c r="X118" i="67"/>
  <c r="W118" i="67"/>
  <c r="V118" i="67"/>
  <c r="U118" i="67"/>
  <c r="T118" i="67"/>
  <c r="S118" i="67"/>
  <c r="R118" i="67"/>
  <c r="Q118" i="67"/>
  <c r="P118" i="67"/>
  <c r="P86" i="67" s="1"/>
  <c r="P55" i="67" s="1"/>
  <c r="AS55" i="67" s="1"/>
  <c r="O118" i="67"/>
  <c r="N118" i="67"/>
  <c r="M118" i="67"/>
  <c r="L118" i="67"/>
  <c r="K118" i="67"/>
  <c r="J118" i="67"/>
  <c r="I118" i="67"/>
  <c r="Z117" i="67"/>
  <c r="Y117" i="67"/>
  <c r="X117" i="67"/>
  <c r="W117" i="67"/>
  <c r="V117" i="67"/>
  <c r="V85" i="67" s="1"/>
  <c r="V54" i="67" s="1"/>
  <c r="AY54" i="67" s="1"/>
  <c r="U117" i="67"/>
  <c r="T117" i="67"/>
  <c r="S117" i="67"/>
  <c r="R117" i="67"/>
  <c r="Q117" i="67"/>
  <c r="P117" i="67"/>
  <c r="O117" i="67"/>
  <c r="N117" i="67"/>
  <c r="M117" i="67"/>
  <c r="L117" i="67"/>
  <c r="K117" i="67"/>
  <c r="J117" i="67"/>
  <c r="J85" i="67" s="1"/>
  <c r="J54" i="67" s="1"/>
  <c r="AM54" i="67" s="1"/>
  <c r="I117" i="67"/>
  <c r="Y116" i="67"/>
  <c r="X116" i="67"/>
  <c r="W116" i="67"/>
  <c r="V116" i="67"/>
  <c r="U116" i="67"/>
  <c r="T116" i="67"/>
  <c r="S116" i="67"/>
  <c r="R116" i="67"/>
  <c r="Q116" i="67"/>
  <c r="P116" i="67"/>
  <c r="O116" i="67"/>
  <c r="O84" i="67" s="1"/>
  <c r="O53" i="67" s="1"/>
  <c r="AR53" i="67" s="1"/>
  <c r="N116" i="67"/>
  <c r="M116" i="67"/>
  <c r="L116" i="67"/>
  <c r="K116" i="67"/>
  <c r="J116" i="67"/>
  <c r="I116" i="67"/>
  <c r="X115" i="67"/>
  <c r="W115" i="67"/>
  <c r="V115" i="67"/>
  <c r="U115" i="67"/>
  <c r="T115" i="67"/>
  <c r="S115" i="67"/>
  <c r="S83" i="67" s="1"/>
  <c r="S52" i="67" s="1"/>
  <c r="AV52" i="67" s="1"/>
  <c r="R115" i="67"/>
  <c r="R83" i="67" s="1"/>
  <c r="R52" i="67" s="1"/>
  <c r="AU52" i="67" s="1"/>
  <c r="Q115" i="67"/>
  <c r="P115" i="67"/>
  <c r="O115" i="67"/>
  <c r="N115" i="67"/>
  <c r="M115" i="67"/>
  <c r="L115" i="67"/>
  <c r="K115" i="67"/>
  <c r="J115" i="67"/>
  <c r="I115" i="67"/>
  <c r="W114" i="67"/>
  <c r="V114" i="67"/>
  <c r="V82" i="67" s="1"/>
  <c r="V51" i="67" s="1"/>
  <c r="AY51" i="67" s="1"/>
  <c r="U114" i="67"/>
  <c r="T114" i="67"/>
  <c r="S114" i="67"/>
  <c r="R114" i="67"/>
  <c r="Q114" i="67"/>
  <c r="P114" i="67"/>
  <c r="O114" i="67"/>
  <c r="N114" i="67"/>
  <c r="M114" i="67"/>
  <c r="L114" i="67"/>
  <c r="K114" i="67"/>
  <c r="J114" i="67"/>
  <c r="J82" i="67" s="1"/>
  <c r="J51" i="67" s="1"/>
  <c r="AM51" i="67" s="1"/>
  <c r="I114" i="67"/>
  <c r="V113" i="67"/>
  <c r="U113" i="67"/>
  <c r="T113" i="67"/>
  <c r="S113" i="67"/>
  <c r="R113" i="67"/>
  <c r="Q113" i="67"/>
  <c r="P113" i="67"/>
  <c r="O113" i="67"/>
  <c r="N113" i="67"/>
  <c r="M113" i="67"/>
  <c r="L113" i="67"/>
  <c r="L81" i="67" s="1"/>
  <c r="L50" i="67" s="1"/>
  <c r="AO50" i="67" s="1"/>
  <c r="K113" i="67"/>
  <c r="J113" i="67"/>
  <c r="I113" i="67"/>
  <c r="U112" i="67"/>
  <c r="T112" i="67"/>
  <c r="S112" i="67"/>
  <c r="R112" i="67"/>
  <c r="Q112" i="67"/>
  <c r="P112" i="67"/>
  <c r="O112" i="67"/>
  <c r="N112" i="67"/>
  <c r="M112" i="67"/>
  <c r="M80" i="67" s="1"/>
  <c r="M49" i="67" s="1"/>
  <c r="AP49" i="67" s="1"/>
  <c r="L112" i="67"/>
  <c r="K112" i="67"/>
  <c r="J112" i="67"/>
  <c r="I112" i="67"/>
  <c r="T111" i="67"/>
  <c r="S111" i="67"/>
  <c r="R111" i="67"/>
  <c r="Q111" i="67"/>
  <c r="P111" i="67"/>
  <c r="O111" i="67"/>
  <c r="N111" i="67"/>
  <c r="M111" i="67"/>
  <c r="M79" i="67" s="1"/>
  <c r="M48" i="67" s="1"/>
  <c r="AP48" i="67" s="1"/>
  <c r="L111" i="67"/>
  <c r="K111" i="67"/>
  <c r="J111" i="67"/>
  <c r="I111" i="67"/>
  <c r="S110" i="67"/>
  <c r="R110" i="67"/>
  <c r="Q110" i="67"/>
  <c r="P110" i="67"/>
  <c r="O110" i="67"/>
  <c r="N110" i="67"/>
  <c r="M110" i="67"/>
  <c r="L110" i="67"/>
  <c r="L78" i="67" s="1"/>
  <c r="L47" i="67" s="1"/>
  <c r="AO47" i="67" s="1"/>
  <c r="K110" i="67"/>
  <c r="J110" i="67"/>
  <c r="I110" i="67"/>
  <c r="R109" i="67"/>
  <c r="Q109" i="67"/>
  <c r="Q77" i="67" s="1"/>
  <c r="Q46" i="67" s="1"/>
  <c r="AT46" i="67" s="1"/>
  <c r="P109" i="67"/>
  <c r="O109" i="67"/>
  <c r="N109" i="67"/>
  <c r="M109" i="67"/>
  <c r="L109" i="67"/>
  <c r="K109" i="67"/>
  <c r="J109" i="67"/>
  <c r="J77" i="67" s="1"/>
  <c r="J46" i="67" s="1"/>
  <c r="AM46" i="67" s="1"/>
  <c r="I109" i="67"/>
  <c r="Q108" i="67"/>
  <c r="P108" i="67"/>
  <c r="O108" i="67"/>
  <c r="N108" i="67"/>
  <c r="M108" i="67"/>
  <c r="L108" i="67"/>
  <c r="K108" i="67"/>
  <c r="J108" i="67"/>
  <c r="I108" i="67"/>
  <c r="P107" i="67"/>
  <c r="O107" i="67"/>
  <c r="O75" i="67" s="1"/>
  <c r="O44" i="67" s="1"/>
  <c r="AR44" i="67" s="1"/>
  <c r="N107" i="67"/>
  <c r="M107" i="67"/>
  <c r="L107" i="67"/>
  <c r="K107" i="67"/>
  <c r="J107" i="67"/>
  <c r="I107" i="67"/>
  <c r="O106" i="67"/>
  <c r="N106" i="67"/>
  <c r="M106" i="67"/>
  <c r="L106" i="67"/>
  <c r="K106" i="67"/>
  <c r="J106" i="67"/>
  <c r="J74" i="67" s="1"/>
  <c r="I106" i="67"/>
  <c r="P102" i="67"/>
  <c r="P71" i="67" s="1"/>
  <c r="AS71" i="67" s="1"/>
  <c r="AE101" i="67"/>
  <c r="AE70" i="67" s="1"/>
  <c r="BH70" i="67" s="1"/>
  <c r="AF100" i="67"/>
  <c r="AF69" i="67" s="1"/>
  <c r="BI69" i="67" s="1"/>
  <c r="Z100" i="67"/>
  <c r="Z69" i="67" s="1"/>
  <c r="BC69" i="67" s="1"/>
  <c r="N100" i="67"/>
  <c r="N69" i="67" s="1"/>
  <c r="AQ69" i="67" s="1"/>
  <c r="M100" i="67"/>
  <c r="M69" i="67" s="1"/>
  <c r="AP69" i="67" s="1"/>
  <c r="N99" i="67"/>
  <c r="N68" i="67" s="1"/>
  <c r="AQ68" i="67" s="1"/>
  <c r="M99" i="67"/>
  <c r="M68" i="67" s="1"/>
  <c r="AP68" i="67" s="1"/>
  <c r="T98" i="67"/>
  <c r="T67" i="67" s="1"/>
  <c r="AW67" i="67" s="1"/>
  <c r="M96" i="67"/>
  <c r="M65" i="67" s="1"/>
  <c r="AP65" i="67" s="1"/>
  <c r="K96" i="67"/>
  <c r="K65" i="67" s="1"/>
  <c r="AN65" i="67" s="1"/>
  <c r="Z93" i="67"/>
  <c r="K92" i="67"/>
  <c r="K61" i="67" s="1"/>
  <c r="AN61" i="67" s="1"/>
  <c r="Z88" i="67"/>
  <c r="Z57" i="67" s="1"/>
  <c r="BC57" i="67" s="1"/>
  <c r="L74" i="67" l="1"/>
  <c r="L43" i="67" s="1"/>
  <c r="AO43" i="67" s="1"/>
  <c r="I76" i="67"/>
  <c r="I45" i="67" s="1"/>
  <c r="AL45" i="67" s="1"/>
  <c r="L77" i="67"/>
  <c r="L46" i="67" s="1"/>
  <c r="AO46" i="67" s="1"/>
  <c r="N78" i="67"/>
  <c r="N47" i="67" s="1"/>
  <c r="AQ47" i="67" s="1"/>
  <c r="O79" i="67"/>
  <c r="O48" i="67" s="1"/>
  <c r="AR48" i="67" s="1"/>
  <c r="O80" i="67"/>
  <c r="O49" i="67" s="1"/>
  <c r="AR49" i="67" s="1"/>
  <c r="N81" i="67"/>
  <c r="N50" i="67" s="1"/>
  <c r="AQ50" i="67" s="1"/>
  <c r="L82" i="67"/>
  <c r="L51" i="67" s="1"/>
  <c r="AO51" i="67" s="1"/>
  <c r="I83" i="67"/>
  <c r="I52" i="67" s="1"/>
  <c r="AL52" i="67" s="1"/>
  <c r="U83" i="67"/>
  <c r="U52" i="67" s="1"/>
  <c r="AX52" i="67" s="1"/>
  <c r="Q84" i="67"/>
  <c r="Q53" i="67" s="1"/>
  <c r="AT53" i="67" s="1"/>
  <c r="L85" i="67"/>
  <c r="L54" i="67" s="1"/>
  <c r="AO54" i="67" s="1"/>
  <c r="K87" i="67"/>
  <c r="K56" i="67" s="1"/>
  <c r="AN56" i="67" s="1"/>
  <c r="W87" i="67"/>
  <c r="W56" i="67" s="1"/>
  <c r="AZ56" i="67" s="1"/>
  <c r="O88" i="67"/>
  <c r="O57" i="67" s="1"/>
  <c r="AR57" i="67" s="1"/>
  <c r="AA88" i="67"/>
  <c r="AA57" i="67" s="1"/>
  <c r="BD57" i="67" s="1"/>
  <c r="R89" i="67"/>
  <c r="R58" i="67" s="1"/>
  <c r="AU58" i="67" s="1"/>
  <c r="AD89" i="67"/>
  <c r="AD58" i="67" s="1"/>
  <c r="BG58" i="67" s="1"/>
  <c r="T90" i="67"/>
  <c r="T59" i="67" s="1"/>
  <c r="AW59" i="67" s="1"/>
  <c r="I91" i="67"/>
  <c r="I60" i="67" s="1"/>
  <c r="AL60" i="67" s="1"/>
  <c r="U91" i="67"/>
  <c r="U60" i="67" s="1"/>
  <c r="AX60" i="67" s="1"/>
  <c r="I92" i="67"/>
  <c r="I61" i="67" s="1"/>
  <c r="AL61" i="67" s="1"/>
  <c r="U92" i="67"/>
  <c r="U61" i="67" s="1"/>
  <c r="AX61" i="67" s="1"/>
  <c r="AG92" i="67"/>
  <c r="AG61" i="67" s="1"/>
  <c r="BJ61" i="67" s="1"/>
  <c r="T93" i="67"/>
  <c r="T62" i="67" s="1"/>
  <c r="AW62" i="67" s="1"/>
  <c r="AF93" i="67"/>
  <c r="AF62" i="67" s="1"/>
  <c r="BI62" i="67" s="1"/>
  <c r="R94" i="67"/>
  <c r="R63" i="67" s="1"/>
  <c r="AU63" i="67" s="1"/>
  <c r="AD94" i="67"/>
  <c r="AD63" i="67" s="1"/>
  <c r="BG63" i="67" s="1"/>
  <c r="O95" i="67"/>
  <c r="O64" i="67" s="1"/>
  <c r="AR64" i="67" s="1"/>
  <c r="AA95" i="67"/>
  <c r="AA64" i="67" s="1"/>
  <c r="BD64" i="67" s="1"/>
  <c r="L96" i="67"/>
  <c r="L65" i="67" s="1"/>
  <c r="AO65" i="67" s="1"/>
  <c r="X96" i="67"/>
  <c r="X65" i="67" s="1"/>
  <c r="BA65" i="67" s="1"/>
  <c r="I97" i="67"/>
  <c r="I66" i="67" s="1"/>
  <c r="AL66" i="67" s="1"/>
  <c r="U97" i="67"/>
  <c r="U66" i="67" s="1"/>
  <c r="AX66" i="67" s="1"/>
  <c r="AG97" i="67"/>
  <c r="AG66" i="67" s="1"/>
  <c r="BJ66" i="67" s="1"/>
  <c r="R98" i="67"/>
  <c r="R67" i="67" s="1"/>
  <c r="AU67" i="67" s="1"/>
  <c r="AD98" i="67"/>
  <c r="AD67" i="67" s="1"/>
  <c r="BG67" i="67" s="1"/>
  <c r="O99" i="67"/>
  <c r="O68" i="67" s="1"/>
  <c r="AR68" i="67" s="1"/>
  <c r="AA99" i="67"/>
  <c r="AA68" i="67" s="1"/>
  <c r="BD68" i="67" s="1"/>
  <c r="L100" i="67"/>
  <c r="L69" i="67" s="1"/>
  <c r="AO69" i="67" s="1"/>
  <c r="X100" i="67"/>
  <c r="X69" i="67" s="1"/>
  <c r="BA69" i="67" s="1"/>
  <c r="I101" i="67"/>
  <c r="U101" i="67"/>
  <c r="U70" i="67" s="1"/>
  <c r="AX70" i="67" s="1"/>
  <c r="AG101" i="67"/>
  <c r="AG70" i="67" s="1"/>
  <c r="BJ70" i="67" s="1"/>
  <c r="R102" i="67"/>
  <c r="R71" i="67" s="1"/>
  <c r="AU71" i="67" s="1"/>
  <c r="AD102" i="67"/>
  <c r="AD71" i="67" s="1"/>
  <c r="BG71" i="67" s="1"/>
  <c r="P80" i="67"/>
  <c r="P49" i="67" s="1"/>
  <c r="AS49" i="67" s="1"/>
  <c r="R84" i="67"/>
  <c r="R53" i="67" s="1"/>
  <c r="AU53" i="67" s="1"/>
  <c r="X87" i="67"/>
  <c r="X56" i="67" s="1"/>
  <c r="BA56" i="67" s="1"/>
  <c r="AG93" i="67"/>
  <c r="AG62" i="67" s="1"/>
  <c r="BJ62" i="67" s="1"/>
  <c r="AB95" i="67"/>
  <c r="AB64" i="67" s="1"/>
  <c r="BE64" i="67" s="1"/>
  <c r="P99" i="67"/>
  <c r="P68" i="67" s="1"/>
  <c r="AS68" i="67" s="1"/>
  <c r="AH101" i="67"/>
  <c r="AH70" i="67" s="1"/>
  <c r="BK70" i="67" s="1"/>
  <c r="M74" i="67"/>
  <c r="M43" i="67" s="1"/>
  <c r="AP43" i="67" s="1"/>
  <c r="P79" i="67"/>
  <c r="P48" i="67" s="1"/>
  <c r="AS48" i="67" s="1"/>
  <c r="O81" i="67"/>
  <c r="O50" i="67" s="1"/>
  <c r="AR50" i="67" s="1"/>
  <c r="V83" i="67"/>
  <c r="V52" i="67" s="1"/>
  <c r="AY52" i="67" s="1"/>
  <c r="Y85" i="67"/>
  <c r="Y54" i="67" s="1"/>
  <c r="BB54" i="67" s="1"/>
  <c r="L87" i="67"/>
  <c r="L56" i="67" s="1"/>
  <c r="AO56" i="67" s="1"/>
  <c r="AB88" i="67"/>
  <c r="AB57" i="67" s="1"/>
  <c r="BE57" i="67" s="1"/>
  <c r="I90" i="67"/>
  <c r="I59" i="67" s="1"/>
  <c r="AL59" i="67" s="1"/>
  <c r="V91" i="67"/>
  <c r="V60" i="67" s="1"/>
  <c r="AY60" i="67" s="1"/>
  <c r="V92" i="67"/>
  <c r="V61" i="67" s="1"/>
  <c r="AY61" i="67" s="1"/>
  <c r="U93" i="67"/>
  <c r="U62" i="67" s="1"/>
  <c r="AX62" i="67" s="1"/>
  <c r="AE94" i="67"/>
  <c r="AE63" i="67" s="1"/>
  <c r="BH63" i="67" s="1"/>
  <c r="V97" i="67"/>
  <c r="V66" i="67" s="1"/>
  <c r="AY66" i="67" s="1"/>
  <c r="V101" i="67"/>
  <c r="V70" i="67" s="1"/>
  <c r="AY70" i="67" s="1"/>
  <c r="N74" i="67"/>
  <c r="N43" i="67" s="1"/>
  <c r="AQ43" i="67" s="1"/>
  <c r="P78" i="67"/>
  <c r="P47" i="67" s="1"/>
  <c r="AS47" i="67" s="1"/>
  <c r="Q79" i="67"/>
  <c r="Q48" i="67" s="1"/>
  <c r="AT48" i="67" s="1"/>
  <c r="W83" i="67"/>
  <c r="W52" i="67" s="1"/>
  <c r="AZ52" i="67" s="1"/>
  <c r="S84" i="67"/>
  <c r="S53" i="67" s="1"/>
  <c r="AV53" i="67" s="1"/>
  <c r="Z85" i="67"/>
  <c r="Z54" i="67" s="1"/>
  <c r="BC54" i="67" s="1"/>
  <c r="T86" i="67"/>
  <c r="T55" i="67" s="1"/>
  <c r="AW55" i="67" s="1"/>
  <c r="M87" i="67"/>
  <c r="M56" i="67" s="1"/>
  <c r="AP56" i="67" s="1"/>
  <c r="Y87" i="67"/>
  <c r="Y56" i="67" s="1"/>
  <c r="BB56" i="67" s="1"/>
  <c r="Q88" i="67"/>
  <c r="Q57" i="67" s="1"/>
  <c r="AT57" i="67" s="1"/>
  <c r="AC88" i="67"/>
  <c r="AC57" i="67" s="1"/>
  <c r="BF57" i="67" s="1"/>
  <c r="T89" i="67"/>
  <c r="T58" i="67" s="1"/>
  <c r="AW58" i="67" s="1"/>
  <c r="J90" i="67"/>
  <c r="J59" i="67" s="1"/>
  <c r="AM59" i="67" s="1"/>
  <c r="V90" i="67"/>
  <c r="V59" i="67" s="1"/>
  <c r="AY59" i="67" s="1"/>
  <c r="K91" i="67"/>
  <c r="K60" i="67" s="1"/>
  <c r="AN60" i="67" s="1"/>
  <c r="W91" i="67"/>
  <c r="W60" i="67" s="1"/>
  <c r="AZ60" i="67" s="1"/>
  <c r="W92" i="67"/>
  <c r="W61" i="67" s="1"/>
  <c r="AZ61" i="67" s="1"/>
  <c r="J93" i="67"/>
  <c r="J62" i="67" s="1"/>
  <c r="AM62" i="67" s="1"/>
  <c r="V93" i="67"/>
  <c r="V62" i="67" s="1"/>
  <c r="AY62" i="67" s="1"/>
  <c r="AH93" i="67"/>
  <c r="AH62" i="67" s="1"/>
  <c r="BK62" i="67" s="1"/>
  <c r="AF94" i="67"/>
  <c r="AF63" i="67" s="1"/>
  <c r="BI63" i="67" s="1"/>
  <c r="W97" i="67"/>
  <c r="W66" i="67" s="1"/>
  <c r="AZ66" i="67" s="1"/>
  <c r="AI97" i="67"/>
  <c r="AI66" i="67" s="1"/>
  <c r="BL66" i="67" s="1"/>
  <c r="AC99" i="67"/>
  <c r="AC68" i="67" s="1"/>
  <c r="BF68" i="67" s="1"/>
  <c r="K101" i="67"/>
  <c r="K70" i="67" s="1"/>
  <c r="AN70" i="67" s="1"/>
  <c r="W101" i="67"/>
  <c r="W70" i="67" s="1"/>
  <c r="AZ70" i="67" s="1"/>
  <c r="AI101" i="67"/>
  <c r="AI70" i="67" s="1"/>
  <c r="BL70" i="67" s="1"/>
  <c r="T102" i="67"/>
  <c r="T71" i="67" s="1"/>
  <c r="AW71" i="67" s="1"/>
  <c r="AF102" i="67"/>
  <c r="AF71" i="67" s="1"/>
  <c r="BI71" i="67" s="1"/>
  <c r="M77" i="67"/>
  <c r="M46" i="67" s="1"/>
  <c r="AP46" i="67" s="1"/>
  <c r="O78" i="67"/>
  <c r="O47" i="67" s="1"/>
  <c r="AR47" i="67" s="1"/>
  <c r="M82" i="67"/>
  <c r="M51" i="67" s="1"/>
  <c r="AP51" i="67" s="1"/>
  <c r="J83" i="67"/>
  <c r="J52" i="67" s="1"/>
  <c r="AM52" i="67" s="1"/>
  <c r="M85" i="67"/>
  <c r="M54" i="67" s="1"/>
  <c r="AP54" i="67" s="1"/>
  <c r="S86" i="67"/>
  <c r="S55" i="67" s="1"/>
  <c r="AV55" i="67" s="1"/>
  <c r="P88" i="67"/>
  <c r="P57" i="67" s="1"/>
  <c r="AS57" i="67" s="1"/>
  <c r="S89" i="67"/>
  <c r="S58" i="67" s="1"/>
  <c r="AV58" i="67" s="1"/>
  <c r="U90" i="67"/>
  <c r="U59" i="67" s="1"/>
  <c r="AX59" i="67" s="1"/>
  <c r="J92" i="67"/>
  <c r="J61" i="67" s="1"/>
  <c r="AM61" i="67" s="1"/>
  <c r="I93" i="67"/>
  <c r="I62" i="67" s="1"/>
  <c r="AL62" i="67" s="1"/>
  <c r="S94" i="67"/>
  <c r="S63" i="67" s="1"/>
  <c r="AV63" i="67" s="1"/>
  <c r="P95" i="67"/>
  <c r="P64" i="67" s="1"/>
  <c r="AS64" i="67" s="1"/>
  <c r="Y96" i="67"/>
  <c r="Y65" i="67" s="1"/>
  <c r="BB65" i="67" s="1"/>
  <c r="J97" i="67"/>
  <c r="J66" i="67" s="1"/>
  <c r="AM66" i="67" s="1"/>
  <c r="J101" i="67"/>
  <c r="J70" i="67" s="1"/>
  <c r="AM70" i="67" s="1"/>
  <c r="AE102" i="67"/>
  <c r="AE71" i="67" s="1"/>
  <c r="BH71" i="67" s="1"/>
  <c r="K76" i="67"/>
  <c r="K45" i="67" s="1"/>
  <c r="AN45" i="67" s="1"/>
  <c r="N77" i="67"/>
  <c r="N46" i="67" s="1"/>
  <c r="AQ46" i="67" s="1"/>
  <c r="Q80" i="67"/>
  <c r="Q49" i="67" s="1"/>
  <c r="AT49" i="67" s="1"/>
  <c r="P81" i="67"/>
  <c r="P50" i="67" s="1"/>
  <c r="AS50" i="67" s="1"/>
  <c r="L75" i="67"/>
  <c r="L44" i="67" s="1"/>
  <c r="AO44" i="67" s="1"/>
  <c r="I81" i="67"/>
  <c r="I50" i="67" s="1"/>
  <c r="AL50" i="67" s="1"/>
  <c r="S82" i="67"/>
  <c r="S51" i="67" s="1"/>
  <c r="AV51" i="67" s="1"/>
  <c r="R87" i="67"/>
  <c r="R56" i="67" s="1"/>
  <c r="AU56" i="67" s="1"/>
  <c r="V88" i="67"/>
  <c r="V57" i="67" s="1"/>
  <c r="AY57" i="67" s="1"/>
  <c r="Z86" i="67"/>
  <c r="Z55" i="67" s="1"/>
  <c r="BC55" i="67" s="1"/>
  <c r="Z89" i="67"/>
  <c r="Z58" i="67" s="1"/>
  <c r="BC58" i="67" s="1"/>
  <c r="K95" i="67"/>
  <c r="K64" i="67" s="1"/>
  <c r="AN64" i="67" s="1"/>
  <c r="W95" i="67"/>
  <c r="W64" i="67" s="1"/>
  <c r="AZ64" i="67" s="1"/>
  <c r="AI95" i="67"/>
  <c r="AI64" i="67" s="1"/>
  <c r="BL64" i="67" s="1"/>
  <c r="T96" i="67"/>
  <c r="T65" i="67" s="1"/>
  <c r="AW65" i="67" s="1"/>
  <c r="AF96" i="67"/>
  <c r="AF65" i="67" s="1"/>
  <c r="BI65" i="67" s="1"/>
  <c r="Q97" i="67"/>
  <c r="Q66" i="67" s="1"/>
  <c r="AT66" i="67" s="1"/>
  <c r="AC97" i="67"/>
  <c r="AC66" i="67" s="1"/>
  <c r="BF66" i="67" s="1"/>
  <c r="N98" i="67"/>
  <c r="N67" i="67" s="1"/>
  <c r="AQ67" i="67" s="1"/>
  <c r="Z98" i="67"/>
  <c r="Z67" i="67" s="1"/>
  <c r="BC67" i="67" s="1"/>
  <c r="K99" i="67"/>
  <c r="K68" i="67" s="1"/>
  <c r="AN68" i="67" s="1"/>
  <c r="W99" i="67"/>
  <c r="W68" i="67" s="1"/>
  <c r="AZ68" i="67" s="1"/>
  <c r="AI99" i="67"/>
  <c r="AI68" i="67" s="1"/>
  <c r="BL68" i="67" s="1"/>
  <c r="T100" i="67"/>
  <c r="T69" i="67" s="1"/>
  <c r="AW69" i="67" s="1"/>
  <c r="Q101" i="67"/>
  <c r="Q70" i="67" s="1"/>
  <c r="AT70" i="67" s="1"/>
  <c r="N102" i="67"/>
  <c r="N71" i="67" s="1"/>
  <c r="AQ71" i="67" s="1"/>
  <c r="Z102" i="67"/>
  <c r="Z71" i="67" s="1"/>
  <c r="BC71" i="67" s="1"/>
  <c r="P77" i="67"/>
  <c r="P46" i="67" s="1"/>
  <c r="AS46" i="67" s="1"/>
  <c r="R78" i="67"/>
  <c r="R47" i="67" s="1"/>
  <c r="AU47" i="67" s="1"/>
  <c r="V94" i="67"/>
  <c r="V63" i="67" s="1"/>
  <c r="AY63" i="67" s="1"/>
  <c r="O76" i="67"/>
  <c r="O45" i="67" s="1"/>
  <c r="AR45" i="67" s="1"/>
  <c r="T81" i="67"/>
  <c r="T50" i="67" s="1"/>
  <c r="AW50" i="67" s="1"/>
  <c r="O83" i="67"/>
  <c r="O52" i="67" s="1"/>
  <c r="AR52" i="67" s="1"/>
  <c r="X89" i="67"/>
  <c r="X58" i="67" s="1"/>
  <c r="BA58" i="67" s="1"/>
  <c r="N79" i="67"/>
  <c r="N48" i="67" s="1"/>
  <c r="AQ48" i="67" s="1"/>
  <c r="N88" i="67"/>
  <c r="N57" i="67" s="1"/>
  <c r="AQ57" i="67" s="1"/>
  <c r="Q89" i="67"/>
  <c r="Q58" i="67" s="1"/>
  <c r="AT58" i="67" s="1"/>
  <c r="AC89" i="67"/>
  <c r="AC58" i="67" s="1"/>
  <c r="BF58" i="67" s="1"/>
  <c r="P92" i="67"/>
  <c r="P61" i="67" s="1"/>
  <c r="AS61" i="67" s="1"/>
  <c r="O93" i="67"/>
  <c r="O62" i="67" s="1"/>
  <c r="AR62" i="67" s="1"/>
  <c r="S93" i="67"/>
  <c r="S62" i="67" s="1"/>
  <c r="AV62" i="67" s="1"/>
  <c r="W96" i="67"/>
  <c r="W65" i="67" s="1"/>
  <c r="AZ65" i="67" s="1"/>
  <c r="AE96" i="67"/>
  <c r="AE65" i="67" s="1"/>
  <c r="BH65" i="67" s="1"/>
  <c r="Q98" i="67"/>
  <c r="Q67" i="67" s="1"/>
  <c r="AT67" i="67" s="1"/>
  <c r="AC98" i="67"/>
  <c r="AC67" i="67" s="1"/>
  <c r="BF67" i="67" s="1"/>
  <c r="R99" i="67"/>
  <c r="R68" i="67" s="1"/>
  <c r="AU68" i="67" s="1"/>
  <c r="Z99" i="67"/>
  <c r="Z68" i="67" s="1"/>
  <c r="BC68" i="67" s="1"/>
  <c r="K100" i="67"/>
  <c r="K69" i="67" s="1"/>
  <c r="AN69" i="67" s="1"/>
  <c r="S100" i="67"/>
  <c r="S69" i="67" s="1"/>
  <c r="AV69" i="67" s="1"/>
  <c r="W100" i="67"/>
  <c r="W69" i="67" s="1"/>
  <c r="AZ69" i="67" s="1"/>
  <c r="AE100" i="67"/>
  <c r="AE69" i="67" s="1"/>
  <c r="BH69" i="67" s="1"/>
  <c r="AI100" i="67"/>
  <c r="AI69" i="67" s="1"/>
  <c r="BL69" i="67" s="1"/>
  <c r="T101" i="67"/>
  <c r="T70" i="67" s="1"/>
  <c r="AW70" i="67" s="1"/>
  <c r="AB101" i="67"/>
  <c r="AB70" i="67" s="1"/>
  <c r="BE70" i="67" s="1"/>
  <c r="M102" i="67"/>
  <c r="M71" i="67" s="1"/>
  <c r="AP71" i="67" s="1"/>
  <c r="Y102" i="67"/>
  <c r="Y71" i="67" s="1"/>
  <c r="BB71" i="67" s="1"/>
  <c r="AC102" i="67"/>
  <c r="AC71" i="67" s="1"/>
  <c r="BF71" i="67" s="1"/>
  <c r="AE97" i="67"/>
  <c r="AE66" i="67" s="1"/>
  <c r="BH66" i="67" s="1"/>
  <c r="P98" i="67"/>
  <c r="P67" i="67" s="1"/>
  <c r="AS67" i="67" s="1"/>
  <c r="AB98" i="67"/>
  <c r="AB67" i="67" s="1"/>
  <c r="BE67" i="67" s="1"/>
  <c r="L76" i="67"/>
  <c r="L45" i="67" s="1"/>
  <c r="AO45" i="67" s="1"/>
  <c r="R80" i="67"/>
  <c r="R49" i="67" s="1"/>
  <c r="AU49" i="67" s="1"/>
  <c r="AA100" i="67"/>
  <c r="AA69" i="67" s="1"/>
  <c r="BD69" i="67" s="1"/>
  <c r="X90" i="67"/>
  <c r="X59" i="67" s="1"/>
  <c r="BA59" i="67" s="1"/>
  <c r="O74" i="67"/>
  <c r="O43" i="67" s="1"/>
  <c r="AR43" i="67" s="1"/>
  <c r="O77" i="67"/>
  <c r="O46" i="67" s="1"/>
  <c r="AR46" i="67" s="1"/>
  <c r="R79" i="67"/>
  <c r="R48" i="67" s="1"/>
  <c r="AU48" i="67" s="1"/>
  <c r="R88" i="67"/>
  <c r="R57" i="67" s="1"/>
  <c r="AU57" i="67" s="1"/>
  <c r="X91" i="67"/>
  <c r="X60" i="67" s="1"/>
  <c r="BA60" i="67" s="1"/>
  <c r="L92" i="67"/>
  <c r="L61" i="67" s="1"/>
  <c r="AO61" i="67" s="1"/>
  <c r="K93" i="67"/>
  <c r="K62" i="67" s="1"/>
  <c r="AN62" i="67" s="1"/>
  <c r="W93" i="67"/>
  <c r="W62" i="67" s="1"/>
  <c r="AZ62" i="67" s="1"/>
  <c r="U98" i="67"/>
  <c r="U67" i="67" s="1"/>
  <c r="AX67" i="67" s="1"/>
  <c r="AG98" i="67"/>
  <c r="AG67" i="67" s="1"/>
  <c r="BJ67" i="67" s="1"/>
  <c r="M76" i="67"/>
  <c r="M45" i="67" s="1"/>
  <c r="AP45" i="67" s="1"/>
  <c r="S80" i="67"/>
  <c r="S49" i="67" s="1"/>
  <c r="AV49" i="67" s="1"/>
  <c r="U84" i="67"/>
  <c r="S88" i="67"/>
  <c r="S57" i="67" s="1"/>
  <c r="AV57" i="67" s="1"/>
  <c r="W89" i="67"/>
  <c r="W58" i="67" s="1"/>
  <c r="AZ58" i="67" s="1"/>
  <c r="Y90" i="67"/>
  <c r="Y59" i="67" s="1"/>
  <c r="BB59" i="67" s="1"/>
  <c r="T95" i="67"/>
  <c r="T64" i="67" s="1"/>
  <c r="AW64" i="67" s="1"/>
  <c r="T82" i="67"/>
  <c r="Q83" i="67"/>
  <c r="Q52" i="67" s="1"/>
  <c r="AT52" i="67" s="1"/>
  <c r="S87" i="67"/>
  <c r="S56" i="67" s="1"/>
  <c r="AV56" i="67" s="1"/>
  <c r="K88" i="67"/>
  <c r="K57" i="67" s="1"/>
  <c r="AN57" i="67" s="1"/>
  <c r="N89" i="67"/>
  <c r="N58" i="67" s="1"/>
  <c r="AQ58" i="67" s="1"/>
  <c r="AC92" i="67"/>
  <c r="AC61" i="67" s="1"/>
  <c r="BF61" i="67" s="1"/>
  <c r="N94" i="67"/>
  <c r="N63" i="67" s="1"/>
  <c r="AQ63" i="67" s="1"/>
  <c r="K75" i="67"/>
  <c r="K44" i="67" s="1"/>
  <c r="AN44" i="67" s="1"/>
  <c r="U80" i="67"/>
  <c r="R82" i="67"/>
  <c r="R51" i="67" s="1"/>
  <c r="AU51" i="67" s="1"/>
  <c r="Z90" i="67"/>
  <c r="Z59" i="67" s="1"/>
  <c r="BC59" i="67" s="1"/>
  <c r="L94" i="67"/>
  <c r="L63" i="67" s="1"/>
  <c r="AO63" i="67" s="1"/>
  <c r="R100" i="67"/>
  <c r="R69" i="67" s="1"/>
  <c r="AU69" i="67" s="1"/>
  <c r="AD100" i="67"/>
  <c r="AD69" i="67" s="1"/>
  <c r="BG69" i="67" s="1"/>
  <c r="L102" i="67"/>
  <c r="L71" i="67" s="1"/>
  <c r="AO71" i="67" s="1"/>
  <c r="X102" i="67"/>
  <c r="X71" i="67" s="1"/>
  <c r="BA71" i="67" s="1"/>
  <c r="U82" i="67"/>
  <c r="U51" i="67" s="1"/>
  <c r="AX51" i="67" s="1"/>
  <c r="I85" i="67"/>
  <c r="I54" i="67" s="1"/>
  <c r="AL54" i="67" s="1"/>
  <c r="U85" i="67"/>
  <c r="U54" i="67" s="1"/>
  <c r="AX54" i="67" s="1"/>
  <c r="L88" i="67"/>
  <c r="L57" i="67" s="1"/>
  <c r="AO57" i="67" s="1"/>
  <c r="AA89" i="67"/>
  <c r="AA58" i="67" s="1"/>
  <c r="BD58" i="67" s="1"/>
  <c r="Q90" i="67"/>
  <c r="Q59" i="67" s="1"/>
  <c r="AT59" i="67" s="1"/>
  <c r="R91" i="67"/>
  <c r="R60" i="67" s="1"/>
  <c r="AU60" i="67" s="1"/>
  <c r="AD91" i="67"/>
  <c r="AD60" i="67" s="1"/>
  <c r="BG60" i="67" s="1"/>
  <c r="L95" i="67"/>
  <c r="L64" i="67" s="1"/>
  <c r="AO64" i="67" s="1"/>
  <c r="L99" i="67"/>
  <c r="L68" i="67" s="1"/>
  <c r="AO68" i="67" s="1"/>
  <c r="X99" i="67"/>
  <c r="X68" i="67" s="1"/>
  <c r="BA68" i="67" s="1"/>
  <c r="U100" i="67"/>
  <c r="U69" i="67" s="1"/>
  <c r="AX69" i="67" s="1"/>
  <c r="O102" i="67"/>
  <c r="O71" i="67" s="1"/>
  <c r="AR71" i="67" s="1"/>
  <c r="J75" i="67"/>
  <c r="J44" i="67" s="1"/>
  <c r="AM44" i="67" s="1"/>
  <c r="S78" i="67"/>
  <c r="S47" i="67" s="1"/>
  <c r="AV47" i="67" s="1"/>
  <c r="N83" i="67"/>
  <c r="N52" i="67" s="1"/>
  <c r="AQ52" i="67" s="1"/>
  <c r="Q85" i="67"/>
  <c r="Q54" i="67" s="1"/>
  <c r="AT54" i="67" s="1"/>
  <c r="M90" i="67"/>
  <c r="M59" i="67" s="1"/>
  <c r="AP59" i="67" s="1"/>
  <c r="N92" i="67"/>
  <c r="N61" i="67" s="1"/>
  <c r="AQ61" i="67" s="1"/>
  <c r="M93" i="67"/>
  <c r="M62" i="67" s="1"/>
  <c r="AP62" i="67" s="1"/>
  <c r="Y93" i="67"/>
  <c r="Y62" i="67" s="1"/>
  <c r="BB62" i="67" s="1"/>
  <c r="K102" i="67"/>
  <c r="K71" i="67" s="1"/>
  <c r="AN71" i="67" s="1"/>
  <c r="Q78" i="67"/>
  <c r="Q47" i="67" s="1"/>
  <c r="AT47" i="67" s="1"/>
  <c r="Q81" i="67"/>
  <c r="Q50" i="67" s="1"/>
  <c r="AT50" i="67" s="1"/>
  <c r="O82" i="67"/>
  <c r="O51" i="67" s="1"/>
  <c r="AR51" i="67" s="1"/>
  <c r="L83" i="67"/>
  <c r="L52" i="67" s="1"/>
  <c r="AO52" i="67" s="1"/>
  <c r="X83" i="67"/>
  <c r="X52" i="67" s="1"/>
  <c r="BA52" i="67" s="1"/>
  <c r="T84" i="67"/>
  <c r="T53" i="67" s="1"/>
  <c r="AW53" i="67" s="1"/>
  <c r="O85" i="67"/>
  <c r="O54" i="67" s="1"/>
  <c r="AR54" i="67" s="1"/>
  <c r="I86" i="67"/>
  <c r="I55" i="67" s="1"/>
  <c r="AL55" i="67" s="1"/>
  <c r="U86" i="67"/>
  <c r="U55" i="67" s="1"/>
  <c r="AX55" i="67" s="1"/>
  <c r="I89" i="67"/>
  <c r="I58" i="67" s="1"/>
  <c r="AL58" i="67" s="1"/>
  <c r="U89" i="67"/>
  <c r="U58" i="67" s="1"/>
  <c r="AX58" i="67" s="1"/>
  <c r="K90" i="67"/>
  <c r="K59" i="67" s="1"/>
  <c r="AN59" i="67" s="1"/>
  <c r="W90" i="67"/>
  <c r="W59" i="67" s="1"/>
  <c r="AZ59" i="67" s="1"/>
  <c r="L91" i="67"/>
  <c r="L60" i="67" s="1"/>
  <c r="AO60" i="67" s="1"/>
  <c r="X92" i="67"/>
  <c r="X61" i="67" s="1"/>
  <c r="BA61" i="67" s="1"/>
  <c r="AG94" i="67"/>
  <c r="AG63" i="67" s="1"/>
  <c r="BJ63" i="67" s="1"/>
  <c r="AD95" i="67"/>
  <c r="AD64" i="67" s="1"/>
  <c r="BG64" i="67" s="1"/>
  <c r="AA96" i="67"/>
  <c r="AA65" i="67" s="1"/>
  <c r="BD65" i="67" s="1"/>
  <c r="X97" i="67"/>
  <c r="X66" i="67" s="1"/>
  <c r="BA66" i="67" s="1"/>
  <c r="I98" i="67"/>
  <c r="I67" i="67" s="1"/>
  <c r="AL67" i="67" s="1"/>
  <c r="O100" i="67"/>
  <c r="O69" i="67" s="1"/>
  <c r="AR69" i="67" s="1"/>
  <c r="L101" i="67"/>
  <c r="L70" i="67" s="1"/>
  <c r="AO70" i="67" s="1"/>
  <c r="X101" i="67"/>
  <c r="X70" i="67" s="1"/>
  <c r="BA70" i="67" s="1"/>
  <c r="I102" i="67"/>
  <c r="I71" i="67" s="1"/>
  <c r="AL71" i="67" s="1"/>
  <c r="U102" i="67"/>
  <c r="U71" i="67" s="1"/>
  <c r="AX71" i="67" s="1"/>
  <c r="AG102" i="67"/>
  <c r="AG71" i="67" s="1"/>
  <c r="BJ71" i="67" s="1"/>
  <c r="L86" i="67"/>
  <c r="L55" i="67" s="1"/>
  <c r="AO55" i="67" s="1"/>
  <c r="I88" i="67"/>
  <c r="I57" i="67" s="1"/>
  <c r="AL57" i="67" s="1"/>
  <c r="U88" i="67"/>
  <c r="U57" i="67" s="1"/>
  <c r="AX57" i="67" s="1"/>
  <c r="L89" i="67"/>
  <c r="L58" i="67" s="1"/>
  <c r="AO58" i="67" s="1"/>
  <c r="N90" i="67"/>
  <c r="N59" i="67" s="1"/>
  <c r="AQ59" i="67" s="1"/>
  <c r="O91" i="67"/>
  <c r="O60" i="67" s="1"/>
  <c r="AR60" i="67" s="1"/>
  <c r="AA91" i="67"/>
  <c r="AA60" i="67" s="1"/>
  <c r="BD60" i="67" s="1"/>
  <c r="AA92" i="67"/>
  <c r="AA61" i="67" s="1"/>
  <c r="BD61" i="67" s="1"/>
  <c r="N93" i="67"/>
  <c r="N62" i="67" s="1"/>
  <c r="AQ62" i="67" s="1"/>
  <c r="X94" i="67"/>
  <c r="X63" i="67" s="1"/>
  <c r="BA63" i="67" s="1"/>
  <c r="L98" i="67"/>
  <c r="L67" i="67" s="1"/>
  <c r="AO67" i="67" s="1"/>
  <c r="O101" i="67"/>
  <c r="O70" i="67" s="1"/>
  <c r="AR70" i="67" s="1"/>
  <c r="N76" i="67"/>
  <c r="N45" i="67" s="1"/>
  <c r="AQ45" i="67" s="1"/>
  <c r="T80" i="67"/>
  <c r="T49" i="67" s="1"/>
  <c r="AW49" i="67" s="1"/>
  <c r="S81" i="67"/>
  <c r="S50" i="67" s="1"/>
  <c r="AV50" i="67" s="1"/>
  <c r="K89" i="67"/>
  <c r="K58" i="67" s="1"/>
  <c r="AN58" i="67" s="1"/>
  <c r="N91" i="67"/>
  <c r="N60" i="67" s="1"/>
  <c r="AQ60" i="67" s="1"/>
  <c r="Z91" i="67"/>
  <c r="Z60" i="67" s="1"/>
  <c r="BC60" i="67" s="1"/>
  <c r="Z92" i="67"/>
  <c r="Z61" i="67" s="1"/>
  <c r="BC61" i="67" s="1"/>
  <c r="K94" i="67"/>
  <c r="K63" i="67" s="1"/>
  <c r="AN63" i="67" s="1"/>
  <c r="W94" i="67"/>
  <c r="W63" i="67" s="1"/>
  <c r="AZ63" i="67" s="1"/>
  <c r="I75" i="67"/>
  <c r="I44" i="67" s="1"/>
  <c r="AL44" i="67" s="1"/>
  <c r="S79" i="67"/>
  <c r="S48" i="67" s="1"/>
  <c r="AV48" i="67" s="1"/>
  <c r="P82" i="67"/>
  <c r="P51" i="67" s="1"/>
  <c r="AS51" i="67" s="1"/>
  <c r="M83" i="67"/>
  <c r="M52" i="67" s="1"/>
  <c r="AP52" i="67" s="1"/>
  <c r="I84" i="67"/>
  <c r="I53" i="67" s="1"/>
  <c r="AL53" i="67" s="1"/>
  <c r="P85" i="67"/>
  <c r="P54" i="67" s="1"/>
  <c r="AS54" i="67" s="1"/>
  <c r="V86" i="67"/>
  <c r="V55" i="67" s="1"/>
  <c r="AY55" i="67" s="1"/>
  <c r="O87" i="67"/>
  <c r="O56" i="67" s="1"/>
  <c r="AR56" i="67" s="1"/>
  <c r="AA87" i="67"/>
  <c r="AA56" i="67" s="1"/>
  <c r="BD56" i="67" s="1"/>
  <c r="J89" i="67"/>
  <c r="J58" i="67" s="1"/>
  <c r="AM58" i="67" s="1"/>
  <c r="V89" i="67"/>
  <c r="V58" i="67" s="1"/>
  <c r="AY58" i="67" s="1"/>
  <c r="L90" i="67"/>
  <c r="L59" i="67" s="1"/>
  <c r="AO59" i="67" s="1"/>
  <c r="M91" i="67"/>
  <c r="M60" i="67" s="1"/>
  <c r="AP60" i="67" s="1"/>
  <c r="Y91" i="67"/>
  <c r="Y60" i="67" s="1"/>
  <c r="BB60" i="67" s="1"/>
  <c r="Y92" i="67"/>
  <c r="Y61" i="67" s="1"/>
  <c r="BB61" i="67" s="1"/>
  <c r="L93" i="67"/>
  <c r="L62" i="67" s="1"/>
  <c r="AO62" i="67" s="1"/>
  <c r="AH94" i="67"/>
  <c r="AH63" i="67" s="1"/>
  <c r="BK63" i="67" s="1"/>
  <c r="S95" i="67"/>
  <c r="S64" i="67" s="1"/>
  <c r="AV64" i="67" s="1"/>
  <c r="AB96" i="67"/>
  <c r="AB65" i="67" s="1"/>
  <c r="BE65" i="67" s="1"/>
  <c r="M97" i="67"/>
  <c r="M66" i="67" s="1"/>
  <c r="AP66" i="67" s="1"/>
  <c r="Y97" i="67"/>
  <c r="Y66" i="67" s="1"/>
  <c r="BB66" i="67" s="1"/>
  <c r="J98" i="67"/>
  <c r="J67" i="67" s="1"/>
  <c r="AM67" i="67" s="1"/>
  <c r="AH98" i="67"/>
  <c r="AH67" i="67" s="1"/>
  <c r="BK67" i="67" s="1"/>
  <c r="S99" i="67"/>
  <c r="S68" i="67" s="1"/>
  <c r="AV68" i="67" s="1"/>
  <c r="AE99" i="67"/>
  <c r="AE68" i="67" s="1"/>
  <c r="BH68" i="67" s="1"/>
  <c r="P100" i="67"/>
  <c r="P69" i="67" s="1"/>
  <c r="AS69" i="67" s="1"/>
  <c r="AB100" i="67"/>
  <c r="AB69" i="67" s="1"/>
  <c r="BE69" i="67" s="1"/>
  <c r="M101" i="67"/>
  <c r="M70" i="67" s="1"/>
  <c r="AP70" i="67" s="1"/>
  <c r="Y101" i="67"/>
  <c r="Y70" i="67" s="1"/>
  <c r="BB70" i="67" s="1"/>
  <c r="J102" i="67"/>
  <c r="J71" i="67" s="1"/>
  <c r="AM71" i="67" s="1"/>
  <c r="V102" i="67"/>
  <c r="V71" i="67" s="1"/>
  <c r="AY71" i="67" s="1"/>
  <c r="AH102" i="67"/>
  <c r="AH71" i="67" s="1"/>
  <c r="BK71" i="67" s="1"/>
  <c r="I78" i="67"/>
  <c r="I47" i="67" s="1"/>
  <c r="AL47" i="67" s="1"/>
  <c r="U81" i="67"/>
  <c r="U50" i="67" s="1"/>
  <c r="AX50" i="67" s="1"/>
  <c r="P83" i="67"/>
  <c r="P52" i="67" s="1"/>
  <c r="AS52" i="67" s="1"/>
  <c r="X84" i="67"/>
  <c r="X53" i="67" s="1"/>
  <c r="BA53" i="67" s="1"/>
  <c r="M89" i="67"/>
  <c r="M58" i="67" s="1"/>
  <c r="AP58" i="67" s="1"/>
  <c r="Y89" i="67"/>
  <c r="Y58" i="67" s="1"/>
  <c r="BB58" i="67" s="1"/>
  <c r="O90" i="67"/>
  <c r="O59" i="67" s="1"/>
  <c r="AR59" i="67" s="1"/>
  <c r="AA90" i="67"/>
  <c r="AA59" i="67" s="1"/>
  <c r="BD59" i="67" s="1"/>
  <c r="AB92" i="67"/>
  <c r="AB61" i="67" s="1"/>
  <c r="BE61" i="67" s="1"/>
  <c r="AA93" i="67"/>
  <c r="AA62" i="67" s="1"/>
  <c r="BD62" i="67" s="1"/>
  <c r="I82" i="67"/>
  <c r="I51" i="67" s="1"/>
  <c r="AL51" i="67" s="1"/>
  <c r="R92" i="67"/>
  <c r="R61" i="67" s="1"/>
  <c r="AU61" i="67" s="1"/>
  <c r="AD92" i="67"/>
  <c r="AD61" i="67" s="1"/>
  <c r="BG61" i="67" s="1"/>
  <c r="Q93" i="67"/>
  <c r="Q62" i="67" s="1"/>
  <c r="AT62" i="67" s="1"/>
  <c r="AC93" i="67"/>
  <c r="AC62" i="67" s="1"/>
  <c r="BF62" i="67" s="1"/>
  <c r="O94" i="67"/>
  <c r="O63" i="67" s="1"/>
  <c r="AR63" i="67" s="1"/>
  <c r="AA94" i="67"/>
  <c r="AA63" i="67" s="1"/>
  <c r="BD63" i="67" s="1"/>
  <c r="X95" i="67"/>
  <c r="X64" i="67" s="1"/>
  <c r="BA64" i="67" s="1"/>
  <c r="I96" i="67"/>
  <c r="I65" i="67" s="1"/>
  <c r="AL65" i="67" s="1"/>
  <c r="U96" i="67"/>
  <c r="U65" i="67" s="1"/>
  <c r="AX65" i="67" s="1"/>
  <c r="AG96" i="67"/>
  <c r="AG65" i="67" s="1"/>
  <c r="BJ65" i="67" s="1"/>
  <c r="R97" i="67"/>
  <c r="R66" i="67" s="1"/>
  <c r="AU66" i="67" s="1"/>
  <c r="AD97" i="67"/>
  <c r="AD66" i="67" s="1"/>
  <c r="BG66" i="67" s="1"/>
  <c r="O98" i="67"/>
  <c r="O67" i="67" s="1"/>
  <c r="AR67" i="67" s="1"/>
  <c r="AA98" i="67"/>
  <c r="AA67" i="67" s="1"/>
  <c r="BD67" i="67" s="1"/>
  <c r="M75" i="67"/>
  <c r="M44" i="67" s="1"/>
  <c r="AP44" i="67" s="1"/>
  <c r="K79" i="67"/>
  <c r="K48" i="67" s="1"/>
  <c r="AN48" i="67" s="1"/>
  <c r="J81" i="67"/>
  <c r="J50" i="67" s="1"/>
  <c r="AM50" i="67" s="1"/>
  <c r="Y84" i="67"/>
  <c r="Y53" i="67" s="1"/>
  <c r="BB53" i="67" s="1"/>
  <c r="AB90" i="67"/>
  <c r="AB59" i="67" s="1"/>
  <c r="BE59" i="67" s="1"/>
  <c r="P93" i="67"/>
  <c r="P62" i="67" s="1"/>
  <c r="AS62" i="67" s="1"/>
  <c r="I74" i="67"/>
  <c r="I43" i="67" s="1"/>
  <c r="AL43" i="67" s="1"/>
  <c r="L80" i="67"/>
  <c r="L49" i="67" s="1"/>
  <c r="AO49" i="67" s="1"/>
  <c r="N84" i="67"/>
  <c r="N53" i="67" s="1"/>
  <c r="AQ53" i="67" s="1"/>
  <c r="O86" i="67"/>
  <c r="O55" i="67" s="1"/>
  <c r="AR55" i="67" s="1"/>
  <c r="O89" i="67"/>
  <c r="O58" i="67" s="1"/>
  <c r="AR58" i="67" s="1"/>
  <c r="J76" i="67"/>
  <c r="J45" i="67" s="1"/>
  <c r="AM45" i="67" s="1"/>
  <c r="J78" i="67"/>
  <c r="J47" i="67" s="1"/>
  <c r="AM47" i="67" s="1"/>
  <c r="V81" i="67"/>
  <c r="V50" i="67" s="1"/>
  <c r="AY50" i="67" s="1"/>
  <c r="T85" i="67"/>
  <c r="T54" i="67" s="1"/>
  <c r="AW54" i="67" s="1"/>
  <c r="P90" i="67"/>
  <c r="P59" i="67" s="1"/>
  <c r="AS59" i="67" s="1"/>
  <c r="AB93" i="67"/>
  <c r="AB62" i="67" s="1"/>
  <c r="BE62" i="67" s="1"/>
  <c r="I77" i="67"/>
  <c r="I46" i="67" s="1"/>
  <c r="AL46" i="67" s="1"/>
  <c r="K78" i="67"/>
  <c r="K47" i="67" s="1"/>
  <c r="AN47" i="67" s="1"/>
  <c r="K74" i="67"/>
  <c r="K43" i="67" s="1"/>
  <c r="AN43" i="67" s="1"/>
  <c r="P75" i="67"/>
  <c r="P44" i="67" s="1"/>
  <c r="AS44" i="67" s="1"/>
  <c r="K77" i="67"/>
  <c r="K46" i="67" s="1"/>
  <c r="AN46" i="67" s="1"/>
  <c r="M78" i="67"/>
  <c r="M47" i="67" s="1"/>
  <c r="AP47" i="67" s="1"/>
  <c r="N80" i="67"/>
  <c r="N49" i="67" s="1"/>
  <c r="AQ49" i="67" s="1"/>
  <c r="M81" i="67"/>
  <c r="M50" i="67" s="1"/>
  <c r="AP50" i="67" s="1"/>
  <c r="K82" i="67"/>
  <c r="K51" i="67" s="1"/>
  <c r="AN51" i="67" s="1"/>
  <c r="W82" i="67"/>
  <c r="W51" i="67" s="1"/>
  <c r="AZ51" i="67" s="1"/>
  <c r="T83" i="67"/>
  <c r="T52" i="67" s="1"/>
  <c r="AW52" i="67" s="1"/>
  <c r="P84" i="67"/>
  <c r="P53" i="67" s="1"/>
  <c r="AS53" i="67" s="1"/>
  <c r="AE90" i="67"/>
  <c r="AE59" i="67" s="1"/>
  <c r="BH59" i="67" s="1"/>
  <c r="AF97" i="67"/>
  <c r="AF66" i="67" s="1"/>
  <c r="BI66" i="67" s="1"/>
  <c r="AG95" i="67"/>
  <c r="AG64" i="67" s="1"/>
  <c r="BJ64" i="67" s="1"/>
  <c r="AF101" i="67"/>
  <c r="AF70" i="67" s="1"/>
  <c r="BI70" i="67" s="1"/>
  <c r="AF95" i="67"/>
  <c r="AF64" i="67" s="1"/>
  <c r="BI64" i="67" s="1"/>
  <c r="T51" i="67"/>
  <c r="AW51" i="67" s="1"/>
  <c r="I70" i="67"/>
  <c r="AL70" i="67" s="1"/>
  <c r="I94" i="67"/>
  <c r="I63" i="67" s="1"/>
  <c r="AL63" i="67" s="1"/>
  <c r="U94" i="67"/>
  <c r="U63" i="67" s="1"/>
  <c r="AX63" i="67" s="1"/>
  <c r="R95" i="67"/>
  <c r="R64" i="67" s="1"/>
  <c r="AU64" i="67" s="1"/>
  <c r="O96" i="67"/>
  <c r="O65" i="67" s="1"/>
  <c r="AR65" i="67" s="1"/>
  <c r="L97" i="67"/>
  <c r="L66" i="67" s="1"/>
  <c r="AO66" i="67" s="1"/>
  <c r="AD99" i="67"/>
  <c r="AD68" i="67" s="1"/>
  <c r="BG68" i="67" s="1"/>
  <c r="J43" i="67"/>
  <c r="AM43" i="67" s="1"/>
  <c r="U53" i="67"/>
  <c r="AX53" i="67" s="1"/>
  <c r="U49" i="67"/>
  <c r="AX49" i="67" s="1"/>
  <c r="F155" i="67"/>
  <c r="W86" i="67"/>
  <c r="W55" i="67" s="1"/>
  <c r="AZ55" i="67" s="1"/>
  <c r="AC96" i="67"/>
  <c r="AC65" i="67" s="1"/>
  <c r="BF65" i="67" s="1"/>
  <c r="AI98" i="67"/>
  <c r="AI67" i="67" s="1"/>
  <c r="BL67" i="67" s="1"/>
  <c r="Q100" i="67"/>
  <c r="Q69" i="67" s="1"/>
  <c r="AT69" i="67" s="1"/>
  <c r="W88" i="67"/>
  <c r="W57" i="67" s="1"/>
  <c r="AZ57" i="67" s="1"/>
  <c r="F186" i="67"/>
  <c r="Q82" i="67"/>
  <c r="Q51" i="67" s="1"/>
  <c r="AT51" i="67" s="1"/>
  <c r="K86" i="67"/>
  <c r="K55" i="67" s="1"/>
  <c r="AN55" i="67" s="1"/>
  <c r="AB87" i="67"/>
  <c r="AB56" i="67" s="1"/>
  <c r="BE56" i="67" s="1"/>
  <c r="T88" i="67"/>
  <c r="T57" i="67" s="1"/>
  <c r="AW57" i="67" s="1"/>
  <c r="Q96" i="67"/>
  <c r="Q65" i="67" s="1"/>
  <c r="AT65" i="67" s="1"/>
  <c r="Z97" i="67"/>
  <c r="Z66" i="67" s="1"/>
  <c r="BC66" i="67" s="1"/>
  <c r="K98" i="67"/>
  <c r="K67" i="67" s="1"/>
  <c r="AN67" i="67" s="1"/>
  <c r="T99" i="67"/>
  <c r="T68" i="67" s="1"/>
  <c r="AW68" i="67" s="1"/>
  <c r="AF99" i="67"/>
  <c r="AF68" i="67" s="1"/>
  <c r="BI68" i="67" s="1"/>
  <c r="N101" i="67"/>
  <c r="N70" i="67" s="1"/>
  <c r="AQ70" i="67" s="1"/>
  <c r="Z101" i="67"/>
  <c r="Z70" i="67" s="1"/>
  <c r="BC70" i="67" s="1"/>
  <c r="K80" i="67"/>
  <c r="K49" i="67" s="1"/>
  <c r="AN49" i="67" s="1"/>
  <c r="M84" i="67"/>
  <c r="M53" i="67" s="1"/>
  <c r="AP53" i="67" s="1"/>
  <c r="N86" i="67"/>
  <c r="N55" i="67" s="1"/>
  <c r="AQ55" i="67" s="1"/>
  <c r="Q91" i="67"/>
  <c r="Q60" i="67" s="1"/>
  <c r="AT60" i="67" s="1"/>
  <c r="Q92" i="67"/>
  <c r="Q61" i="67" s="1"/>
  <c r="AT61" i="67" s="1"/>
  <c r="AC101" i="67"/>
  <c r="AC70" i="67" s="1"/>
  <c r="BF70" i="67" s="1"/>
  <c r="P87" i="67"/>
  <c r="P56" i="67" s="1"/>
  <c r="AS56" i="67" s="1"/>
  <c r="N97" i="67"/>
  <c r="N66" i="67" s="1"/>
  <c r="AQ66" i="67" s="1"/>
  <c r="W98" i="67"/>
  <c r="W67" i="67" s="1"/>
  <c r="AZ67" i="67" s="1"/>
  <c r="AC100" i="67"/>
  <c r="AC69" i="67" s="1"/>
  <c r="BF69" i="67" s="1"/>
  <c r="AC91" i="67"/>
  <c r="AC60" i="67" s="1"/>
  <c r="BF60" i="67" s="1"/>
  <c r="P76" i="67"/>
  <c r="P45" i="67" s="1"/>
  <c r="AS45" i="67" s="1"/>
  <c r="J79" i="67"/>
  <c r="J48" i="67" s="1"/>
  <c r="AM48" i="67" s="1"/>
  <c r="J80" i="67"/>
  <c r="Z62" i="67"/>
  <c r="BC62" i="67" s="1"/>
  <c r="F103" i="67"/>
  <c r="F498" i="67"/>
  <c r="L84" i="67"/>
  <c r="L53" i="67" s="1"/>
  <c r="AO53" i="67" s="1"/>
  <c r="S85" i="67"/>
  <c r="S54" i="67" s="1"/>
  <c r="AV54" i="67" s="1"/>
  <c r="M86" i="67"/>
  <c r="M55" i="67" s="1"/>
  <c r="AP55" i="67" s="1"/>
  <c r="Y86" i="67"/>
  <c r="Y55" i="67" s="1"/>
  <c r="BB55" i="67" s="1"/>
  <c r="J88" i="67"/>
  <c r="J57" i="67" s="1"/>
  <c r="AM57" i="67" s="1"/>
  <c r="P91" i="67"/>
  <c r="P60" i="67" s="1"/>
  <c r="AS60" i="67" s="1"/>
  <c r="AB91" i="67"/>
  <c r="AB60" i="67" s="1"/>
  <c r="BE60" i="67" s="1"/>
  <c r="Y94" i="67"/>
  <c r="Y63" i="67" s="1"/>
  <c r="BB63" i="67" s="1"/>
  <c r="V95" i="67"/>
  <c r="V64" i="67" s="1"/>
  <c r="AY64" i="67" s="1"/>
  <c r="AH95" i="67"/>
  <c r="AH64" i="67" s="1"/>
  <c r="BK64" i="67" s="1"/>
  <c r="S96" i="67"/>
  <c r="S65" i="67" s="1"/>
  <c r="AV65" i="67" s="1"/>
  <c r="P97" i="67"/>
  <c r="P66" i="67" s="1"/>
  <c r="AS66" i="67" s="1"/>
  <c r="AB97" i="67"/>
  <c r="AB66" i="67" s="1"/>
  <c r="BE66" i="67" s="1"/>
  <c r="M98" i="67"/>
  <c r="M67" i="67" s="1"/>
  <c r="AP67" i="67" s="1"/>
  <c r="Y98" i="67"/>
  <c r="Y67" i="67" s="1"/>
  <c r="BB67" i="67" s="1"/>
  <c r="J99" i="67"/>
  <c r="V99" i="67"/>
  <c r="V68" i="67" s="1"/>
  <c r="AY68" i="67" s="1"/>
  <c r="AH99" i="67"/>
  <c r="AH68" i="67" s="1"/>
  <c r="BK68" i="67" s="1"/>
  <c r="AH97" i="67"/>
  <c r="AH66" i="67" s="1"/>
  <c r="BK66" i="67" s="1"/>
  <c r="S98" i="67"/>
  <c r="S67" i="67" s="1"/>
  <c r="AV67" i="67" s="1"/>
  <c r="AE98" i="67"/>
  <c r="AE67" i="67" s="1"/>
  <c r="BH67" i="67" s="1"/>
  <c r="W85" i="67"/>
  <c r="W54" i="67" s="1"/>
  <c r="AZ54" i="67" s="1"/>
  <c r="Q86" i="67"/>
  <c r="J87" i="67"/>
  <c r="J56" i="67" s="1"/>
  <c r="AM56" i="67" s="1"/>
  <c r="V87" i="67"/>
  <c r="V56" i="67" s="1"/>
  <c r="AY56" i="67" s="1"/>
  <c r="S90" i="67"/>
  <c r="S59" i="67" s="1"/>
  <c r="AV59" i="67" s="1"/>
  <c r="T91" i="67"/>
  <c r="T60" i="67" s="1"/>
  <c r="AW60" i="67" s="1"/>
  <c r="AF91" i="67"/>
  <c r="AF60" i="67" s="1"/>
  <c r="BI60" i="67" s="1"/>
  <c r="T92" i="67"/>
  <c r="T61" i="67" s="1"/>
  <c r="AW61" i="67" s="1"/>
  <c r="AF92" i="67"/>
  <c r="AF61" i="67" s="1"/>
  <c r="BI61" i="67" s="1"/>
  <c r="AE93" i="67"/>
  <c r="AE62" i="67" s="1"/>
  <c r="BH62" i="67" s="1"/>
  <c r="Q94" i="67"/>
  <c r="Q63" i="67" s="1"/>
  <c r="AT63" i="67" s="1"/>
  <c r="AC94" i="67"/>
  <c r="AC63" i="67" s="1"/>
  <c r="BF63" i="67" s="1"/>
  <c r="N95" i="67"/>
  <c r="N64" i="67" s="1"/>
  <c r="AQ64" i="67" s="1"/>
  <c r="Z95" i="67"/>
  <c r="Z64" i="67" s="1"/>
  <c r="BC64" i="67" s="1"/>
  <c r="Q102" i="67"/>
  <c r="Q71" i="67" s="1"/>
  <c r="AT71" i="67" s="1"/>
  <c r="N85" i="67"/>
  <c r="Q95" i="67"/>
  <c r="Q64" i="67" s="1"/>
  <c r="AT64" i="67" s="1"/>
  <c r="AC95" i="67"/>
  <c r="AC64" i="67" s="1"/>
  <c r="BF64" i="67" s="1"/>
  <c r="Z96" i="67"/>
  <c r="Z65" i="67" s="1"/>
  <c r="BC65" i="67" s="1"/>
  <c r="K97" i="67"/>
  <c r="K66" i="67" s="1"/>
  <c r="AN66" i="67" s="1"/>
  <c r="AF98" i="67"/>
  <c r="AF67" i="67" s="1"/>
  <c r="BI67" i="67" s="1"/>
  <c r="R81" i="67"/>
  <c r="R50" i="67" s="1"/>
  <c r="AU50" i="67" s="1"/>
  <c r="M92" i="67"/>
  <c r="M61" i="67" s="1"/>
  <c r="AP61" i="67" s="1"/>
  <c r="X93" i="67"/>
  <c r="X62" i="67" s="1"/>
  <c r="BA62" i="67" s="1"/>
  <c r="J94" i="67"/>
  <c r="J63" i="67" s="1"/>
  <c r="AM63" i="67" s="1"/>
  <c r="AE95" i="67"/>
  <c r="AE64" i="67" s="1"/>
  <c r="BH64" i="67" s="1"/>
  <c r="P96" i="67"/>
  <c r="P65" i="67" s="1"/>
  <c r="AS65" i="67" s="1"/>
  <c r="R77" i="67"/>
  <c r="R46" i="67" s="1"/>
  <c r="AU46" i="67" s="1"/>
  <c r="I80" i="67"/>
  <c r="I49" i="67" s="1"/>
  <c r="AL49" i="67" s="1"/>
  <c r="K84" i="67"/>
  <c r="K53" i="67" s="1"/>
  <c r="AN53" i="67" s="1"/>
  <c r="W84" i="67"/>
  <c r="W53" i="67" s="1"/>
  <c r="AZ53" i="67" s="1"/>
  <c r="R85" i="67"/>
  <c r="R54" i="67" s="1"/>
  <c r="AU54" i="67" s="1"/>
  <c r="X86" i="67"/>
  <c r="X55" i="67" s="1"/>
  <c r="BA55" i="67" s="1"/>
  <c r="Q87" i="67"/>
  <c r="Q56" i="67" s="1"/>
  <c r="AT56" i="67" s="1"/>
  <c r="O92" i="67"/>
  <c r="O61" i="67" s="1"/>
  <c r="AR61" i="67" s="1"/>
  <c r="I95" i="67"/>
  <c r="I64" i="67" s="1"/>
  <c r="AL64" i="67" s="1"/>
  <c r="U95" i="67"/>
  <c r="U64" i="67" s="1"/>
  <c r="AX64" i="67" s="1"/>
  <c r="R96" i="67"/>
  <c r="R65" i="67" s="1"/>
  <c r="AU65" i="67" s="1"/>
  <c r="AD96" i="67"/>
  <c r="AD65" i="67" s="1"/>
  <c r="BG65" i="67" s="1"/>
  <c r="O97" i="67"/>
  <c r="O66" i="67" s="1"/>
  <c r="AR66" i="67" s="1"/>
  <c r="AA97" i="67"/>
  <c r="AA66" i="67" s="1"/>
  <c r="BD66" i="67" s="1"/>
  <c r="X98" i="67"/>
  <c r="X67" i="67" s="1"/>
  <c r="BA67" i="67" s="1"/>
  <c r="I99" i="67"/>
  <c r="I68" i="67" s="1"/>
  <c r="AL68" i="67" s="1"/>
  <c r="U99" i="67"/>
  <c r="U68" i="67" s="1"/>
  <c r="AX68" i="67" s="1"/>
  <c r="AG99" i="67"/>
  <c r="AG68" i="67" s="1"/>
  <c r="BJ68" i="67" s="1"/>
  <c r="AA101" i="67"/>
  <c r="AA70" i="67" s="1"/>
  <c r="BD70" i="67" s="1"/>
  <c r="L79" i="67"/>
  <c r="L48" i="67" s="1"/>
  <c r="AO48" i="67" s="1"/>
  <c r="F225" i="67"/>
  <c r="F118" i="67"/>
  <c r="F298" i="67"/>
  <c r="F345" i="67"/>
  <c r="F526" i="67"/>
  <c r="F273" i="67"/>
  <c r="F185" i="67"/>
  <c r="F417" i="67"/>
  <c r="F12" i="67"/>
  <c r="N82" i="67"/>
  <c r="N51" i="67" s="1"/>
  <c r="AQ51" i="67" s="1"/>
  <c r="K83" i="67"/>
  <c r="K52" i="67" s="1"/>
  <c r="AN52" i="67" s="1"/>
  <c r="N87" i="67"/>
  <c r="N56" i="67" s="1"/>
  <c r="AQ56" i="67" s="1"/>
  <c r="Z87" i="67"/>
  <c r="Z56" i="67" s="1"/>
  <c r="BC56" i="67" s="1"/>
  <c r="Q76" i="67"/>
  <c r="Q45" i="67" s="1"/>
  <c r="AT45" i="67" s="1"/>
  <c r="T79" i="67"/>
  <c r="J86" i="67"/>
  <c r="N75" i="67"/>
  <c r="I79" i="67"/>
  <c r="I48" i="67" s="1"/>
  <c r="AL48" i="67" s="1"/>
  <c r="J84" i="67"/>
  <c r="V84" i="67"/>
  <c r="K81" i="67"/>
  <c r="M94" i="67"/>
  <c r="M63" i="67" s="1"/>
  <c r="AP63" i="67" s="1"/>
  <c r="Z94" i="67"/>
  <c r="Z63" i="67" s="1"/>
  <c r="BC63" i="67" s="1"/>
  <c r="J95" i="67"/>
  <c r="K85" i="67"/>
  <c r="K54" i="67" s="1"/>
  <c r="AN54" i="67" s="1"/>
  <c r="X85" i="67"/>
  <c r="X54" i="67" s="1"/>
  <c r="BA54" i="67" s="1"/>
  <c r="R86" i="67"/>
  <c r="R55" i="67" s="1"/>
  <c r="AU55" i="67" s="1"/>
  <c r="Q99" i="67"/>
  <c r="Q68" i="67" s="1"/>
  <c r="AT68" i="67" s="1"/>
  <c r="AC159" i="65"/>
  <c r="AB159" i="65"/>
  <c r="AA159" i="65"/>
  <c r="Z159" i="65"/>
  <c r="Y159" i="65"/>
  <c r="X159" i="65"/>
  <c r="W159" i="65"/>
  <c r="V159" i="65"/>
  <c r="U159" i="65"/>
  <c r="T159" i="65"/>
  <c r="S159" i="65"/>
  <c r="R159" i="65"/>
  <c r="Q159" i="65"/>
  <c r="P159" i="65"/>
  <c r="O159" i="65"/>
  <c r="N159" i="65"/>
  <c r="M159" i="65"/>
  <c r="L159" i="65"/>
  <c r="K159" i="65"/>
  <c r="J159" i="65"/>
  <c r="I159" i="65"/>
  <c r="H159" i="65"/>
  <c r="G159" i="65"/>
  <c r="F159" i="65"/>
  <c r="E159" i="65"/>
  <c r="D159" i="65"/>
  <c r="C159" i="65"/>
  <c r="AC158" i="65"/>
  <c r="AB158" i="65"/>
  <c r="AA158" i="65"/>
  <c r="Z158" i="65"/>
  <c r="Y158" i="65"/>
  <c r="X158" i="65"/>
  <c r="W158" i="65"/>
  <c r="V158" i="65"/>
  <c r="U158" i="65"/>
  <c r="T158" i="65"/>
  <c r="S158" i="65"/>
  <c r="R158" i="65"/>
  <c r="Q158" i="65"/>
  <c r="P158" i="65"/>
  <c r="O158" i="65"/>
  <c r="N158" i="65"/>
  <c r="M158" i="65"/>
  <c r="L158" i="65"/>
  <c r="K158" i="65"/>
  <c r="J158" i="65"/>
  <c r="I158" i="65"/>
  <c r="H158" i="65"/>
  <c r="G158" i="65"/>
  <c r="F158" i="65"/>
  <c r="E158" i="65"/>
  <c r="D158" i="65"/>
  <c r="C158" i="65"/>
  <c r="AC157" i="65"/>
  <c r="AB157" i="65"/>
  <c r="AA157" i="65"/>
  <c r="Z157" i="65"/>
  <c r="Y157" i="65"/>
  <c r="X157" i="65"/>
  <c r="W157" i="65"/>
  <c r="V157" i="65"/>
  <c r="U157" i="65"/>
  <c r="T157" i="65"/>
  <c r="S157" i="65"/>
  <c r="R157" i="65"/>
  <c r="Q157" i="65"/>
  <c r="P157" i="65"/>
  <c r="O157" i="65"/>
  <c r="N157" i="65"/>
  <c r="M157" i="65"/>
  <c r="L157" i="65"/>
  <c r="K157" i="65"/>
  <c r="J157" i="65"/>
  <c r="I157" i="65"/>
  <c r="H157" i="65"/>
  <c r="G157" i="65"/>
  <c r="F157" i="65"/>
  <c r="E157" i="65"/>
  <c r="D157" i="65"/>
  <c r="C157" i="65"/>
  <c r="AC156" i="65"/>
  <c r="AB156" i="65"/>
  <c r="AA156" i="65"/>
  <c r="Z156" i="65"/>
  <c r="Y156" i="65"/>
  <c r="X156" i="65"/>
  <c r="W156" i="65"/>
  <c r="V156" i="65"/>
  <c r="U156" i="65"/>
  <c r="T156" i="65"/>
  <c r="S156" i="65"/>
  <c r="R156" i="65"/>
  <c r="Q156" i="65"/>
  <c r="P156" i="65"/>
  <c r="O156" i="65"/>
  <c r="N156" i="65"/>
  <c r="M156" i="65"/>
  <c r="L156" i="65"/>
  <c r="K156" i="65"/>
  <c r="J156" i="65"/>
  <c r="I156" i="65"/>
  <c r="H156" i="65"/>
  <c r="G156" i="65"/>
  <c r="F156" i="65"/>
  <c r="E156" i="65"/>
  <c r="D156" i="65"/>
  <c r="C156" i="65"/>
  <c r="AC155" i="65"/>
  <c r="AB155" i="65"/>
  <c r="AA155" i="65"/>
  <c r="Z155" i="65"/>
  <c r="Y155" i="65"/>
  <c r="X155" i="65"/>
  <c r="W155" i="65"/>
  <c r="V155" i="65"/>
  <c r="U155" i="65"/>
  <c r="T155" i="65"/>
  <c r="S155" i="65"/>
  <c r="R155" i="65"/>
  <c r="Q155" i="65"/>
  <c r="P155" i="65"/>
  <c r="O155" i="65"/>
  <c r="N155" i="65"/>
  <c r="M155" i="65"/>
  <c r="L155" i="65"/>
  <c r="K155" i="65"/>
  <c r="J155" i="65"/>
  <c r="I155" i="65"/>
  <c r="H155" i="65"/>
  <c r="G155" i="65"/>
  <c r="F155" i="65"/>
  <c r="E155" i="65"/>
  <c r="D155" i="65"/>
  <c r="C155" i="65"/>
  <c r="AC154" i="65"/>
  <c r="AB154" i="65"/>
  <c r="AA154" i="65"/>
  <c r="Z154" i="65"/>
  <c r="Y154" i="65"/>
  <c r="X154" i="65"/>
  <c r="W154" i="65"/>
  <c r="V154" i="65"/>
  <c r="U154" i="65"/>
  <c r="T154" i="65"/>
  <c r="S154" i="65"/>
  <c r="R154" i="65"/>
  <c r="Q154" i="65"/>
  <c r="P154" i="65"/>
  <c r="O154" i="65"/>
  <c r="N154" i="65"/>
  <c r="M154" i="65"/>
  <c r="L154" i="65"/>
  <c r="K154" i="65"/>
  <c r="J154" i="65"/>
  <c r="I154" i="65"/>
  <c r="H154" i="65"/>
  <c r="G154" i="65"/>
  <c r="F154" i="65"/>
  <c r="E154" i="65"/>
  <c r="D154" i="65"/>
  <c r="C154" i="65"/>
  <c r="AC153" i="65"/>
  <c r="AB153" i="65"/>
  <c r="AA153" i="65"/>
  <c r="Z153" i="65"/>
  <c r="Y153" i="65"/>
  <c r="X153" i="65"/>
  <c r="W153" i="65"/>
  <c r="V153" i="65"/>
  <c r="U153" i="65"/>
  <c r="T153" i="65"/>
  <c r="S153" i="65"/>
  <c r="R153" i="65"/>
  <c r="Q153" i="65"/>
  <c r="P153" i="65"/>
  <c r="O153" i="65"/>
  <c r="N153" i="65"/>
  <c r="M153" i="65"/>
  <c r="L153" i="65"/>
  <c r="K153" i="65"/>
  <c r="J153" i="65"/>
  <c r="I153" i="65"/>
  <c r="H153" i="65"/>
  <c r="G153" i="65"/>
  <c r="F153" i="65"/>
  <c r="E153" i="65"/>
  <c r="D153" i="65"/>
  <c r="C153" i="65"/>
  <c r="AC152" i="65"/>
  <c r="AB152" i="65"/>
  <c r="AA152" i="65"/>
  <c r="Z152" i="65"/>
  <c r="Y152" i="65"/>
  <c r="X152" i="65"/>
  <c r="W152" i="65"/>
  <c r="V152" i="65"/>
  <c r="U152" i="65"/>
  <c r="T152" i="65"/>
  <c r="S152" i="65"/>
  <c r="R152" i="65"/>
  <c r="Q152" i="65"/>
  <c r="P152" i="65"/>
  <c r="O152" i="65"/>
  <c r="N152" i="65"/>
  <c r="M152" i="65"/>
  <c r="L152" i="65"/>
  <c r="K152" i="65"/>
  <c r="J152" i="65"/>
  <c r="I152" i="65"/>
  <c r="H152" i="65"/>
  <c r="G152" i="65"/>
  <c r="F152" i="65"/>
  <c r="E152" i="65"/>
  <c r="D152" i="65"/>
  <c r="C152" i="65"/>
  <c r="AC151" i="65"/>
  <c r="AB151" i="65"/>
  <c r="AA151" i="65"/>
  <c r="Z151" i="65"/>
  <c r="Y151" i="65"/>
  <c r="X151" i="65"/>
  <c r="W151" i="65"/>
  <c r="V151" i="65"/>
  <c r="U151" i="65"/>
  <c r="T151" i="65"/>
  <c r="S151" i="65"/>
  <c r="R151" i="65"/>
  <c r="Q151" i="65"/>
  <c r="P151" i="65"/>
  <c r="O151" i="65"/>
  <c r="N151" i="65"/>
  <c r="M151" i="65"/>
  <c r="L151" i="65"/>
  <c r="K151" i="65"/>
  <c r="J151" i="65"/>
  <c r="I151" i="65"/>
  <c r="H151" i="65"/>
  <c r="G151" i="65"/>
  <c r="F151" i="65"/>
  <c r="E151" i="65"/>
  <c r="D151" i="65"/>
  <c r="C151" i="65"/>
  <c r="AB150" i="65"/>
  <c r="AA150" i="65"/>
  <c r="Z150" i="65"/>
  <c r="Y150" i="65"/>
  <c r="X150" i="65"/>
  <c r="W150" i="65"/>
  <c r="V150" i="65"/>
  <c r="U150" i="65"/>
  <c r="T150" i="65"/>
  <c r="S150" i="65"/>
  <c r="R150" i="65"/>
  <c r="Q150" i="65"/>
  <c r="P150" i="65"/>
  <c r="O150" i="65"/>
  <c r="N150" i="65"/>
  <c r="M150" i="65"/>
  <c r="L150" i="65"/>
  <c r="K150" i="65"/>
  <c r="J150" i="65"/>
  <c r="I150" i="65"/>
  <c r="H150" i="65"/>
  <c r="G150" i="65"/>
  <c r="F150" i="65"/>
  <c r="E150" i="65"/>
  <c r="D150" i="65"/>
  <c r="C150" i="65"/>
  <c r="AA149" i="65"/>
  <c r="Z149" i="65"/>
  <c r="Y149" i="65"/>
  <c r="X149" i="65"/>
  <c r="W149" i="65"/>
  <c r="V149" i="65"/>
  <c r="U149" i="65"/>
  <c r="T149" i="65"/>
  <c r="S149" i="65"/>
  <c r="R149" i="65"/>
  <c r="Q149" i="65"/>
  <c r="P149" i="65"/>
  <c r="O149" i="65"/>
  <c r="N149" i="65"/>
  <c r="M149" i="65"/>
  <c r="L149" i="65"/>
  <c r="K149" i="65"/>
  <c r="J149" i="65"/>
  <c r="I149" i="65"/>
  <c r="H149" i="65"/>
  <c r="G149" i="65"/>
  <c r="F149" i="65"/>
  <c r="E149" i="65"/>
  <c r="D149" i="65"/>
  <c r="C149" i="65"/>
  <c r="Z148" i="65"/>
  <c r="Y148" i="65"/>
  <c r="X148" i="65"/>
  <c r="W148" i="65"/>
  <c r="V148" i="65"/>
  <c r="U148" i="65"/>
  <c r="T148" i="65"/>
  <c r="S148" i="65"/>
  <c r="R148" i="65"/>
  <c r="Q148" i="65"/>
  <c r="P148" i="65"/>
  <c r="O148" i="65"/>
  <c r="N148" i="65"/>
  <c r="M148" i="65"/>
  <c r="L148" i="65"/>
  <c r="K148" i="65"/>
  <c r="J148" i="65"/>
  <c r="I148" i="65"/>
  <c r="H148" i="65"/>
  <c r="G148" i="65"/>
  <c r="F148" i="65"/>
  <c r="E148" i="65"/>
  <c r="D148" i="65"/>
  <c r="C148" i="65"/>
  <c r="Y147" i="65"/>
  <c r="X147" i="65"/>
  <c r="W147" i="65"/>
  <c r="V147" i="65"/>
  <c r="U147" i="65"/>
  <c r="T147" i="65"/>
  <c r="S147" i="65"/>
  <c r="R147" i="65"/>
  <c r="Q147" i="65"/>
  <c r="P147" i="65"/>
  <c r="O147" i="65"/>
  <c r="N147" i="65"/>
  <c r="M147" i="65"/>
  <c r="L147" i="65"/>
  <c r="K147" i="65"/>
  <c r="J147" i="65"/>
  <c r="I147" i="65"/>
  <c r="H147" i="65"/>
  <c r="G147" i="65"/>
  <c r="F147" i="65"/>
  <c r="E147" i="65"/>
  <c r="D147" i="65"/>
  <c r="C147" i="65"/>
  <c r="X146" i="65"/>
  <c r="W146" i="65"/>
  <c r="V146" i="65"/>
  <c r="U146" i="65"/>
  <c r="T146" i="65"/>
  <c r="S146" i="65"/>
  <c r="R146" i="65"/>
  <c r="Q146" i="65"/>
  <c r="P146" i="65"/>
  <c r="O146" i="65"/>
  <c r="N146" i="65"/>
  <c r="M146" i="65"/>
  <c r="L146" i="65"/>
  <c r="K146" i="65"/>
  <c r="J146" i="65"/>
  <c r="I146" i="65"/>
  <c r="H146" i="65"/>
  <c r="G146" i="65"/>
  <c r="F146" i="65"/>
  <c r="E146" i="65"/>
  <c r="D146" i="65"/>
  <c r="C146" i="65"/>
  <c r="W145" i="65"/>
  <c r="V145" i="65"/>
  <c r="U145" i="65"/>
  <c r="T145" i="65"/>
  <c r="S145" i="65"/>
  <c r="R145" i="65"/>
  <c r="Q145" i="65"/>
  <c r="P145" i="65"/>
  <c r="O145" i="65"/>
  <c r="N145" i="65"/>
  <c r="M145" i="65"/>
  <c r="L145" i="65"/>
  <c r="K145" i="65"/>
  <c r="J145" i="65"/>
  <c r="I145" i="65"/>
  <c r="H145" i="65"/>
  <c r="G145" i="65"/>
  <c r="F145" i="65"/>
  <c r="E145" i="65"/>
  <c r="D145" i="65"/>
  <c r="C145" i="65"/>
  <c r="V144" i="65"/>
  <c r="U144" i="65"/>
  <c r="T144" i="65"/>
  <c r="S144" i="65"/>
  <c r="R144" i="65"/>
  <c r="Q144" i="65"/>
  <c r="P144" i="65"/>
  <c r="O144" i="65"/>
  <c r="N144" i="65"/>
  <c r="M144" i="65"/>
  <c r="L144" i="65"/>
  <c r="K144" i="65"/>
  <c r="J144" i="65"/>
  <c r="I144" i="65"/>
  <c r="H144" i="65"/>
  <c r="G144" i="65"/>
  <c r="F144" i="65"/>
  <c r="E144" i="65"/>
  <c r="D144" i="65"/>
  <c r="C144" i="65"/>
  <c r="U143" i="65"/>
  <c r="T143" i="65"/>
  <c r="S143" i="65"/>
  <c r="R143" i="65"/>
  <c r="Q143" i="65"/>
  <c r="P143" i="65"/>
  <c r="O143" i="65"/>
  <c r="N143" i="65"/>
  <c r="M143" i="65"/>
  <c r="L143" i="65"/>
  <c r="K143" i="65"/>
  <c r="J143" i="65"/>
  <c r="I143" i="65"/>
  <c r="H143" i="65"/>
  <c r="G143" i="65"/>
  <c r="F143" i="65"/>
  <c r="E143" i="65"/>
  <c r="D143" i="65"/>
  <c r="C143" i="65"/>
  <c r="T142" i="65"/>
  <c r="S142" i="65"/>
  <c r="R142" i="65"/>
  <c r="Q142" i="65"/>
  <c r="P142" i="65"/>
  <c r="O142" i="65"/>
  <c r="N142" i="65"/>
  <c r="M142" i="65"/>
  <c r="L142" i="65"/>
  <c r="K142" i="65"/>
  <c r="J142" i="65"/>
  <c r="I142" i="65"/>
  <c r="H142" i="65"/>
  <c r="G142" i="65"/>
  <c r="F142" i="65"/>
  <c r="E142" i="65"/>
  <c r="D142" i="65"/>
  <c r="C142" i="65"/>
  <c r="S141" i="65"/>
  <c r="R141" i="65"/>
  <c r="Q141" i="65"/>
  <c r="P141" i="65"/>
  <c r="O141" i="65"/>
  <c r="N141" i="65"/>
  <c r="M141" i="65"/>
  <c r="L141" i="65"/>
  <c r="K141" i="65"/>
  <c r="J141" i="65"/>
  <c r="I141" i="65"/>
  <c r="H141" i="65"/>
  <c r="G141" i="65"/>
  <c r="F141" i="65"/>
  <c r="E141" i="65"/>
  <c r="D141" i="65"/>
  <c r="C141" i="65"/>
  <c r="R140" i="65"/>
  <c r="Q140" i="65"/>
  <c r="P140" i="65"/>
  <c r="O140" i="65"/>
  <c r="N140" i="65"/>
  <c r="M140" i="65"/>
  <c r="L140" i="65"/>
  <c r="K140" i="65"/>
  <c r="J140" i="65"/>
  <c r="I140" i="65"/>
  <c r="H140" i="65"/>
  <c r="G140" i="65"/>
  <c r="F140" i="65"/>
  <c r="E140" i="65"/>
  <c r="D140" i="65"/>
  <c r="C140" i="65"/>
  <c r="Q139" i="65"/>
  <c r="P139" i="65"/>
  <c r="O139" i="65"/>
  <c r="N139" i="65"/>
  <c r="M139" i="65"/>
  <c r="L139" i="65"/>
  <c r="K139" i="65"/>
  <c r="J139" i="65"/>
  <c r="I139" i="65"/>
  <c r="H139" i="65"/>
  <c r="G139" i="65"/>
  <c r="F139" i="65"/>
  <c r="E139" i="65"/>
  <c r="D139" i="65"/>
  <c r="C139" i="65"/>
  <c r="P138" i="65"/>
  <c r="O138" i="65"/>
  <c r="N138" i="65"/>
  <c r="M138" i="65"/>
  <c r="L138" i="65"/>
  <c r="K138" i="65"/>
  <c r="J138" i="65"/>
  <c r="I138" i="65"/>
  <c r="H138" i="65"/>
  <c r="G138" i="65"/>
  <c r="F138" i="65"/>
  <c r="E138" i="65"/>
  <c r="D138" i="65"/>
  <c r="C138" i="65"/>
  <c r="O137" i="65"/>
  <c r="N137" i="65"/>
  <c r="M137" i="65"/>
  <c r="L137" i="65"/>
  <c r="K137" i="65"/>
  <c r="J137" i="65"/>
  <c r="I137" i="65"/>
  <c r="H137" i="65"/>
  <c r="G137" i="65"/>
  <c r="F137" i="65"/>
  <c r="E137" i="65"/>
  <c r="D137" i="65"/>
  <c r="C137" i="65"/>
  <c r="N136" i="65"/>
  <c r="M136" i="65"/>
  <c r="L136" i="65"/>
  <c r="K136" i="65"/>
  <c r="J136" i="65"/>
  <c r="I136" i="65"/>
  <c r="H136" i="65"/>
  <c r="G136" i="65"/>
  <c r="F136" i="65"/>
  <c r="E136" i="65"/>
  <c r="D136" i="65"/>
  <c r="C136" i="65"/>
  <c r="M135" i="65"/>
  <c r="L135" i="65"/>
  <c r="K135" i="65"/>
  <c r="J135" i="65"/>
  <c r="I135" i="65"/>
  <c r="H135" i="65"/>
  <c r="G135" i="65"/>
  <c r="F135" i="65"/>
  <c r="E135" i="65"/>
  <c r="D135" i="65"/>
  <c r="C135" i="65"/>
  <c r="L134" i="65"/>
  <c r="K134" i="65"/>
  <c r="J134" i="65"/>
  <c r="I134" i="65"/>
  <c r="H134" i="65"/>
  <c r="G134" i="65"/>
  <c r="F134" i="65"/>
  <c r="E134" i="65"/>
  <c r="D134" i="65"/>
  <c r="C134" i="65"/>
  <c r="K133" i="65"/>
  <c r="J133" i="65"/>
  <c r="I133" i="65"/>
  <c r="H133" i="65"/>
  <c r="G133" i="65"/>
  <c r="F133" i="65"/>
  <c r="E133" i="65"/>
  <c r="D133" i="65"/>
  <c r="C133" i="65"/>
  <c r="J132" i="65"/>
  <c r="I132" i="65"/>
  <c r="H132" i="65"/>
  <c r="G132" i="65"/>
  <c r="F132" i="65"/>
  <c r="E132" i="65"/>
  <c r="D132" i="65"/>
  <c r="C132" i="65"/>
  <c r="I131" i="65"/>
  <c r="H131" i="65"/>
  <c r="G131" i="65"/>
  <c r="F131" i="65"/>
  <c r="E131" i="65"/>
  <c r="D131" i="65"/>
  <c r="C131" i="65"/>
  <c r="F130" i="67" l="1"/>
  <c r="F181" i="67"/>
  <c r="F249" i="67"/>
  <c r="F525" i="67"/>
  <c r="F116" i="67"/>
  <c r="F444" i="67"/>
  <c r="F162" i="67"/>
  <c r="F553" i="67"/>
  <c r="F6" i="67"/>
  <c r="F390" i="67"/>
  <c r="J53" i="67"/>
  <c r="AM53" i="67" s="1"/>
  <c r="F40" i="67"/>
  <c r="F75" i="67"/>
  <c r="J55" i="67"/>
  <c r="AM55" i="67" s="1"/>
  <c r="F98" i="67"/>
  <c r="V53" i="67"/>
  <c r="AY53" i="67" s="1"/>
  <c r="J49" i="67"/>
  <c r="AM49" i="67" s="1"/>
  <c r="T48" i="67"/>
  <c r="AW48" i="67" s="1"/>
  <c r="F296" i="67"/>
  <c r="N54" i="67"/>
  <c r="AQ54" i="67" s="1"/>
  <c r="J64" i="67"/>
  <c r="AM64" i="67" s="1"/>
  <c r="F89" i="67"/>
  <c r="N44" i="67"/>
  <c r="J68" i="67"/>
  <c r="AM68" i="67" s="1"/>
  <c r="Q55" i="67"/>
  <c r="AT55" i="67" s="1"/>
  <c r="F552" i="67"/>
  <c r="K50" i="67"/>
  <c r="AN50" i="67" s="1"/>
  <c r="F471" i="67"/>
  <c r="F147" i="67"/>
  <c r="F101" i="67"/>
  <c r="F148" i="67"/>
  <c r="F299" i="67"/>
  <c r="F183" i="67"/>
  <c r="F560" i="67"/>
  <c r="F10" i="67"/>
  <c r="F21" i="67"/>
  <c r="F166" i="67"/>
  <c r="F425" i="67"/>
  <c r="F13" i="67"/>
  <c r="F145" i="67"/>
  <c r="F506" i="67"/>
  <c r="F479" i="67"/>
  <c r="F121" i="67"/>
  <c r="F371" i="67"/>
  <c r="F319" i="67"/>
  <c r="F398" i="67"/>
  <c r="F9" i="67"/>
  <c r="F294" i="67"/>
  <c r="F142" i="67"/>
  <c r="F533" i="67"/>
  <c r="F138" i="67"/>
  <c r="F556" i="67"/>
  <c r="F16" i="67"/>
  <c r="F409" i="67"/>
  <c r="F17" i="67"/>
  <c r="F529" i="67"/>
  <c r="F452" i="67"/>
  <c r="F335" i="67"/>
  <c r="F344" i="67"/>
  <c r="F215" i="67"/>
  <c r="F125" i="67" l="1"/>
  <c r="F278" i="67"/>
  <c r="F310" i="67"/>
  <c r="F281" i="67"/>
  <c r="F391" i="67"/>
  <c r="F140" i="67"/>
  <c r="F187" i="67"/>
  <c r="F81" i="67"/>
  <c r="F499" i="67"/>
  <c r="F275" i="67"/>
  <c r="F76" i="67"/>
  <c r="F90" i="67"/>
  <c r="F105" i="67"/>
  <c r="F133" i="67"/>
  <c r="F307" i="67"/>
  <c r="F160" i="67"/>
  <c r="F343" i="67"/>
  <c r="F317" i="67"/>
  <c r="F63" i="67"/>
  <c r="F82" i="67"/>
  <c r="F52" i="67"/>
  <c r="F418" i="67"/>
  <c r="AQ44" i="67"/>
  <c r="F291" i="67"/>
  <c r="F149" i="67"/>
  <c r="F337" i="67"/>
  <c r="F285" i="67"/>
  <c r="F421" i="67"/>
  <c r="F502" i="67"/>
  <c r="F394" i="67"/>
  <c r="F328" i="67"/>
  <c r="F152" i="67"/>
  <c r="F336" i="67"/>
  <c r="F367" i="67"/>
  <c r="F475" i="67"/>
  <c r="F243" i="67"/>
  <c r="F261" i="67"/>
  <c r="F327" i="67"/>
  <c r="F175" i="67"/>
  <c r="F286" i="67"/>
  <c r="F448" i="67"/>
  <c r="U2" i="67"/>
  <c r="F220" i="67"/>
  <c r="F311" i="67"/>
  <c r="F195" i="67"/>
  <c r="F363" i="67"/>
  <c r="F216" i="67"/>
  <c r="F156" i="67"/>
  <c r="F445" i="67"/>
  <c r="F73" i="67"/>
  <c r="F41" i="67"/>
  <c r="F233" i="67"/>
  <c r="F288" i="67"/>
  <c r="F33" i="67"/>
  <c r="F304" i="67"/>
  <c r="F67" i="67"/>
  <c r="F211" i="67"/>
  <c r="F65" i="67"/>
  <c r="F199" i="67"/>
  <c r="F85" i="67"/>
  <c r="F210" i="67"/>
  <c r="F179" i="67"/>
  <c r="F66" i="67"/>
  <c r="F25" i="67"/>
  <c r="F242" i="67"/>
  <c r="F70" i="67"/>
  <c r="F151" i="67"/>
  <c r="F44" i="67"/>
  <c r="F239" i="67"/>
  <c r="F314" i="67"/>
  <c r="F315" i="67"/>
  <c r="F150" i="67"/>
  <c r="F74" i="67"/>
  <c r="F340" i="67"/>
  <c r="F305" i="67"/>
  <c r="F241" i="67"/>
  <c r="F71" i="67"/>
  <c r="F31" i="67"/>
  <c r="F72" i="67"/>
  <c r="F289" i="67"/>
  <c r="F58" i="67"/>
  <c r="F42" i="67"/>
  <c r="F22" i="67"/>
  <c r="F168" i="67"/>
  <c r="F170" i="67"/>
  <c r="F169" i="67"/>
  <c r="F200" i="67"/>
  <c r="F407" i="67"/>
  <c r="F55" i="67"/>
  <c r="F465" i="67"/>
  <c r="F577" i="67"/>
  <c r="F528" i="67"/>
  <c r="F251" i="67"/>
  <c r="F400" i="67"/>
  <c r="F487" i="67"/>
  <c r="F520" i="67"/>
  <c r="F114" i="67"/>
  <c r="F543" i="67"/>
  <c r="F54" i="67"/>
  <c r="F420" i="67"/>
  <c r="X2" i="67"/>
  <c r="F94" i="67"/>
  <c r="F437" i="67"/>
  <c r="F574" i="67"/>
  <c r="F88" i="67"/>
  <c r="F439" i="67"/>
  <c r="F30" i="67"/>
  <c r="F135" i="67"/>
  <c r="F383" i="67"/>
  <c r="F7" i="67"/>
  <c r="F283" i="67"/>
  <c r="F223" i="67"/>
  <c r="F349" i="67"/>
  <c r="F139" i="67"/>
  <c r="F230" i="67"/>
  <c r="F100" i="67"/>
  <c r="F435" i="67"/>
  <c r="F43" i="67"/>
  <c r="F353" i="67"/>
  <c r="F454" i="67"/>
  <c r="F364" i="67"/>
  <c r="F474" i="67"/>
  <c r="F257" i="67"/>
  <c r="F429" i="67"/>
  <c r="F207" i="67"/>
  <c r="F20" i="67"/>
  <c r="F83" i="67"/>
  <c r="F355" i="67"/>
  <c r="F326" i="67"/>
  <c r="F381" i="67"/>
  <c r="F386" i="67"/>
  <c r="F303" i="67"/>
  <c r="F115" i="67"/>
  <c r="F84" i="67"/>
  <c r="F322" i="67"/>
  <c r="F194" i="67"/>
  <c r="F300" i="67"/>
  <c r="F360" i="67"/>
  <c r="F490" i="67"/>
  <c r="F441" i="67"/>
  <c r="F329" i="67"/>
  <c r="F95" i="67"/>
  <c r="F128" i="67"/>
  <c r="F408" i="67"/>
  <c r="F188" i="67"/>
  <c r="F80" i="67"/>
  <c r="F567" i="67"/>
  <c r="F154" i="67"/>
  <c r="F569" i="67"/>
  <c r="F268" i="67"/>
  <c r="F57" i="67"/>
  <c r="F222" i="67"/>
  <c r="F102" i="67"/>
  <c r="F274" i="67"/>
  <c r="F361" i="67"/>
  <c r="F164" i="67"/>
  <c r="F134" i="67"/>
  <c r="F427" i="67"/>
  <c r="F250" i="67"/>
  <c r="F551" i="67"/>
  <c r="F455" i="67"/>
  <c r="F405" i="67"/>
  <c r="F477" i="67"/>
  <c r="F124" i="67"/>
  <c r="F122" i="67"/>
  <c r="F519" i="67"/>
  <c r="F182" i="67"/>
  <c r="F442" i="67"/>
  <c r="F245" i="67"/>
  <c r="F47" i="67"/>
  <c r="F432" i="67"/>
  <c r="F536" i="67"/>
  <c r="F484" i="67"/>
  <c r="F375" i="67"/>
  <c r="F332" i="67"/>
  <c r="F352" i="67"/>
  <c r="F177" i="67"/>
  <c r="F78" i="67"/>
  <c r="F172" i="67"/>
  <c r="F366" i="67"/>
  <c r="F578" i="67"/>
  <c r="F117" i="67"/>
  <c r="F334" i="67"/>
  <c r="F113" i="67"/>
  <c r="F539" i="67"/>
  <c r="W2" i="67"/>
  <c r="F466" i="67"/>
  <c r="F68" i="67"/>
  <c r="F443" i="67"/>
  <c r="F205" i="67"/>
  <c r="F159" i="67"/>
  <c r="F143" i="67"/>
  <c r="F530" i="67"/>
  <c r="F565" i="67"/>
  <c r="F522" i="67"/>
  <c r="F404" i="67"/>
  <c r="F497" i="67"/>
  <c r="F513" i="67"/>
  <c r="F555" i="67"/>
  <c r="F510" i="67"/>
  <c r="F107" i="67"/>
  <c r="F272" i="67"/>
  <c r="F358" i="67"/>
  <c r="F248" i="67"/>
  <c r="F338" i="67"/>
  <c r="F470" i="67"/>
  <c r="F380" i="67"/>
  <c r="F165" i="67"/>
  <c r="F388" i="67"/>
  <c r="F173" i="67"/>
  <c r="F451" i="67"/>
  <c r="F493" i="67"/>
  <c r="F324" i="67"/>
  <c r="F434" i="67"/>
  <c r="F546" i="67"/>
  <c r="F51" i="67"/>
  <c r="F541" i="67"/>
  <c r="F488" i="67"/>
  <c r="F167" i="67"/>
  <c r="F542" i="67"/>
  <c r="F132" i="67"/>
  <c r="F428" i="67"/>
  <c r="F214" i="67"/>
  <c r="F453" i="67"/>
  <c r="F46" i="67"/>
  <c r="F496" i="67"/>
  <c r="F423" i="67"/>
  <c r="F201" i="67"/>
  <c r="F191" i="67"/>
  <c r="F531" i="67"/>
  <c r="F559" i="67"/>
  <c r="F267" i="67"/>
  <c r="F153" i="67"/>
  <c r="F438" i="67"/>
  <c r="F571" i="67"/>
  <c r="F436" i="67"/>
  <c r="F161" i="67"/>
  <c r="F495" i="67"/>
  <c r="F48" i="67"/>
  <c r="F235" i="67"/>
  <c r="F356" i="67"/>
  <c r="F540" i="67"/>
  <c r="F570" i="67"/>
  <c r="F180" i="67"/>
  <c r="F193" i="67"/>
  <c r="F379" i="67"/>
  <c r="F564" i="67"/>
  <c r="F276" i="67"/>
  <c r="F518" i="67"/>
  <c r="F252" i="67"/>
  <c r="F321" i="67"/>
  <c r="F393" i="67"/>
  <c r="F49" i="67"/>
  <c r="F265" i="67"/>
  <c r="F501" i="67"/>
  <c r="F184" i="67"/>
  <c r="F563" i="67"/>
  <c r="F53" i="67"/>
  <c r="F430" i="67"/>
  <c r="F137" i="67"/>
  <c r="F521" i="67"/>
  <c r="F59" i="67"/>
  <c r="F280" i="67"/>
  <c r="F511" i="67"/>
  <c r="F350" i="67"/>
  <c r="F87" i="67"/>
  <c r="F414" i="67"/>
  <c r="F92" i="67"/>
  <c r="F440" i="67"/>
  <c r="F535" i="67"/>
  <c r="F279" i="67"/>
  <c r="F416" i="67"/>
  <c r="F45" i="67"/>
  <c r="F238" i="67"/>
  <c r="F240" i="67"/>
  <c r="F27" i="67"/>
  <c r="F258" i="67"/>
  <c r="F457" i="67"/>
  <c r="F96" i="67"/>
  <c r="F412" i="67"/>
  <c r="F108" i="67"/>
  <c r="F573" i="67"/>
  <c r="F424" i="67"/>
  <c r="F515" i="67"/>
  <c r="F196" i="67"/>
  <c r="F129" i="67"/>
  <c r="F213" i="67"/>
  <c r="F410" i="67"/>
  <c r="F508" i="67"/>
  <c r="F547" i="67"/>
  <c r="P2" i="67"/>
  <c r="F309" i="67"/>
  <c r="F136" i="67"/>
  <c r="F369" i="67"/>
  <c r="F236" i="67"/>
  <c r="F411" i="67"/>
  <c r="F516" i="67"/>
  <c r="F97" i="67"/>
  <c r="F419" i="67"/>
  <c r="F566" i="67"/>
  <c r="F482" i="67"/>
  <c r="F277" i="67"/>
  <c r="F548" i="67"/>
  <c r="F64" i="67"/>
  <c r="F389" i="67"/>
  <c r="F234" i="67"/>
  <c r="F509" i="67"/>
  <c r="F32" i="67"/>
  <c r="F446" i="67"/>
  <c r="F313" i="67"/>
  <c r="F478" i="67"/>
  <c r="F246" i="67"/>
  <c r="F141" i="67"/>
  <c r="F333" i="67"/>
  <c r="F554" i="67"/>
  <c r="F79" i="67"/>
  <c r="F29" i="67"/>
  <c r="F467" i="67"/>
  <c r="F331" i="67"/>
  <c r="F99" i="67"/>
  <c r="F523" i="67"/>
  <c r="F189" i="67"/>
  <c r="F377" i="67"/>
  <c r="F219" i="67"/>
  <c r="F373" i="67"/>
  <c r="F473" i="67"/>
  <c r="F491" i="67"/>
  <c r="F146" i="67"/>
  <c r="F545" i="67"/>
  <c r="F346" i="67"/>
  <c r="F413" i="67"/>
  <c r="F192" i="67"/>
  <c r="F468" i="67"/>
  <c r="F231" i="67"/>
  <c r="F197" i="67"/>
  <c r="F384" i="67"/>
  <c r="F312" i="67"/>
  <c r="F549" i="67"/>
  <c r="F524" i="67"/>
  <c r="F28" i="67"/>
  <c r="F227" i="67"/>
  <c r="F190" i="67"/>
  <c r="F576" i="67"/>
  <c r="F259" i="67"/>
  <c r="F37" i="67"/>
  <c r="F111" i="67"/>
  <c r="F209" i="67"/>
  <c r="F123" i="67"/>
  <c r="F500" i="67"/>
  <c r="F244" i="67"/>
  <c r="F562" i="67"/>
  <c r="F575" i="67"/>
  <c r="F306" i="67"/>
  <c r="F263" i="67"/>
  <c r="F568" i="67"/>
  <c r="F163" i="67"/>
  <c r="F550" i="67"/>
  <c r="F483" i="67"/>
  <c r="V2" i="67"/>
  <c r="F472" i="67"/>
  <c r="F157" i="67"/>
  <c r="F270" i="67"/>
  <c r="F433" i="67"/>
  <c r="F348" i="67"/>
  <c r="F397" i="67"/>
  <c r="F228" i="67"/>
  <c r="F558" i="67"/>
  <c r="F226" i="67"/>
  <c r="F224" i="67"/>
  <c r="F297" i="67"/>
  <c r="F517" i="67"/>
  <c r="F492" i="67"/>
  <c r="F527" i="67"/>
  <c r="F378" i="67"/>
  <c r="F401" i="67"/>
  <c r="F382" i="67"/>
  <c r="F56" i="67"/>
  <c r="F119" i="67"/>
  <c r="F572" i="67"/>
  <c r="F463" i="67"/>
  <c r="F415" i="67"/>
  <c r="F462" i="67"/>
  <c r="F460" i="67"/>
  <c r="F402" i="67"/>
  <c r="F255" i="67"/>
  <c r="F212" i="67"/>
  <c r="F269" i="67"/>
  <c r="F203" i="67"/>
  <c r="F458" i="67"/>
  <c r="F171" i="67"/>
  <c r="F357" i="67"/>
  <c r="F431" i="67"/>
  <c r="F60" i="67"/>
  <c r="F292" i="67"/>
  <c r="F376" i="67"/>
  <c r="F461" i="67"/>
  <c r="F120" i="67"/>
  <c r="F538" i="67"/>
  <c r="F387" i="67"/>
  <c r="F318" i="67"/>
  <c r="F532" i="67"/>
  <c r="F126" i="67"/>
  <c r="F144" i="67"/>
  <c r="F365" i="67"/>
  <c r="T2" i="67"/>
  <c r="F264" i="67"/>
  <c r="F106" i="67"/>
  <c r="F480" i="67"/>
  <c r="F91" i="67"/>
  <c r="F178" i="67"/>
  <c r="F290" i="67"/>
  <c r="F35" i="67"/>
  <c r="F399" i="67"/>
  <c r="F368" i="67"/>
  <c r="F218" i="67"/>
  <c r="F316" i="67"/>
  <c r="F15" i="67"/>
  <c r="F557" i="67"/>
  <c r="F395" i="67"/>
  <c r="F176" i="67"/>
  <c r="F262" i="67"/>
  <c r="F11" i="67"/>
  <c r="F77" i="67"/>
  <c r="F23" i="67"/>
  <c r="F422" i="67"/>
  <c r="F204" i="67"/>
  <c r="F14" i="67"/>
  <c r="F372" i="67"/>
  <c r="F217" i="67"/>
  <c r="F561" i="67"/>
  <c r="F127" i="67"/>
  <c r="F341" i="67"/>
  <c r="F476" i="67"/>
  <c r="F503" i="67"/>
  <c r="F507" i="67"/>
  <c r="F93" i="67"/>
  <c r="F266" i="67"/>
  <c r="F449" i="67"/>
  <c r="F426" i="67"/>
  <c r="F221" i="67"/>
  <c r="F392" i="67"/>
  <c r="F534" i="67"/>
  <c r="F62" i="67"/>
  <c r="F247" i="67"/>
  <c r="F505" i="67"/>
  <c r="F61" i="67"/>
  <c r="F256" i="67"/>
  <c r="F34" i="67"/>
  <c r="F359" i="67"/>
  <c r="F406" i="67"/>
  <c r="F512" i="67"/>
  <c r="F229" i="67"/>
  <c r="F320" i="67"/>
  <c r="F486" i="67"/>
  <c r="F8" i="67"/>
  <c r="F301" i="67"/>
  <c r="F403" i="67"/>
  <c r="F36" i="67"/>
  <c r="F237" i="67"/>
  <c r="F69" i="67"/>
  <c r="F109" i="67"/>
  <c r="F206" i="67"/>
  <c r="F347" i="67"/>
  <c r="F354" i="67"/>
  <c r="F295" i="67"/>
  <c r="F494" i="67"/>
  <c r="F38" i="67"/>
  <c r="F469" i="67"/>
  <c r="F330" i="67"/>
  <c r="F50" i="67"/>
  <c r="F293" i="67"/>
  <c r="F374" i="67"/>
  <c r="F26" i="67"/>
  <c r="F253" i="67"/>
  <c r="F110" i="67"/>
  <c r="F456" i="67"/>
  <c r="F112" i="67"/>
  <c r="F174" i="67"/>
  <c r="F271" i="67"/>
  <c r="F104" i="67"/>
  <c r="F339" i="67"/>
  <c r="F131" i="67"/>
  <c r="F450" i="67"/>
  <c r="F504" i="67"/>
  <c r="F489" i="67"/>
  <c r="F198" i="67"/>
  <c r="F362" i="67"/>
  <c r="F24" i="67"/>
  <c r="F459" i="67"/>
  <c r="F19" i="67"/>
  <c r="F202" i="67"/>
  <c r="F544" i="67"/>
  <c r="F396" i="67"/>
  <c r="F86" i="67"/>
  <c r="F370" i="67"/>
  <c r="F39" i="67"/>
  <c r="F254" i="67"/>
  <c r="F208" i="67"/>
  <c r="F537" i="67"/>
  <c r="F284" i="67"/>
  <c r="F158" i="67"/>
  <c r="F323" i="67"/>
  <c r="F485" i="67"/>
  <c r="F302" i="67"/>
  <c r="F351" i="67"/>
  <c r="F481" i="67"/>
  <c r="F514" i="67"/>
  <c r="F260" i="67"/>
  <c r="F308" i="67"/>
  <c r="F447" i="67"/>
  <c r="F385" i="67"/>
  <c r="F464" i="67"/>
  <c r="F282" i="67"/>
  <c r="F342" i="67"/>
  <c r="F232" i="67"/>
  <c r="F325" i="67"/>
  <c r="F287" i="67"/>
  <c r="F18" i="67"/>
  <c r="Y2" i="67" l="1"/>
</calcChain>
</file>

<file path=xl/sharedStrings.xml><?xml version="1.0" encoding="utf-8"?>
<sst xmlns="http://schemas.openxmlformats.org/spreadsheetml/2006/main" count="6417" uniqueCount="1826">
  <si>
    <t>Name</t>
  </si>
  <si>
    <t>AUC</t>
  </si>
  <si>
    <t>Cl10</t>
  </si>
  <si>
    <t>Cl11</t>
  </si>
  <si>
    <t>Cl12</t>
  </si>
  <si>
    <t>Cl13</t>
  </si>
  <si>
    <t>Cl14</t>
  </si>
  <si>
    <t>Cl15</t>
  </si>
  <si>
    <t>Cl16</t>
  </si>
  <si>
    <t>C18</t>
  </si>
  <si>
    <t>C10</t>
  </si>
  <si>
    <t>C11</t>
  </si>
  <si>
    <t>C12</t>
  </si>
  <si>
    <t>C13</t>
  </si>
  <si>
    <t>C14</t>
  </si>
  <si>
    <t>C15</t>
  </si>
  <si>
    <t>C16</t>
  </si>
  <si>
    <t>C17</t>
  </si>
  <si>
    <t>C19</t>
  </si>
  <si>
    <t>C20</t>
  </si>
  <si>
    <t>C21</t>
  </si>
  <si>
    <t>C22</t>
  </si>
  <si>
    <t>C23</t>
  </si>
  <si>
    <t>C24</t>
  </si>
  <si>
    <t>C25</t>
  </si>
  <si>
    <t>C09_Cl05_a</t>
  </si>
  <si>
    <t>C09_Cl05_b</t>
  </si>
  <si>
    <t>C09_Cl06_a</t>
  </si>
  <si>
    <t>C09_Cl06_b</t>
  </si>
  <si>
    <t>C09_Cl07_a</t>
  </si>
  <si>
    <t>C09_Cl07_b</t>
  </si>
  <si>
    <t>C09_Cl08_a</t>
  </si>
  <si>
    <t>C09_Cl08_b</t>
  </si>
  <si>
    <t>C09_Cl09_a</t>
  </si>
  <si>
    <t>C09_Cl09_b</t>
  </si>
  <si>
    <t>C10_Cl05_a</t>
  </si>
  <si>
    <t>C10_Cl05_b</t>
  </si>
  <si>
    <t>C10_Cl06_a</t>
  </si>
  <si>
    <t>C10_Cl06_b</t>
  </si>
  <si>
    <t>C10_Cl07_a</t>
  </si>
  <si>
    <t>C10_Cl07_b</t>
  </si>
  <si>
    <t>C10_Cl08_a</t>
  </si>
  <si>
    <t>C10_Cl08_b</t>
  </si>
  <si>
    <t>C10_Cl09_a</t>
  </si>
  <si>
    <t>C10_Cl09_b</t>
  </si>
  <si>
    <t>C10_Cl10_a</t>
  </si>
  <si>
    <t>C10_Cl10_b</t>
  </si>
  <si>
    <t>C11_Cl05_a</t>
  </si>
  <si>
    <t>C11_Cl05_b</t>
  </si>
  <si>
    <t>C11_Cl06_a</t>
  </si>
  <si>
    <t>C11_Cl06_b</t>
  </si>
  <si>
    <t>C11_Cl07_a</t>
  </si>
  <si>
    <t>C11_Cl07_b</t>
  </si>
  <si>
    <t>C11_Cl08_a</t>
  </si>
  <si>
    <t>C11_Cl08_b</t>
  </si>
  <si>
    <t>C11_Cl09_a</t>
  </si>
  <si>
    <t>C11_Cl09_b</t>
  </si>
  <si>
    <t>C11_Cl10_a</t>
  </si>
  <si>
    <t>C11_Cl10_b</t>
  </si>
  <si>
    <t>C11_Cl11_a</t>
  </si>
  <si>
    <t>C11_Cl11_b</t>
  </si>
  <si>
    <t>C12_Cl05_a</t>
  </si>
  <si>
    <t>C12_Cl05_b</t>
  </si>
  <si>
    <t>C12_Cl06_a</t>
  </si>
  <si>
    <t>C12_Cl06_b</t>
  </si>
  <si>
    <t>C12_Cl07_a</t>
  </si>
  <si>
    <t>C12_Cl07_b</t>
  </si>
  <si>
    <t>C12_Cl08_a</t>
  </si>
  <si>
    <t>C12_Cl08_b</t>
  </si>
  <si>
    <t>C12_Cl09_a</t>
  </si>
  <si>
    <t>C12_Cl09_b</t>
  </si>
  <si>
    <t>C12_Cl10_a</t>
  </si>
  <si>
    <t>C12_Cl10_b</t>
  </si>
  <si>
    <t>C12_Cl11_a</t>
  </si>
  <si>
    <t>C12_Cl11_b</t>
  </si>
  <si>
    <t>C12_Cl12_a</t>
  </si>
  <si>
    <t>C12_Cl12_b</t>
  </si>
  <si>
    <t>C13_Cl05_a</t>
  </si>
  <si>
    <t>C13_Cl05_b</t>
  </si>
  <si>
    <t>C13_Cl06_a</t>
  </si>
  <si>
    <t>C13_Cl06_b</t>
  </si>
  <si>
    <t>C13_Cl07_a</t>
  </si>
  <si>
    <t>C13_Cl07_b</t>
  </si>
  <si>
    <t>C13_Cl08_a</t>
  </si>
  <si>
    <t>C13_Cl08_b</t>
  </si>
  <si>
    <t>C13_Cl09_a</t>
  </si>
  <si>
    <t>C13_Cl09_b</t>
  </si>
  <si>
    <t>C13_Cl10_a</t>
  </si>
  <si>
    <t>C13_Cl10_b</t>
  </si>
  <si>
    <t>C13_Cl11_a</t>
  </si>
  <si>
    <t>C13_Cl11_b</t>
  </si>
  <si>
    <t>C13_Cl12_a</t>
  </si>
  <si>
    <t>C13_Cl12_b</t>
  </si>
  <si>
    <t>C14_Cl05_a</t>
  </si>
  <si>
    <t>C14_Cl05_b</t>
  </si>
  <si>
    <t>C14_Cl06_a</t>
  </si>
  <si>
    <t>C14_Cl06_b</t>
  </si>
  <si>
    <t>C14_Cl07_a</t>
  </si>
  <si>
    <t>C14_Cl07_b</t>
  </si>
  <si>
    <t>C14_Cl08_a</t>
  </si>
  <si>
    <t>C14_Cl08_b</t>
  </si>
  <si>
    <t>C14_Cl09_a</t>
  </si>
  <si>
    <t>C14_Cl09_b</t>
  </si>
  <si>
    <t>C14_Cl10_a</t>
  </si>
  <si>
    <t>C14_Cl10_b</t>
  </si>
  <si>
    <t>C14_Cl11_a</t>
  </si>
  <si>
    <t>C14_Cl11_b</t>
  </si>
  <si>
    <t>C14_Cl12_a</t>
  </si>
  <si>
    <t>C14_Cl12_b</t>
  </si>
  <si>
    <t>C15_Cl05_a</t>
  </si>
  <si>
    <t>C15_Cl05_b</t>
  </si>
  <si>
    <t>C15_Cl06_a</t>
  </si>
  <si>
    <t>C15_Cl06_b</t>
  </si>
  <si>
    <t>C15_Cl07_a</t>
  </si>
  <si>
    <t>C15_Cl07_b</t>
  </si>
  <si>
    <t>C15_Cl08_a</t>
  </si>
  <si>
    <t>C15_Cl08_b</t>
  </si>
  <si>
    <t>C15_Cl09_a</t>
  </si>
  <si>
    <t>C15_Cl09_b</t>
  </si>
  <si>
    <t>C15_Cl10_a</t>
  </si>
  <si>
    <t>C15_Cl10_b</t>
  </si>
  <si>
    <t>C15_Cl11_a</t>
  </si>
  <si>
    <t>C15_Cl11_b</t>
  </si>
  <si>
    <t>C15_Cl12_a</t>
  </si>
  <si>
    <t>C15_Cl12_b</t>
  </si>
  <si>
    <t>C16_Cl05_a</t>
  </si>
  <si>
    <t>C16_Cl05_b</t>
  </si>
  <si>
    <t>C16_Cl06_a</t>
  </si>
  <si>
    <t>C16_Cl06_b</t>
  </si>
  <si>
    <t>C16_Cl07_a</t>
  </si>
  <si>
    <t>C16_Cl07_b</t>
  </si>
  <si>
    <t>C16_Cl08_a</t>
  </si>
  <si>
    <t>C16_Cl08_b</t>
  </si>
  <si>
    <t>C16_Cl09_a</t>
  </si>
  <si>
    <t>C16_Cl09_b</t>
  </si>
  <si>
    <t>C16_Cl10_a</t>
  </si>
  <si>
    <t>C16_Cl10_b</t>
  </si>
  <si>
    <t>C16_Cl11_a</t>
  </si>
  <si>
    <t>C16_Cl11_b</t>
  </si>
  <si>
    <t>C16_Cl12_a</t>
  </si>
  <si>
    <t>C16_Cl12_b</t>
  </si>
  <si>
    <t>C17_Cl05_a</t>
  </si>
  <si>
    <t>C17_Cl05_b</t>
  </si>
  <si>
    <t>C17_Cl06_a</t>
  </si>
  <si>
    <t>C17_Cl06_b</t>
  </si>
  <si>
    <t>C17_Cl07_a</t>
  </si>
  <si>
    <t>C17_Cl07_b</t>
  </si>
  <si>
    <t>C17_Cl08_a</t>
  </si>
  <si>
    <t>C17_Cl08_b</t>
  </si>
  <si>
    <t>C17_Cl09_a</t>
  </si>
  <si>
    <t>C17_Cl09_b</t>
  </si>
  <si>
    <t>C17_Cl10_a</t>
  </si>
  <si>
    <t>C17_Cl10_b</t>
  </si>
  <si>
    <t>C17_Cl11_a</t>
  </si>
  <si>
    <t>C17_Cl11_b</t>
  </si>
  <si>
    <t>C17_Cl12_a</t>
  </si>
  <si>
    <t>C17_Cl12_b</t>
  </si>
  <si>
    <t>C17_Cl13_a</t>
  </si>
  <si>
    <t>C17_Cl13_b</t>
  </si>
  <si>
    <t>C18_Cl05_a</t>
  </si>
  <si>
    <t>C18_Cl05_b</t>
  </si>
  <si>
    <t>C18_Cl06_a</t>
  </si>
  <si>
    <t>C18_Cl06_b</t>
  </si>
  <si>
    <t>C18_Cl07_a</t>
  </si>
  <si>
    <t>C18_Cl07_b</t>
  </si>
  <si>
    <t>C18_Cl08_a</t>
  </si>
  <si>
    <t>C18_Cl08_b</t>
  </si>
  <si>
    <t>C18_Cl09_a</t>
  </si>
  <si>
    <t>C18_Cl09_b</t>
  </si>
  <si>
    <t>C18_Cl10_a</t>
  </si>
  <si>
    <t>C18_Cl10_b</t>
  </si>
  <si>
    <t>C18_Cl11_a</t>
  </si>
  <si>
    <t>C18_Cl11_b</t>
  </si>
  <si>
    <t>C18_Cl12_a</t>
  </si>
  <si>
    <t>C18_Cl12_b</t>
  </si>
  <si>
    <t>C18_Cl13_a</t>
  </si>
  <si>
    <t>C18_Cl13_b</t>
  </si>
  <si>
    <t>C19_Cl05_a</t>
  </si>
  <si>
    <t>C19_Cl05_b</t>
  </si>
  <si>
    <t>C19_Cl06_a</t>
  </si>
  <si>
    <t>C19_Cl06_b</t>
  </si>
  <si>
    <t>C19_Cl07_a</t>
  </si>
  <si>
    <t>C19_Cl07_b</t>
  </si>
  <si>
    <t>C19_Cl08_a</t>
  </si>
  <si>
    <t>C19_Cl08_b</t>
  </si>
  <si>
    <t>C19_Cl09_a</t>
  </si>
  <si>
    <t>C19_Cl09_b</t>
  </si>
  <si>
    <t>C19_Cl10_a</t>
  </si>
  <si>
    <t>C19_Cl10_b</t>
  </si>
  <si>
    <t>C19_Cl11_a</t>
  </si>
  <si>
    <t>C19_Cl11_b</t>
  </si>
  <si>
    <t>C19_Cl12_a</t>
  </si>
  <si>
    <t>C19_Cl12_b</t>
  </si>
  <si>
    <t>C19_Cl13_a</t>
  </si>
  <si>
    <t>C19_Cl13_b</t>
  </si>
  <si>
    <t>C19_Cl14_a</t>
  </si>
  <si>
    <t>C19_Cl14_b</t>
  </si>
  <si>
    <t>C20_Cl05_a</t>
  </si>
  <si>
    <t>C20_Cl05_b</t>
  </si>
  <si>
    <t>C20_Cl06_a</t>
  </si>
  <si>
    <t>C20_Cl06_b</t>
  </si>
  <si>
    <t>C20_Cl07_a</t>
  </si>
  <si>
    <t>C20_Cl07_b</t>
  </si>
  <si>
    <t>C20_Cl08_a</t>
  </si>
  <si>
    <t>C20_Cl08_b</t>
  </si>
  <si>
    <t>C20_Cl09_a</t>
  </si>
  <si>
    <t>C20_Cl09_b</t>
  </si>
  <si>
    <t>C20_Cl10_a</t>
  </si>
  <si>
    <t>C20_Cl10_b</t>
  </si>
  <si>
    <t>C20_Cl11_a</t>
  </si>
  <si>
    <t>C20_Cl11_b</t>
  </si>
  <si>
    <t>C20_Cl12_a</t>
  </si>
  <si>
    <t>C20_Cl12_b</t>
  </si>
  <si>
    <t>C20_Cl13_a</t>
  </si>
  <si>
    <t>C20_Cl13_b</t>
  </si>
  <si>
    <t>C20_Cl14_a</t>
  </si>
  <si>
    <t>C20_Cl14_b</t>
  </si>
  <si>
    <t>C21_Cl05_a</t>
  </si>
  <si>
    <t>C21_Cl05_b</t>
  </si>
  <si>
    <t>C21_Cl06_a</t>
  </si>
  <si>
    <t>C21_Cl06_b</t>
  </si>
  <si>
    <t>C21_Cl07_a</t>
  </si>
  <si>
    <t>C21_Cl07_b</t>
  </si>
  <si>
    <t>C21_Cl08_a</t>
  </si>
  <si>
    <t>C21_Cl08_b</t>
  </si>
  <si>
    <t>C21_Cl09_a</t>
  </si>
  <si>
    <t>C21_Cl09_b</t>
  </si>
  <si>
    <t>C21_Cl10_a</t>
  </si>
  <si>
    <t>C21_Cl10_b</t>
  </si>
  <si>
    <t>C21_Cl11_a</t>
  </si>
  <si>
    <t>C21_Cl11_b</t>
  </si>
  <si>
    <t>C21_Cl12_a</t>
  </si>
  <si>
    <t>C21_Cl12_b</t>
  </si>
  <si>
    <t>C21_Cl13_a</t>
  </si>
  <si>
    <t>C21_Cl13_b</t>
  </si>
  <si>
    <t>C21_Cl14_a</t>
  </si>
  <si>
    <t>C21_Cl14_b</t>
  </si>
  <si>
    <t>C22_Cl05_a</t>
  </si>
  <si>
    <t>C22_Cl05_b</t>
  </si>
  <si>
    <t>C22_Cl06_a</t>
  </si>
  <si>
    <t>C22_Cl06_b</t>
  </si>
  <si>
    <t>C22_Cl07_a</t>
  </si>
  <si>
    <t>C22_Cl07_b</t>
  </si>
  <si>
    <t>C22_Cl08_a</t>
  </si>
  <si>
    <t>C22_Cl08_b</t>
  </si>
  <si>
    <t>C22_Cl09_a</t>
  </si>
  <si>
    <t>C22_Cl09_b</t>
  </si>
  <si>
    <t>C22_Cl10_a</t>
  </si>
  <si>
    <t>C22_Cl10_b</t>
  </si>
  <si>
    <t>C22_Cl11_a</t>
  </si>
  <si>
    <t>C22_Cl11_b</t>
  </si>
  <si>
    <t>C22_Cl12_a</t>
  </si>
  <si>
    <t>C22_Cl12_b</t>
  </si>
  <si>
    <t>C22_Cl13_a</t>
  </si>
  <si>
    <t>C22_Cl13_b</t>
  </si>
  <si>
    <t>C22_Cl14_a</t>
  </si>
  <si>
    <t>C22_Cl14_b</t>
  </si>
  <si>
    <t>C22_Cl15_a</t>
  </si>
  <si>
    <t>C22_Cl15_b</t>
  </si>
  <si>
    <t>C23_Cl04_a</t>
  </si>
  <si>
    <t>C23_Cl04_b</t>
  </si>
  <si>
    <t>C23_Cl05_a</t>
  </si>
  <si>
    <t>C23_Cl05_b</t>
  </si>
  <si>
    <t>C23_Cl06_a</t>
  </si>
  <si>
    <t>C23_Cl06_b</t>
  </si>
  <si>
    <t>C23_Cl07_a</t>
  </si>
  <si>
    <t>C23_Cl07_b</t>
  </si>
  <si>
    <t>C23_Cl08_a</t>
  </si>
  <si>
    <t>C23_Cl08_b</t>
  </si>
  <si>
    <t>C23_Cl09_a</t>
  </si>
  <si>
    <t>C23_Cl09_b</t>
  </si>
  <si>
    <t>C23_Cl10_a</t>
  </si>
  <si>
    <t>C23_Cl10_b</t>
  </si>
  <si>
    <t>C23_Cl11_a</t>
  </si>
  <si>
    <t>C23_Cl11_b</t>
  </si>
  <si>
    <t>C23_Cl12_a</t>
  </si>
  <si>
    <t>C23_Cl12_b</t>
  </si>
  <si>
    <t>C23_Cl13_a</t>
  </si>
  <si>
    <t>C23_Cl13_b</t>
  </si>
  <si>
    <t>C23_Cl14_a</t>
  </si>
  <si>
    <t>C23_Cl14_b</t>
  </si>
  <si>
    <t>C24_Cl05_a</t>
  </si>
  <si>
    <t>C24_Cl05_b</t>
  </si>
  <si>
    <t>C24_Cl06_a</t>
  </si>
  <si>
    <t>C24_Cl06_b</t>
  </si>
  <si>
    <t>C24_Cl07_a</t>
  </si>
  <si>
    <t>C24_Cl07_b</t>
  </si>
  <si>
    <t>C24_Cl08_a</t>
  </si>
  <si>
    <t>C24_Cl08_b</t>
  </si>
  <si>
    <t>C24_Cl09_a</t>
  </si>
  <si>
    <t>C24_Cl09_b</t>
  </si>
  <si>
    <t>C24_Cl10_a</t>
  </si>
  <si>
    <t>C24_Cl10_b</t>
  </si>
  <si>
    <t>C24_Cl11_a</t>
  </si>
  <si>
    <t>C24_Cl11_b</t>
  </si>
  <si>
    <t>C24_Cl12_a</t>
  </si>
  <si>
    <t>C24_Cl12_b</t>
  </si>
  <si>
    <t>C24_Cl13_a</t>
  </si>
  <si>
    <t>C24_Cl13_b</t>
  </si>
  <si>
    <t>C24_Cl14_a</t>
  </si>
  <si>
    <t>C24_Cl14_b</t>
  </si>
  <si>
    <t>C25_Cl05_a</t>
  </si>
  <si>
    <t>C25_Cl05_b</t>
  </si>
  <si>
    <t>C25_Cl06_a</t>
  </si>
  <si>
    <t>C25_Cl06_b</t>
  </si>
  <si>
    <t>C25_Cl07_a</t>
  </si>
  <si>
    <t>C25_Cl07_b</t>
  </si>
  <si>
    <t>C25_Cl08_a</t>
  </si>
  <si>
    <t>C25_Cl08_b</t>
  </si>
  <si>
    <t>C25_Cl09_a</t>
  </si>
  <si>
    <t>C25_Cl09_b</t>
  </si>
  <si>
    <t>C25_Cl10_a</t>
  </si>
  <si>
    <t>C25_Cl10_b</t>
  </si>
  <si>
    <t>C25_Cl11_a</t>
  </si>
  <si>
    <t>C25_Cl11_b</t>
  </si>
  <si>
    <t>C25_Cl12_a</t>
  </si>
  <si>
    <t>C25_Cl12_b</t>
  </si>
  <si>
    <t>C25_Cl13_a</t>
  </si>
  <si>
    <t>C25_Cl13_b</t>
  </si>
  <si>
    <t>C25_Cl14_a</t>
  </si>
  <si>
    <t>C25_Cl14_b</t>
  </si>
  <si>
    <t>C09</t>
  </si>
  <si>
    <t>Cl05</t>
  </si>
  <si>
    <t>Cl06</t>
  </si>
  <si>
    <t>Cl07</t>
  </si>
  <si>
    <t>Cl08</t>
  </si>
  <si>
    <t>Cl09</t>
  </si>
  <si>
    <t>Ratio (%)</t>
  </si>
  <si>
    <t>CutOff</t>
  </si>
  <si>
    <t>Profil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</si>
  <si>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</si>
  <si>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</si>
  <si>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</si>
  <si>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</si>
  <si>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</si>
  <si>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</si>
  <si>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</si>
  <si>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</si>
  <si>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</si>
  <si>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</si>
  <si>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</si>
  <si>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C09_Cl05</t>
  </si>
  <si>
    <t>C09_Cl06</t>
  </si>
  <si>
    <t>C09_Cl07</t>
  </si>
  <si>
    <t>C09_Cl08</t>
  </si>
  <si>
    <t>C09_Cl09</t>
  </si>
  <si>
    <t>C10_Cl05</t>
  </si>
  <si>
    <t>C10_Cl06</t>
  </si>
  <si>
    <t>C10_Cl07</t>
  </si>
  <si>
    <t>C10_Cl08</t>
  </si>
  <si>
    <t>C10_Cl09</t>
  </si>
  <si>
    <t>C10_Cl10</t>
  </si>
  <si>
    <t>C11_Cl05</t>
  </si>
  <si>
    <t>C11_Cl06</t>
  </si>
  <si>
    <t>C11_Cl07</t>
  </si>
  <si>
    <t>C11_Cl08</t>
  </si>
  <si>
    <t>C11_Cl09</t>
  </si>
  <si>
    <t>C11_Cl10</t>
  </si>
  <si>
    <t>C11_Cl11</t>
  </si>
  <si>
    <t>C12_Cl05</t>
  </si>
  <si>
    <t>C12_Cl06</t>
  </si>
  <si>
    <t>C12_Cl07</t>
  </si>
  <si>
    <t>C12_Cl08</t>
  </si>
  <si>
    <t>C12_Cl09</t>
  </si>
  <si>
    <t>C12_Cl10</t>
  </si>
  <si>
    <t>C12_Cl11</t>
  </si>
  <si>
    <t>C12_Cl12</t>
  </si>
  <si>
    <t>C13_Cl05</t>
  </si>
  <si>
    <t>C13_Cl06</t>
  </si>
  <si>
    <t>C13_Cl07</t>
  </si>
  <si>
    <t>C13_Cl08</t>
  </si>
  <si>
    <t>C13_Cl09</t>
  </si>
  <si>
    <t>C13_Cl10</t>
  </si>
  <si>
    <t>C13_Cl11</t>
  </si>
  <si>
    <t>C13_Cl12</t>
  </si>
  <si>
    <t>C14_Cl05</t>
  </si>
  <si>
    <t>C14_Cl06</t>
  </si>
  <si>
    <t>C14_Cl07</t>
  </si>
  <si>
    <t>C14_Cl08</t>
  </si>
  <si>
    <t>C14_Cl09</t>
  </si>
  <si>
    <t>C14_Cl10</t>
  </si>
  <si>
    <t>C14_Cl11</t>
  </si>
  <si>
    <t>C14_Cl12</t>
  </si>
  <si>
    <t>C15_Cl05</t>
  </si>
  <si>
    <t>C15_Cl06</t>
  </si>
  <si>
    <t>C15_Cl07</t>
  </si>
  <si>
    <t>C15_Cl08</t>
  </si>
  <si>
    <t>C15_Cl09</t>
  </si>
  <si>
    <t>C15_Cl10</t>
  </si>
  <si>
    <t>C15_Cl11</t>
  </si>
  <si>
    <t>C15_Cl12</t>
  </si>
  <si>
    <t>C16_Cl05</t>
  </si>
  <si>
    <t>C16_Cl06</t>
  </si>
  <si>
    <t>C16_Cl07</t>
  </si>
  <si>
    <t>C16_Cl08</t>
  </si>
  <si>
    <t>C16_Cl09</t>
  </si>
  <si>
    <t>C16_Cl10</t>
  </si>
  <si>
    <t>C16_Cl11</t>
  </si>
  <si>
    <t>C16_Cl12</t>
  </si>
  <si>
    <t>C17_Cl05</t>
  </si>
  <si>
    <t>C17_Cl06</t>
  </si>
  <si>
    <t>C17_Cl07</t>
  </si>
  <si>
    <t>C17_Cl08</t>
  </si>
  <si>
    <t>C17_Cl09</t>
  </si>
  <si>
    <t>C17_Cl10</t>
  </si>
  <si>
    <t>C17_Cl11</t>
  </si>
  <si>
    <t>C17_Cl12</t>
  </si>
  <si>
    <t>C17_Cl13</t>
  </si>
  <si>
    <t>C18_Cl05</t>
  </si>
  <si>
    <t>C18_Cl06</t>
  </si>
  <si>
    <t>C18_Cl07</t>
  </si>
  <si>
    <t>C18_Cl08</t>
  </si>
  <si>
    <t>C18_Cl09</t>
  </si>
  <si>
    <t>C18_Cl10</t>
  </si>
  <si>
    <t>C18_Cl11</t>
  </si>
  <si>
    <t>C18_Cl12</t>
  </si>
  <si>
    <t>C18_Cl13</t>
  </si>
  <si>
    <t>C19_Cl05</t>
  </si>
  <si>
    <t>C19_Cl06</t>
  </si>
  <si>
    <t>C19_Cl07</t>
  </si>
  <si>
    <t>C19_Cl08</t>
  </si>
  <si>
    <t>C19_Cl09</t>
  </si>
  <si>
    <t>C19_Cl10</t>
  </si>
  <si>
    <t>C19_Cl11</t>
  </si>
  <si>
    <t>C19_Cl12</t>
  </si>
  <si>
    <t>C19_Cl13</t>
  </si>
  <si>
    <t>C19_Cl14</t>
  </si>
  <si>
    <t>C20_Cl05</t>
  </si>
  <si>
    <t>C20_Cl06</t>
  </si>
  <si>
    <t>C20_Cl07</t>
  </si>
  <si>
    <t>C20_Cl08</t>
  </si>
  <si>
    <t>C20_Cl09</t>
  </si>
  <si>
    <t>C20_Cl10</t>
  </si>
  <si>
    <t>C20_Cl11</t>
  </si>
  <si>
    <t>C20_Cl12</t>
  </si>
  <si>
    <t>C20_Cl13</t>
  </si>
  <si>
    <t>C20_Cl14</t>
  </si>
  <si>
    <t>C21_Cl05</t>
  </si>
  <si>
    <t>C21_Cl06</t>
  </si>
  <si>
    <t>C21_Cl07</t>
  </si>
  <si>
    <t>C21_Cl08</t>
  </si>
  <si>
    <t>C21_Cl09</t>
  </si>
  <si>
    <t>C21_Cl10</t>
  </si>
  <si>
    <t>C21_Cl11</t>
  </si>
  <si>
    <t>C21_Cl12</t>
  </si>
  <si>
    <t>C21_Cl13</t>
  </si>
  <si>
    <t>C21_Cl14</t>
  </si>
  <si>
    <t>C22_Cl05</t>
  </si>
  <si>
    <t>C22_Cl06</t>
  </si>
  <si>
    <t>C22_Cl07</t>
  </si>
  <si>
    <t>C22_Cl08</t>
  </si>
  <si>
    <t>C22_Cl09</t>
  </si>
  <si>
    <t>C22_Cl10</t>
  </si>
  <si>
    <t>C22_Cl11</t>
  </si>
  <si>
    <t>C22_Cl12</t>
  </si>
  <si>
    <t>C22_Cl13</t>
  </si>
  <si>
    <t>C22_Cl14</t>
  </si>
  <si>
    <t>C22_Cl15</t>
  </si>
  <si>
    <t>C23_Cl05</t>
  </si>
  <si>
    <t>C23_Cl06</t>
  </si>
  <si>
    <t>C23_Cl07</t>
  </si>
  <si>
    <t>C23_Cl08</t>
  </si>
  <si>
    <t>C23_Cl09</t>
  </si>
  <si>
    <t>C23_Cl10</t>
  </si>
  <si>
    <t>C23_Cl11</t>
  </si>
  <si>
    <t>C23_Cl12</t>
  </si>
  <si>
    <t>C23_Cl13</t>
  </si>
  <si>
    <t>C23_Cl14</t>
  </si>
  <si>
    <t>C24_Cl05</t>
  </si>
  <si>
    <t>C24_Cl06</t>
  </si>
  <si>
    <t>C24_Cl07</t>
  </si>
  <si>
    <t>C24_Cl08</t>
  </si>
  <si>
    <t>C24_Cl09</t>
  </si>
  <si>
    <t>C24_Cl10</t>
  </si>
  <si>
    <t>C24_Cl11</t>
  </si>
  <si>
    <t>C24_Cl12</t>
  </si>
  <si>
    <t>C24_Cl13</t>
  </si>
  <si>
    <t>C24_Cl14</t>
  </si>
  <si>
    <t>C25_Cl05</t>
  </si>
  <si>
    <t>C25_Cl06</t>
  </si>
  <si>
    <t>C25_Cl07</t>
  </si>
  <si>
    <t>C25_Cl08</t>
  </si>
  <si>
    <t>C25_Cl09</t>
  </si>
  <si>
    <t>C25_Cl10</t>
  </si>
  <si>
    <t>C25_Cl11</t>
  </si>
  <si>
    <t>C25_Cl12</t>
  </si>
  <si>
    <t>C25_Cl13</t>
  </si>
  <si>
    <t>C25_Cl14</t>
  </si>
  <si>
    <t>C08_Cl04</t>
  </si>
  <si>
    <t>C08_Cl05</t>
  </si>
  <si>
    <t>C08_Cl06</t>
  </si>
  <si>
    <t>C08_Cl07</t>
  </si>
  <si>
    <t>C08_Cl08</t>
  </si>
  <si>
    <t>C09_Cl04</t>
  </si>
  <si>
    <t>C10_Cl04</t>
  </si>
  <si>
    <t>C11_Cl04</t>
  </si>
  <si>
    <t>C12_Cl04</t>
  </si>
  <si>
    <t>C13_Cl04</t>
  </si>
  <si>
    <t>C13_Cl13</t>
  </si>
  <si>
    <t>C14_Cl04</t>
  </si>
  <si>
    <t>C14_Cl13</t>
  </si>
  <si>
    <t>C14_Cl14</t>
  </si>
  <si>
    <t>C15_Cl04</t>
  </si>
  <si>
    <t>C15_Cl13</t>
  </si>
  <si>
    <t>C15_Cl14</t>
  </si>
  <si>
    <t>C15_Cl15</t>
  </si>
  <si>
    <t>C16_Cl04</t>
  </si>
  <si>
    <t>C16_Cl13</t>
  </si>
  <si>
    <t>C16_Cl14</t>
  </si>
  <si>
    <t>C16_Cl15</t>
  </si>
  <si>
    <t>C16_Cl16</t>
  </si>
  <si>
    <t>C17_Cl04</t>
  </si>
  <si>
    <t>C17_Cl14</t>
  </si>
  <si>
    <t>C17_Cl15</t>
  </si>
  <si>
    <t>C17_Cl16</t>
  </si>
  <si>
    <t>C18_Cl04</t>
  </si>
  <si>
    <t>C18_Cl14</t>
  </si>
  <si>
    <t>C18_Cl15</t>
  </si>
  <si>
    <t>C18_Cl16</t>
  </si>
  <si>
    <t>C19_Cl04</t>
  </si>
  <si>
    <t>C19_Cl15</t>
  </si>
  <si>
    <t>C19_Cl16</t>
  </si>
  <si>
    <t>C20_Cl04</t>
  </si>
  <si>
    <t>C20_Cl15</t>
  </si>
  <si>
    <t>C20_Cl16</t>
  </si>
  <si>
    <t>C21_Cl04</t>
  </si>
  <si>
    <t>C21_Cl15</t>
  </si>
  <si>
    <t>C21_Cl16</t>
  </si>
  <si>
    <t>C22_Cl04</t>
  </si>
  <si>
    <t>C22_Cl16</t>
  </si>
  <si>
    <t>C23_Cl04</t>
  </si>
  <si>
    <t>C23_Cl15</t>
  </si>
  <si>
    <t>C23_Cl16</t>
  </si>
  <si>
    <t>C24_Cl04</t>
  </si>
  <si>
    <t>C24_Cl15</t>
  </si>
  <si>
    <t>C24_Cl16</t>
  </si>
  <si>
    <t>C25_Cl04</t>
  </si>
  <si>
    <t>C25_Cl15</t>
  </si>
  <si>
    <t>C25_Cl16</t>
  </si>
  <si>
    <t>C26_Cl04</t>
  </si>
  <si>
    <t>C26_Cl05</t>
  </si>
  <si>
    <t>C26_Cl06</t>
  </si>
  <si>
    <t>C26_Cl07</t>
  </si>
  <si>
    <t>C26_Cl08</t>
  </si>
  <si>
    <t>C26_Cl09</t>
  </si>
  <si>
    <t>C26_Cl10</t>
  </si>
  <si>
    <t>C26_Cl11</t>
  </si>
  <si>
    <t>C26_Cl12</t>
  </si>
  <si>
    <t>C26_Cl13</t>
  </si>
  <si>
    <t>C26_Cl14</t>
  </si>
  <si>
    <t>C26_Cl15</t>
  </si>
  <si>
    <t>C26_Cl16</t>
  </si>
  <si>
    <t>C27_Cl04</t>
  </si>
  <si>
    <t>C27_Cl05</t>
  </si>
  <si>
    <t>C27_Cl06</t>
  </si>
  <si>
    <t>C27_Cl07</t>
  </si>
  <si>
    <t>C27_Cl08</t>
  </si>
  <si>
    <t>C27_Cl09</t>
  </si>
  <si>
    <t>C27_Cl10</t>
  </si>
  <si>
    <t>C27_Cl11</t>
  </si>
  <si>
    <t>C27_Cl12</t>
  </si>
  <si>
    <t>C27_Cl13</t>
  </si>
  <si>
    <t>C27_Cl14</t>
  </si>
  <si>
    <t>C27_Cl15</t>
  </si>
  <si>
    <t>C27_Cl16</t>
  </si>
  <si>
    <t>C28_Cl04</t>
  </si>
  <si>
    <t>C28_Cl05</t>
  </si>
  <si>
    <t>C28_Cl06</t>
  </si>
  <si>
    <t>C28_Cl07</t>
  </si>
  <si>
    <t>C28_Cl08</t>
  </si>
  <si>
    <t>C28_Cl09</t>
  </si>
  <si>
    <t>C28_Cl10</t>
  </si>
  <si>
    <t>C28_Cl11</t>
  </si>
  <si>
    <t>C28_Cl12</t>
  </si>
  <si>
    <t>C28_Cl13</t>
  </si>
  <si>
    <t>C28_Cl14</t>
  </si>
  <si>
    <t>C28_Cl15</t>
  </si>
  <si>
    <t>C28_Cl16</t>
  </si>
  <si>
    <t>C29_Cl04</t>
  </si>
  <si>
    <t>C29_Cl05</t>
  </si>
  <si>
    <t>C29_Cl06</t>
  </si>
  <si>
    <t>C29_Cl07</t>
  </si>
  <si>
    <t>C29_Cl08</t>
  </si>
  <si>
    <t>C29_Cl09</t>
  </si>
  <si>
    <t>C29_Cl10</t>
  </si>
  <si>
    <t>C29_Cl11</t>
  </si>
  <si>
    <t>C29_Cl12</t>
  </si>
  <si>
    <t>C29_Cl13</t>
  </si>
  <si>
    <t>C29_Cl14</t>
  </si>
  <si>
    <t>C29_Cl15</t>
  </si>
  <si>
    <t>C30_Cl04</t>
  </si>
  <si>
    <t>C30_Cl05</t>
  </si>
  <si>
    <t>C30_Cl06</t>
  </si>
  <si>
    <t>C30_Cl07</t>
  </si>
  <si>
    <t>C30_Cl08</t>
  </si>
  <si>
    <t>C30_Cl09</t>
  </si>
  <si>
    <t>C30_Cl10</t>
  </si>
  <si>
    <t>C30_Cl11</t>
  </si>
  <si>
    <t>C30_Cl12</t>
  </si>
  <si>
    <t>C30_Cl13</t>
  </si>
  <si>
    <t>C30_Cl14</t>
  </si>
  <si>
    <t>C30_Cl15</t>
  </si>
  <si>
    <t>C31_Cl04</t>
  </si>
  <si>
    <t>C31_Cl05</t>
  </si>
  <si>
    <t>C31_Cl06</t>
  </si>
  <si>
    <t>C31_Cl07</t>
  </si>
  <si>
    <t>C31_Cl08</t>
  </si>
  <si>
    <t>C31_Cl09</t>
  </si>
  <si>
    <t>C31_Cl10</t>
  </si>
  <si>
    <t>C31_Cl11</t>
  </si>
  <si>
    <t>C31_Cl12</t>
  </si>
  <si>
    <t>C31_Cl13</t>
  </si>
  <si>
    <t>C31_Cl14</t>
  </si>
  <si>
    <t>C32_Cl04</t>
  </si>
  <si>
    <t>C32_Cl05</t>
  </si>
  <si>
    <t>C32_Cl06</t>
  </si>
  <si>
    <t>C32_Cl07</t>
  </si>
  <si>
    <t>C32_Cl08</t>
  </si>
  <si>
    <t>C32_Cl09</t>
  </si>
  <si>
    <t>C32_Cl10</t>
  </si>
  <si>
    <t>C32_Cl11</t>
  </si>
  <si>
    <t>C32_Cl12</t>
  </si>
  <si>
    <t>C32_Cl13</t>
  </si>
  <si>
    <t>C32_Cl14</t>
  </si>
  <si>
    <t>C33_Cl04</t>
  </si>
  <si>
    <t>C33_Cl05</t>
  </si>
  <si>
    <t>C33_Cl06</t>
  </si>
  <si>
    <t>C33_Cl07</t>
  </si>
  <si>
    <t>C33_Cl08</t>
  </si>
  <si>
    <t>C33_Cl09</t>
  </si>
  <si>
    <t>C33_Cl10</t>
  </si>
  <si>
    <t>C33_Cl11</t>
  </si>
  <si>
    <t>C33_Cl12</t>
  </si>
  <si>
    <t>C33_Cl13</t>
  </si>
  <si>
    <t>C34_Cl04</t>
  </si>
  <si>
    <t>C34_Cl05</t>
  </si>
  <si>
    <t>C34_Cl06</t>
  </si>
  <si>
    <t>C34_Cl07</t>
  </si>
  <si>
    <t>C34_Cl08</t>
  </si>
  <si>
    <t>C34_Cl09</t>
  </si>
  <si>
    <t>C34_Cl10</t>
  </si>
  <si>
    <t>C34_Cl11</t>
  </si>
  <si>
    <t>C34_Cl12</t>
  </si>
  <si>
    <t>C34_Cl13</t>
  </si>
  <si>
    <t>C35_Cl04</t>
  </si>
  <si>
    <t>C35_Cl05</t>
  </si>
  <si>
    <t>C35_Cl06</t>
  </si>
  <si>
    <t>C35_Cl07</t>
  </si>
  <si>
    <t>C35_Cl08</t>
  </si>
  <si>
    <t>C35_Cl09</t>
  </si>
  <si>
    <t>C35_Cl10</t>
  </si>
  <si>
    <t>C35_Cl11</t>
  </si>
  <si>
    <t>C35_Cl12</t>
  </si>
  <si>
    <t>C35_Cl13</t>
  </si>
  <si>
    <t>C36_Cl04</t>
  </si>
  <si>
    <t>C36_Cl05</t>
  </si>
  <si>
    <t>C36_Cl06</t>
  </si>
  <si>
    <t>C36_Cl07</t>
  </si>
  <si>
    <t>C36_Cl08</t>
  </si>
  <si>
    <t>C36_Cl09</t>
  </si>
  <si>
    <t>C36_Cl10</t>
  </si>
  <si>
    <t>C36_Cl11</t>
  </si>
  <si>
    <t>C36_Cl12</t>
  </si>
  <si>
    <t>C08_Cl04_a</t>
  </si>
  <si>
    <t>C08_Cl04_b</t>
  </si>
  <si>
    <t>C08_Cl05_a</t>
  </si>
  <si>
    <t>C08_Cl05_b</t>
  </si>
  <si>
    <t>C08_Cl06_a</t>
  </si>
  <si>
    <t>C08_Cl06_b</t>
  </si>
  <si>
    <t>C08_Cl07_a</t>
  </si>
  <si>
    <t>C08_Cl07_b</t>
  </si>
  <si>
    <t>C08_Cl08_a</t>
  </si>
  <si>
    <t>C08_Cl08_b</t>
  </si>
  <si>
    <t>C09_Cl04_a</t>
  </si>
  <si>
    <t>C09_Cl04_b</t>
  </si>
  <si>
    <t>C10_Cl04_a</t>
  </si>
  <si>
    <t>C10_Cl04_b</t>
  </si>
  <si>
    <t>C11_Cl04_a</t>
  </si>
  <si>
    <t>C11_Cl04_b</t>
  </si>
  <si>
    <t>C12_Cl04_a</t>
  </si>
  <si>
    <t>C12_Cl04_b</t>
  </si>
  <si>
    <t>C13_Cl04_a</t>
  </si>
  <si>
    <t>C13_Cl04_b</t>
  </si>
  <si>
    <t>C13_Cl13_a</t>
  </si>
  <si>
    <t>C13_Cl13_b</t>
  </si>
  <si>
    <t>C14_Cl04_a</t>
  </si>
  <si>
    <t>C14_Cl04_b</t>
  </si>
  <si>
    <t>C14_Cl13_a</t>
  </si>
  <si>
    <t>C14_Cl13_b</t>
  </si>
  <si>
    <t>C14_Cl14_a</t>
  </si>
  <si>
    <t>C14_Cl14_b</t>
  </si>
  <si>
    <t>C15_Cl04_a</t>
  </si>
  <si>
    <t>C15_Cl04_b</t>
  </si>
  <si>
    <t>C15_Cl13_a</t>
  </si>
  <si>
    <t>C15_Cl13_b</t>
  </si>
  <si>
    <t>C15_Cl14_a</t>
  </si>
  <si>
    <t>C15_Cl14_b</t>
  </si>
  <si>
    <t>C15_Cl15_a</t>
  </si>
  <si>
    <t>C15_Cl15_b</t>
  </si>
  <si>
    <t>C16_Cl04_a</t>
  </si>
  <si>
    <t>C16_Cl04_b</t>
  </si>
  <si>
    <t>C16_Cl13_a</t>
  </si>
  <si>
    <t>C16_Cl13_b</t>
  </si>
  <si>
    <t>C16_Cl14_a</t>
  </si>
  <si>
    <t>C16_Cl14_b</t>
  </si>
  <si>
    <t>C16_Cl15_a</t>
  </si>
  <si>
    <t>C16_Cl15_b</t>
  </si>
  <si>
    <t>C16_Cl16_a</t>
  </si>
  <si>
    <t>C16_Cl16_b</t>
  </si>
  <si>
    <t>C17_Cl04_a</t>
  </si>
  <si>
    <t>C17_Cl04_b</t>
  </si>
  <si>
    <t>C17_Cl14_a</t>
  </si>
  <si>
    <t>C17_Cl14_b</t>
  </si>
  <si>
    <t>C17_Cl15_a</t>
  </si>
  <si>
    <t>C17_Cl15_b</t>
  </si>
  <si>
    <t>C17_Cl16_a</t>
  </si>
  <si>
    <t>C17_Cl16_b</t>
  </si>
  <si>
    <t>C18_Cl04_a</t>
  </si>
  <si>
    <t>C18_Cl04_b</t>
  </si>
  <si>
    <t>C18_Cl14_a</t>
  </si>
  <si>
    <t>C18_Cl14_b</t>
  </si>
  <si>
    <t>C18_Cl15_a</t>
  </si>
  <si>
    <t>C18_Cl15_b</t>
  </si>
  <si>
    <t>C18_Cl16_a</t>
  </si>
  <si>
    <t>C18_Cl16_b</t>
  </si>
  <si>
    <t>C19_Cl04_a</t>
  </si>
  <si>
    <t>C19_Cl04_b</t>
  </si>
  <si>
    <t>C19_Cl15_a</t>
  </si>
  <si>
    <t>C19_Cl15_b</t>
  </si>
  <si>
    <t>C19_Cl16_a</t>
  </si>
  <si>
    <t>C19_Cl16_b</t>
  </si>
  <si>
    <t>C20_Cl04_a</t>
  </si>
  <si>
    <t>C20_Cl04_b</t>
  </si>
  <si>
    <t>C20_Cl15_a</t>
  </si>
  <si>
    <t>C20_Cl15_b</t>
  </si>
  <si>
    <t>C20_Cl16_a</t>
  </si>
  <si>
    <t>C20_Cl16_b</t>
  </si>
  <si>
    <t>C21_Cl04_a</t>
  </si>
  <si>
    <t>C21_Cl04_b</t>
  </si>
  <si>
    <t>C21_Cl15_a</t>
  </si>
  <si>
    <t>C21_Cl15_b</t>
  </si>
  <si>
    <t>C21_Cl16_a</t>
  </si>
  <si>
    <t>C21_Cl16_b</t>
  </si>
  <si>
    <t>C22_Cl04_a</t>
  </si>
  <si>
    <t>C22_Cl04_b</t>
  </si>
  <si>
    <t>C22_Cl16_a</t>
  </si>
  <si>
    <t>C22_Cl16_b</t>
  </si>
  <si>
    <t>C23_Cl15_a</t>
  </si>
  <si>
    <t>C23_Cl15_b</t>
  </si>
  <si>
    <t>C23_Cl16_a</t>
  </si>
  <si>
    <t>C23_Cl16_b</t>
  </si>
  <si>
    <t>C24_Cl04_a</t>
  </si>
  <si>
    <t>C24_Cl04_b</t>
  </si>
  <si>
    <t>C24_Cl15_a</t>
  </si>
  <si>
    <t>C24_Cl15_b</t>
  </si>
  <si>
    <t>C24_Cl16_a</t>
  </si>
  <si>
    <t>C24_Cl16_b</t>
  </si>
  <si>
    <t>C25_Cl04_a</t>
  </si>
  <si>
    <t>C25_Cl04_b</t>
  </si>
  <si>
    <t>C25_Cl15_a</t>
  </si>
  <si>
    <t>C25_Cl15_b</t>
  </si>
  <si>
    <t>C25_Cl16_a</t>
  </si>
  <si>
    <t>C25_Cl16_b</t>
  </si>
  <si>
    <t>C26_Cl04_a</t>
  </si>
  <si>
    <t>C26_Cl04_b</t>
  </si>
  <si>
    <t>C26_Cl05_a</t>
  </si>
  <si>
    <t>C26_Cl05_b</t>
  </si>
  <si>
    <t>C26_Cl06_a</t>
  </si>
  <si>
    <t>C26_Cl06_b</t>
  </si>
  <si>
    <t>C26_Cl07_a</t>
  </si>
  <si>
    <t>C26_Cl07_b</t>
  </si>
  <si>
    <t>C26_Cl08_a</t>
  </si>
  <si>
    <t>C26_Cl08_b</t>
  </si>
  <si>
    <t>C26_Cl09_a</t>
  </si>
  <si>
    <t>C26_Cl09_b</t>
  </si>
  <si>
    <t>C26_Cl10_a</t>
  </si>
  <si>
    <t>C26_Cl10_b</t>
  </si>
  <si>
    <t>C26_Cl11_a</t>
  </si>
  <si>
    <t>C26_Cl11_b</t>
  </si>
  <si>
    <t>C26_Cl12_a</t>
  </si>
  <si>
    <t>C26_Cl12_b</t>
  </si>
  <si>
    <t>C26_Cl13_a</t>
  </si>
  <si>
    <t>C26_Cl13_b</t>
  </si>
  <si>
    <t>C26_Cl14_a</t>
  </si>
  <si>
    <t>C26_Cl14_b</t>
  </si>
  <si>
    <t>C26_Cl15_a</t>
  </si>
  <si>
    <t>C26_Cl15_b</t>
  </si>
  <si>
    <t>C26_Cl16_a</t>
  </si>
  <si>
    <t>C26_Cl16_b</t>
  </si>
  <si>
    <t>C27_Cl04_a</t>
  </si>
  <si>
    <t>C27_Cl04_b</t>
  </si>
  <si>
    <t>C27_Cl05_a</t>
  </si>
  <si>
    <t>C27_Cl05_b</t>
  </si>
  <si>
    <t>C27_Cl06_a</t>
  </si>
  <si>
    <t>C27_Cl06_b</t>
  </si>
  <si>
    <t>C27_Cl07_a</t>
  </si>
  <si>
    <t>C27_Cl07_b</t>
  </si>
  <si>
    <t>C27_Cl08_a</t>
  </si>
  <si>
    <t>C27_Cl08_b</t>
  </si>
  <si>
    <t>C27_Cl09_a</t>
  </si>
  <si>
    <t>C27_Cl09_b</t>
  </si>
  <si>
    <t>C27_Cl10_a</t>
  </si>
  <si>
    <t>C27_Cl10_b</t>
  </si>
  <si>
    <t>C27_Cl11_a</t>
  </si>
  <si>
    <t>C27_Cl11_b</t>
  </si>
  <si>
    <t>C27_Cl12_a</t>
  </si>
  <si>
    <t>C27_Cl12_b</t>
  </si>
  <si>
    <t>C27_Cl13_a</t>
  </si>
  <si>
    <t>C27_Cl13_b</t>
  </si>
  <si>
    <t>C27_Cl14_a</t>
  </si>
  <si>
    <t>C27_Cl14_b</t>
  </si>
  <si>
    <t>C27_Cl15_a</t>
  </si>
  <si>
    <t>C27_Cl15_b</t>
  </si>
  <si>
    <t>C27_Cl16_a</t>
  </si>
  <si>
    <t>C27_Cl16_b</t>
  </si>
  <si>
    <t>C28_Cl04_a</t>
  </si>
  <si>
    <t>C28_Cl04_b</t>
  </si>
  <si>
    <t>C28_Cl05_a</t>
  </si>
  <si>
    <t>C28_Cl05_b</t>
  </si>
  <si>
    <t>C28_Cl06_a</t>
  </si>
  <si>
    <t>C28_Cl06_b</t>
  </si>
  <si>
    <t>C28_Cl07_a</t>
  </si>
  <si>
    <t>C28_Cl07_b</t>
  </si>
  <si>
    <t>C28_Cl08_a</t>
  </si>
  <si>
    <t>C28_Cl08_b</t>
  </si>
  <si>
    <t>C28_Cl09_a</t>
  </si>
  <si>
    <t>C28_Cl09_b</t>
  </si>
  <si>
    <t>C28_Cl10_a</t>
  </si>
  <si>
    <t>C28_Cl10_b</t>
  </si>
  <si>
    <t>C28_Cl11_a</t>
  </si>
  <si>
    <t>C28_Cl11_b</t>
  </si>
  <si>
    <t>C28_Cl12_a</t>
  </si>
  <si>
    <t>C28_Cl12_b</t>
  </si>
  <si>
    <t>C28_Cl13_a</t>
  </si>
  <si>
    <t>C28_Cl13_b</t>
  </si>
  <si>
    <t>C28_Cl14_a</t>
  </si>
  <si>
    <t>C28_Cl14_b</t>
  </si>
  <si>
    <t>C28_Cl15_a</t>
  </si>
  <si>
    <t>C28_Cl15_b</t>
  </si>
  <si>
    <t>C28_Cl16_a</t>
  </si>
  <si>
    <t>C28_Cl16_b</t>
  </si>
  <si>
    <t>C29_Cl04_a</t>
  </si>
  <si>
    <t>C29_Cl04_b</t>
  </si>
  <si>
    <t>C29_Cl05_a</t>
  </si>
  <si>
    <t>C29_Cl05_b</t>
  </si>
  <si>
    <t>C29_Cl06_a</t>
  </si>
  <si>
    <t>C29_Cl06_b</t>
  </si>
  <si>
    <t>C29_Cl07_a</t>
  </si>
  <si>
    <t>C29_Cl07_b</t>
  </si>
  <si>
    <t>C29_Cl08_a</t>
  </si>
  <si>
    <t>C29_Cl08_b</t>
  </si>
  <si>
    <t>C29_Cl09_a</t>
  </si>
  <si>
    <t>C29_Cl09_b</t>
  </si>
  <si>
    <t>C29_Cl10_a</t>
  </si>
  <si>
    <t>C29_Cl10_b</t>
  </si>
  <si>
    <t>C29_Cl11_a</t>
  </si>
  <si>
    <t>C29_Cl11_b</t>
  </si>
  <si>
    <t>C29_Cl12_a</t>
  </si>
  <si>
    <t>C29_Cl12_b</t>
  </si>
  <si>
    <t>C29_Cl13_a</t>
  </si>
  <si>
    <t>C29_Cl13_b</t>
  </si>
  <si>
    <t>C29_Cl14_a</t>
  </si>
  <si>
    <t>C29_Cl14_b</t>
  </si>
  <si>
    <t>C29_Cl15_a</t>
  </si>
  <si>
    <t>C29_Cl15_b</t>
  </si>
  <si>
    <t>C30_Cl04_a</t>
  </si>
  <si>
    <t>C30_Cl04_b</t>
  </si>
  <si>
    <t>C30_Cl05_a</t>
  </si>
  <si>
    <t>C30_Cl05_b</t>
  </si>
  <si>
    <t>C30_Cl06_a</t>
  </si>
  <si>
    <t>C30_Cl06_b</t>
  </si>
  <si>
    <t>C30_Cl07_a</t>
  </si>
  <si>
    <t>C30_Cl07_b</t>
  </si>
  <si>
    <t>C30_Cl08_a</t>
  </si>
  <si>
    <t>C30_Cl08_b</t>
  </si>
  <si>
    <t>C30_Cl09_a</t>
  </si>
  <si>
    <t>C30_Cl09_b</t>
  </si>
  <si>
    <t>C30_Cl10_a</t>
  </si>
  <si>
    <t>C30_Cl10_b</t>
  </si>
  <si>
    <t>C30_Cl11_a</t>
  </si>
  <si>
    <t>C30_Cl11_b</t>
  </si>
  <si>
    <t>C30_Cl12_a</t>
  </si>
  <si>
    <t>C30_Cl12_b</t>
  </si>
  <si>
    <t>C30_Cl13_a</t>
  </si>
  <si>
    <t>C30_Cl13_b</t>
  </si>
  <si>
    <t>C30_Cl14_a</t>
  </si>
  <si>
    <t>C30_Cl14_b</t>
  </si>
  <si>
    <t>C30_Cl15_a</t>
  </si>
  <si>
    <t>C30_Cl15_b</t>
  </si>
  <si>
    <t>C31_Cl04_a</t>
  </si>
  <si>
    <t>C31_Cl04_b</t>
  </si>
  <si>
    <t>C31_Cl05_a</t>
  </si>
  <si>
    <t>C31_Cl05_b</t>
  </si>
  <si>
    <t>C31_Cl06_a</t>
  </si>
  <si>
    <t>C31_Cl06_b</t>
  </si>
  <si>
    <t>C31_Cl07_a</t>
  </si>
  <si>
    <t>C31_Cl07_b</t>
  </si>
  <si>
    <t>C31_Cl08_a</t>
  </si>
  <si>
    <t>C31_Cl08_b</t>
  </si>
  <si>
    <t>C31_Cl09_a</t>
  </si>
  <si>
    <t>C31_Cl09_b</t>
  </si>
  <si>
    <t>C31_Cl10_a</t>
  </si>
  <si>
    <t>C31_Cl10_b</t>
  </si>
  <si>
    <t>C31_Cl11_a</t>
  </si>
  <si>
    <t>C31_Cl11_b</t>
  </si>
  <si>
    <t>C31_Cl12_a</t>
  </si>
  <si>
    <t>C31_Cl12_b</t>
  </si>
  <si>
    <t>C31_Cl13_a</t>
  </si>
  <si>
    <t>C31_Cl13_b</t>
  </si>
  <si>
    <t>C31_Cl14_a</t>
  </si>
  <si>
    <t>C31_Cl14_b</t>
  </si>
  <si>
    <t>C32_Cl04_a</t>
  </si>
  <si>
    <t>C32_Cl04_b</t>
  </si>
  <si>
    <t>C32_Cl05_a</t>
  </si>
  <si>
    <t>C32_Cl05_b</t>
  </si>
  <si>
    <t>C32_Cl06_a</t>
  </si>
  <si>
    <t>C32_Cl06_b</t>
  </si>
  <si>
    <t>C32_Cl07_a</t>
  </si>
  <si>
    <t>C32_Cl07_b</t>
  </si>
  <si>
    <t>C32_Cl08_a</t>
  </si>
  <si>
    <t>C32_Cl08_b</t>
  </si>
  <si>
    <t>C32_Cl09_a</t>
  </si>
  <si>
    <t>C32_Cl09_b</t>
  </si>
  <si>
    <t>C32_Cl10_a</t>
  </si>
  <si>
    <t>C32_Cl10_b</t>
  </si>
  <si>
    <t>C32_Cl11_a</t>
  </si>
  <si>
    <t>C32_Cl11_b</t>
  </si>
  <si>
    <t>C32_Cl12_a</t>
  </si>
  <si>
    <t>C32_Cl12_b</t>
  </si>
  <si>
    <t>C32_Cl13_a</t>
  </si>
  <si>
    <t>C32_Cl13_b</t>
  </si>
  <si>
    <t>C32_Cl14_a</t>
  </si>
  <si>
    <t>C32_Cl14_b</t>
  </si>
  <si>
    <t>C33_Cl04_a</t>
  </si>
  <si>
    <t>C33_Cl04_b</t>
  </si>
  <si>
    <t>C33_Cl05_a</t>
  </si>
  <si>
    <t>C33_Cl05_b</t>
  </si>
  <si>
    <t>C33_Cl06_a</t>
  </si>
  <si>
    <t>C33_Cl06_b</t>
  </si>
  <si>
    <t>C33_Cl07_a</t>
  </si>
  <si>
    <t>C33_Cl07_b</t>
  </si>
  <si>
    <t>C33_Cl08_a</t>
  </si>
  <si>
    <t>C33_Cl08_b</t>
  </si>
  <si>
    <t>C33_Cl09_a</t>
  </si>
  <si>
    <t>C33_Cl09_b</t>
  </si>
  <si>
    <t>C33_Cl10_a</t>
  </si>
  <si>
    <t>C33_Cl10_b</t>
  </si>
  <si>
    <t>C33_Cl11_a</t>
  </si>
  <si>
    <t>C33_Cl11_b</t>
  </si>
  <si>
    <t>C33_Cl12_a</t>
  </si>
  <si>
    <t>C33_Cl12_b</t>
  </si>
  <si>
    <t>C33_Cl13_a</t>
  </si>
  <si>
    <t>C33_Cl13_b</t>
  </si>
  <si>
    <t>C34_Cl04_a</t>
  </si>
  <si>
    <t>C34_Cl04_b</t>
  </si>
  <si>
    <t>C34_Cl05_a</t>
  </si>
  <si>
    <t>C34_Cl05_b</t>
  </si>
  <si>
    <t>C34_Cl06_a</t>
  </si>
  <si>
    <t>C34_Cl06_b</t>
  </si>
  <si>
    <t>C34_Cl07_a</t>
  </si>
  <si>
    <t>C34_Cl07_b</t>
  </si>
  <si>
    <t>C34_Cl08_a</t>
  </si>
  <si>
    <t>C34_Cl08_b</t>
  </si>
  <si>
    <t>C34_Cl09_a</t>
  </si>
  <si>
    <t>C34_Cl09_b</t>
  </si>
  <si>
    <t>C34_Cl10_a</t>
  </si>
  <si>
    <t>C34_Cl10_b</t>
  </si>
  <si>
    <t>C34_Cl11_a</t>
  </si>
  <si>
    <t>C34_Cl11_b</t>
  </si>
  <si>
    <t>C34_Cl12_a</t>
  </si>
  <si>
    <t>C34_Cl12_b</t>
  </si>
  <si>
    <t>C34_Cl13_a</t>
  </si>
  <si>
    <t>C34_Cl13_b</t>
  </si>
  <si>
    <t>C35_Cl04_a</t>
  </si>
  <si>
    <t>C35_Cl04_b</t>
  </si>
  <si>
    <t>C35_Cl05_a</t>
  </si>
  <si>
    <t>C35_Cl05_b</t>
  </si>
  <si>
    <t>C35_Cl06_a</t>
  </si>
  <si>
    <t>C35_Cl06_b</t>
  </si>
  <si>
    <t>C35_Cl07_a</t>
  </si>
  <si>
    <t>C35_Cl07_b</t>
  </si>
  <si>
    <t>C35_Cl08_a</t>
  </si>
  <si>
    <t>C35_Cl08_b</t>
  </si>
  <si>
    <t>C35_Cl09_a</t>
  </si>
  <si>
    <t>C35_Cl09_b</t>
  </si>
  <si>
    <t>C35_Cl10_a</t>
  </si>
  <si>
    <t>C35_Cl10_b</t>
  </si>
  <si>
    <t>C35_Cl11_a</t>
  </si>
  <si>
    <t>C35_Cl11_b</t>
  </si>
  <si>
    <t>C35_Cl12_a</t>
  </si>
  <si>
    <t>C35_Cl12_b</t>
  </si>
  <si>
    <t>C35_Cl13_a</t>
  </si>
  <si>
    <t>C35_Cl13_b</t>
  </si>
  <si>
    <t>C36_Cl04_a</t>
  </si>
  <si>
    <t>C36_Cl04_b</t>
  </si>
  <si>
    <t>C36_Cl05_a</t>
  </si>
  <si>
    <t>C36_Cl05_b</t>
  </si>
  <si>
    <t>C36_Cl06_a</t>
  </si>
  <si>
    <t>C36_Cl06_b</t>
  </si>
  <si>
    <t>C36_Cl07_a</t>
  </si>
  <si>
    <t>C36_Cl07_b</t>
  </si>
  <si>
    <t>C36_Cl08_a</t>
  </si>
  <si>
    <t>C36_Cl08_b</t>
  </si>
  <si>
    <t>C36_Cl09_a</t>
  </si>
  <si>
    <t>C36_Cl09_b</t>
  </si>
  <si>
    <t>C36_Cl10_a</t>
  </si>
  <si>
    <t>C36_Cl10_b</t>
  </si>
  <si>
    <t>C36_Cl11_a</t>
  </si>
  <si>
    <t>C36_Cl11_b</t>
  </si>
  <si>
    <t>C36_Cl12_a</t>
  </si>
  <si>
    <t>C36_Cl12_b</t>
  </si>
  <si>
    <t>C08</t>
  </si>
  <si>
    <t>Cl04</t>
  </si>
  <si>
    <t>Rapports d'ions</t>
  </si>
  <si>
    <t>Contribution du pic de base à la somme du profil isotopique</t>
  </si>
  <si>
    <t>Contribution</t>
  </si>
  <si>
    <t>Cl17</t>
  </si>
  <si>
    <t>Cl18</t>
  </si>
  <si>
    <t>Cl19</t>
  </si>
  <si>
    <t>C16_Cl17_a</t>
  </si>
  <si>
    <t>C16_Cl17_b</t>
  </si>
  <si>
    <t>C17_Cl17_a</t>
  </si>
  <si>
    <t>C17_Cl17_b</t>
  </si>
  <si>
    <t>C18_Cl17_a</t>
  </si>
  <si>
    <t>C18_Cl17_b</t>
  </si>
  <si>
    <t>C18_Cl18_a</t>
  </si>
  <si>
    <t>C18_Cl18_b</t>
  </si>
  <si>
    <t>C19_Cl17_a</t>
  </si>
  <si>
    <t>C19_Cl17_b</t>
  </si>
  <si>
    <t>C19_Cl18_a</t>
  </si>
  <si>
    <t>C19_Cl18_b</t>
  </si>
  <si>
    <t>C19_Cl19_a</t>
  </si>
  <si>
    <t>C19_Cl19_b</t>
  </si>
  <si>
    <t>C20_Cl17_a</t>
  </si>
  <si>
    <t>C20_Cl17_b</t>
  </si>
  <si>
    <t>C20_Cl18_a</t>
  </si>
  <si>
    <t>C20_Cl18_b</t>
  </si>
  <si>
    <t>C20_Cl19_a</t>
  </si>
  <si>
    <t>C20_Cl19_b</t>
  </si>
  <si>
    <t>C21_Cl17_a</t>
  </si>
  <si>
    <t>C21_Cl17_b</t>
  </si>
  <si>
    <t>C21_Cl18_a</t>
  </si>
  <si>
    <t>C21_Cl18_b</t>
  </si>
  <si>
    <t>C22_Cl17_a</t>
  </si>
  <si>
    <t>C22_Cl17_b</t>
  </si>
  <si>
    <t>C22_Cl18_a</t>
  </si>
  <si>
    <t>C22_Cl18_b</t>
  </si>
  <si>
    <t>C23_Cl17_a</t>
  </si>
  <si>
    <t>C23_Cl17_b</t>
  </si>
  <si>
    <t>C24_Cl17_a</t>
  </si>
  <si>
    <t>C24_Cl17_b</t>
  </si>
  <si>
    <t>C25_Cl17_a</t>
  </si>
  <si>
    <t>C25_Cl17_b</t>
  </si>
  <si>
    <t>C16_Cl17</t>
  </si>
  <si>
    <t>C17_Cl17</t>
  </si>
  <si>
    <t>C18_Cl17</t>
  </si>
  <si>
    <t>C18_Cl18</t>
  </si>
  <si>
    <t>C19_Cl17</t>
  </si>
  <si>
    <t>C19_Cl18</t>
  </si>
  <si>
    <t>C19_Cl19</t>
  </si>
  <si>
    <t>C20_Cl17</t>
  </si>
  <si>
    <t>C20_Cl18</t>
  </si>
  <si>
    <t>C20_Cl19</t>
  </si>
  <si>
    <t>C21_Cl17</t>
  </si>
  <si>
    <t>C21_Cl18</t>
  </si>
  <si>
    <t>C22_Cl17</t>
  </si>
  <si>
    <t>C22_Cl18</t>
  </si>
  <si>
    <t>C23_Cl17</t>
  </si>
  <si>
    <t>C24_Cl17</t>
  </si>
  <si>
    <t>C25_Cl17</t>
  </si>
  <si>
    <t>%Cl</t>
  </si>
  <si>
    <t>H</t>
  </si>
  <si>
    <t>C</t>
  </si>
  <si>
    <t>Cl</t>
  </si>
  <si>
    <t>Cl20</t>
  </si>
  <si>
    <t>Cl21</t>
  </si>
  <si>
    <t>Cl22</t>
  </si>
  <si>
    <t>Cl23</t>
  </si>
  <si>
    <t>Cl24</t>
  </si>
  <si>
    <t>Cl25</t>
  </si>
  <si>
    <t>Cl26</t>
  </si>
  <si>
    <t>Cl27</t>
  </si>
  <si>
    <t>Cl28</t>
  </si>
  <si>
    <t>Cl29</t>
  </si>
  <si>
    <t>Cl30</t>
  </si>
  <si>
    <t>Théo (%)</t>
  </si>
  <si>
    <t>_a</t>
  </si>
  <si>
    <r>
      <t>Quali Brut (x10</t>
    </r>
    <r>
      <rPr>
        <b/>
        <vertAlign val="superscript"/>
        <sz val="11"/>
        <color rgb="FF92D050"/>
        <rFont val="Calibri"/>
        <family val="2"/>
        <scheme val="minor"/>
      </rPr>
      <t>6</t>
    </r>
    <r>
      <rPr>
        <b/>
        <sz val="11"/>
        <color rgb="FF92D050"/>
        <rFont val="Calibri"/>
        <family val="2"/>
        <scheme val="minor"/>
      </rPr>
      <t>)</t>
    </r>
  </si>
  <si>
    <r>
      <t>Quanti Brut (x10</t>
    </r>
    <r>
      <rPr>
        <b/>
        <vertAlign val="superscript"/>
        <sz val="11"/>
        <color rgb="FF0070C0"/>
        <rFont val="Calibri"/>
        <family val="2"/>
        <scheme val="minor"/>
      </rPr>
      <t>6</t>
    </r>
    <r>
      <rPr>
        <b/>
        <sz val="11"/>
        <color rgb="FF0070C0"/>
        <rFont val="Calibri"/>
        <family val="2"/>
        <scheme val="minor"/>
      </rPr>
      <t>)</t>
    </r>
  </si>
  <si>
    <t>C08_Cl09_a</t>
  </si>
  <si>
    <t>C08_Cl09_b</t>
  </si>
  <si>
    <t>C08_Cl10_a</t>
  </si>
  <si>
    <t>C08_Cl10_b</t>
  </si>
  <si>
    <t>C09_Cl10_a</t>
  </si>
  <si>
    <t>C09_Cl10_b</t>
  </si>
  <si>
    <t>C09_Cl11_a</t>
  </si>
  <si>
    <t>C09_Cl11_b</t>
  </si>
  <si>
    <t>C10_Cl11_a</t>
  </si>
  <si>
    <t>C10_Cl11_b</t>
  </si>
  <si>
    <t>C10_Cl12_a</t>
  </si>
  <si>
    <t>C10_Cl12_b</t>
  </si>
  <si>
    <t>C11_Cl12_a</t>
  </si>
  <si>
    <t>C11_Cl12_b</t>
  </si>
  <si>
    <t>C11_Cl13_a</t>
  </si>
  <si>
    <t>C11_Cl13_b</t>
  </si>
  <si>
    <t>C12_Cl13_a</t>
  </si>
  <si>
    <t>C12_Cl13_b</t>
  </si>
  <si>
    <t>C12_Cl14_a</t>
  </si>
  <si>
    <t>C12_Cl14_b</t>
  </si>
  <si>
    <t>C13_Cl14_a</t>
  </si>
  <si>
    <t>C13_Cl14_b</t>
  </si>
  <si>
    <t>C13_Cl15_a</t>
  </si>
  <si>
    <t>C13_Cl15_b</t>
  </si>
  <si>
    <t>C14_Cl15_a</t>
  </si>
  <si>
    <t>C14_Cl15_b</t>
  </si>
  <si>
    <t>C14_Cl16_a</t>
  </si>
  <si>
    <t>C14_Cl16_b</t>
  </si>
  <si>
    <t>C15_Cl16_a</t>
  </si>
  <si>
    <t>C15_Cl16_b</t>
  </si>
  <si>
    <t>C15_Cl17_a</t>
  </si>
  <si>
    <t>C15_Cl17_b</t>
  </si>
  <si>
    <t>C16_Cl18_a</t>
  </si>
  <si>
    <t>C16_Cl18_b</t>
  </si>
  <si>
    <t>C17_Cl18_a</t>
  </si>
  <si>
    <t>C17_Cl18_b</t>
  </si>
  <si>
    <t>C17_Cl19_a</t>
  </si>
  <si>
    <t>C17_Cl19_b</t>
  </si>
  <si>
    <t>C18_Cl19_a</t>
  </si>
  <si>
    <t>C18_Cl19_b</t>
  </si>
  <si>
    <t>C18_Cl20_a</t>
  </si>
  <si>
    <t>C18_Cl20_b</t>
  </si>
  <si>
    <t>C19_Cl20_a</t>
  </si>
  <si>
    <t>C19_Cl20_b</t>
  </si>
  <si>
    <t>C19_Cl21_a</t>
  </si>
  <si>
    <t>C19_Cl21_b</t>
  </si>
  <si>
    <t>C20_Cl20_a</t>
  </si>
  <si>
    <t>C20_Cl20_b</t>
  </si>
  <si>
    <t>C20_Cl21_a</t>
  </si>
  <si>
    <t>C20_Cl21_b</t>
  </si>
  <si>
    <t>C20_Cl22_a</t>
  </si>
  <si>
    <t>C20_Cl22_b</t>
  </si>
  <si>
    <t>C21_Cl19_a</t>
  </si>
  <si>
    <t>C21_Cl19_b</t>
  </si>
  <si>
    <t>C21_Cl20_a</t>
  </si>
  <si>
    <t>C21_Cl20_b</t>
  </si>
  <si>
    <t>C21_Cl21_a</t>
  </si>
  <si>
    <t>C21_Cl21_b</t>
  </si>
  <si>
    <t>C21_Cl22_a</t>
  </si>
  <si>
    <t>C21_Cl22_b</t>
  </si>
  <si>
    <t>C21_Cl23_a</t>
  </si>
  <si>
    <t>C21_Cl23_b</t>
  </si>
  <si>
    <t>C22_Cl19_a</t>
  </si>
  <si>
    <t>C22_Cl19_b</t>
  </si>
  <si>
    <t>C22_Cl20_a</t>
  </si>
  <si>
    <t>C22_Cl20_b</t>
  </si>
  <si>
    <t>C22_Cl21_a</t>
  </si>
  <si>
    <t>C22_Cl21_b</t>
  </si>
  <si>
    <t>C22_Cl22_a</t>
  </si>
  <si>
    <t>C22_Cl22_b</t>
  </si>
  <si>
    <t>C22_Cl23_a</t>
  </si>
  <si>
    <t>C22_Cl23_b</t>
  </si>
  <si>
    <t>C22_Cl24_a</t>
  </si>
  <si>
    <t>C22_Cl24_b</t>
  </si>
  <si>
    <t>C23_Cl18_a</t>
  </si>
  <si>
    <t>C23_Cl18_b</t>
  </si>
  <si>
    <t>C23_Cl19_a</t>
  </si>
  <si>
    <t>C23_Cl19_b</t>
  </si>
  <si>
    <t>C23_Cl20_a</t>
  </si>
  <si>
    <t>C23_Cl20_b</t>
  </si>
  <si>
    <t>C23_Cl21_a</t>
  </si>
  <si>
    <t>C23_Cl21_b</t>
  </si>
  <si>
    <t>C23_Cl22_a</t>
  </si>
  <si>
    <t>C23_Cl22_b</t>
  </si>
  <si>
    <t>C23_Cl23_a</t>
  </si>
  <si>
    <t>C23_Cl23_b</t>
  </si>
  <si>
    <t>C23_Cl24_a</t>
  </si>
  <si>
    <t>C23_Cl24_b</t>
  </si>
  <si>
    <t>C23_Cl25_a</t>
  </si>
  <si>
    <t>C23_Cl25_b</t>
  </si>
  <si>
    <t>C24_Cl18_a</t>
  </si>
  <si>
    <t>C24_Cl18_b</t>
  </si>
  <si>
    <t>C24_Cl19_a</t>
  </si>
  <si>
    <t>C24_Cl19_b</t>
  </si>
  <si>
    <t>C24_Cl20_a</t>
  </si>
  <si>
    <t>C24_Cl20_b</t>
  </si>
  <si>
    <t>C24_Cl21_a</t>
  </si>
  <si>
    <t>C24_Cl21_b</t>
  </si>
  <si>
    <t>C24_Cl22_a</t>
  </si>
  <si>
    <t>C24_Cl22_b</t>
  </si>
  <si>
    <t>C24_Cl23_a</t>
  </si>
  <si>
    <t>C24_Cl23_b</t>
  </si>
  <si>
    <t>C24_Cl24_a</t>
  </si>
  <si>
    <t>C24_Cl24_b</t>
  </si>
  <si>
    <t>C24_Cl25_a</t>
  </si>
  <si>
    <t>C24_Cl25_b</t>
  </si>
  <si>
    <t>C24_Cl26_a</t>
  </si>
  <si>
    <t>C24_Cl26_b</t>
  </si>
  <si>
    <t>C25_Cl18_a</t>
  </si>
  <si>
    <t>C25_Cl18_b</t>
  </si>
  <si>
    <t>C25_Cl19_a</t>
  </si>
  <si>
    <t>C25_Cl19_b</t>
  </si>
  <si>
    <t>C25_Cl20_a</t>
  </si>
  <si>
    <t>C25_Cl20_b</t>
  </si>
  <si>
    <t>C25_Cl21_a</t>
  </si>
  <si>
    <t>C25_Cl21_b</t>
  </si>
  <si>
    <t>C25_Cl22_a</t>
  </si>
  <si>
    <t>C25_Cl22_b</t>
  </si>
  <si>
    <t>C25_Cl23_a</t>
  </si>
  <si>
    <t>C25_Cl23_b</t>
  </si>
  <si>
    <t>C25_Cl24_a</t>
  </si>
  <si>
    <t>C25_Cl24_b</t>
  </si>
  <si>
    <t>C25_Cl25_a</t>
  </si>
  <si>
    <t>C25_Cl25_b</t>
  </si>
  <si>
    <t>C25_Cl26_a</t>
  </si>
  <si>
    <t>C25_Cl26_b</t>
  </si>
  <si>
    <t>C25_Cl27_a</t>
  </si>
  <si>
    <t>C25_Cl27_b</t>
  </si>
  <si>
    <t>C26_Cl17_a</t>
  </si>
  <si>
    <t>C26_Cl17_b</t>
  </si>
  <si>
    <t>C26_Cl18_a</t>
  </si>
  <si>
    <t>C26_Cl18_b</t>
  </si>
  <si>
    <t>C26_Cl19_a</t>
  </si>
  <si>
    <t>C26_Cl19_b</t>
  </si>
  <si>
    <t>C26_Cl20_a</t>
  </si>
  <si>
    <t>C26_Cl20_b</t>
  </si>
  <si>
    <t>C26_Cl21_a</t>
  </si>
  <si>
    <t>C26_Cl21_b</t>
  </si>
  <si>
    <t>C26_Cl22_a</t>
  </si>
  <si>
    <t>C26_Cl22_b</t>
  </si>
  <si>
    <t>C26_Cl23_a</t>
  </si>
  <si>
    <t>C26_Cl23_b</t>
  </si>
  <si>
    <t>C26_Cl24_a</t>
  </si>
  <si>
    <t>C26_Cl24_b</t>
  </si>
  <si>
    <t>C26_Cl25_a</t>
  </si>
  <si>
    <t>C26_Cl25_b</t>
  </si>
  <si>
    <t>C26_Cl26_a</t>
  </si>
  <si>
    <t>C26_Cl26_b</t>
  </si>
  <si>
    <t>C26_Cl27_a</t>
  </si>
  <si>
    <t>C26_Cl27_b</t>
  </si>
  <si>
    <t>C26_Cl28_a</t>
  </si>
  <si>
    <t>C26_Cl28_b</t>
  </si>
  <si>
    <t>C27_Cl17_a</t>
  </si>
  <si>
    <t>C27_Cl17_b</t>
  </si>
  <si>
    <t>C27_Cl18_a</t>
  </si>
  <si>
    <t>C27_Cl18_b</t>
  </si>
  <si>
    <t>C27_Cl19_a</t>
  </si>
  <si>
    <t>C27_Cl19_b</t>
  </si>
  <si>
    <t>C27_Cl20_a</t>
  </si>
  <si>
    <t>C27_Cl20_b</t>
  </si>
  <si>
    <t>C27_Cl21_a</t>
  </si>
  <si>
    <t>C27_Cl21_b</t>
  </si>
  <si>
    <t>C27_Cl22_a</t>
  </si>
  <si>
    <t>C27_Cl22_b</t>
  </si>
  <si>
    <t>C27_Cl23_a</t>
  </si>
  <si>
    <t>C27_Cl23_b</t>
  </si>
  <si>
    <t>C27_Cl24_a</t>
  </si>
  <si>
    <t>C27_Cl24_b</t>
  </si>
  <si>
    <t>C27_Cl25_a</t>
  </si>
  <si>
    <t>C27_Cl25_b</t>
  </si>
  <si>
    <t>C27_Cl26_a</t>
  </si>
  <si>
    <t>C27_Cl26_b</t>
  </si>
  <si>
    <t>C27_Cl27_a</t>
  </si>
  <si>
    <t>C27_Cl27_b</t>
  </si>
  <si>
    <t>C27_Cl28_a</t>
  </si>
  <si>
    <t>C27_Cl28_b</t>
  </si>
  <si>
    <t>C27_Cl29_a</t>
  </si>
  <si>
    <t>C27_Cl29_b</t>
  </si>
  <si>
    <t>C28_Cl17_a</t>
  </si>
  <si>
    <t>C28_Cl17_b</t>
  </si>
  <si>
    <t>C28_Cl18_a</t>
  </si>
  <si>
    <t>C28_Cl18_b</t>
  </si>
  <si>
    <t>C28_Cl19_a</t>
  </si>
  <si>
    <t>C28_Cl19_b</t>
  </si>
  <si>
    <t>C28_Cl20_a</t>
  </si>
  <si>
    <t>C28_Cl20_b</t>
  </si>
  <si>
    <t>C28_Cl21_a</t>
  </si>
  <si>
    <t>C28_Cl21_b</t>
  </si>
  <si>
    <t>C28_Cl22_a</t>
  </si>
  <si>
    <t>C28_Cl22_b</t>
  </si>
  <si>
    <t>C28_Cl23_a</t>
  </si>
  <si>
    <t>C28_Cl23_b</t>
  </si>
  <si>
    <t>C28_Cl24_a</t>
  </si>
  <si>
    <t>C28_Cl24_b</t>
  </si>
  <si>
    <t>C28_Cl25_a</t>
  </si>
  <si>
    <t>C28_Cl25_b</t>
  </si>
  <si>
    <t>C28_Cl26_a</t>
  </si>
  <si>
    <t>C28_Cl26_b</t>
  </si>
  <si>
    <t>C28_Cl27_a</t>
  </si>
  <si>
    <t>C28_Cl27_b</t>
  </si>
  <si>
    <t>C28_Cl28_a</t>
  </si>
  <si>
    <t>C28_Cl28_b</t>
  </si>
  <si>
    <t>C28_Cl29_a</t>
  </si>
  <si>
    <t>C28_Cl29_b</t>
  </si>
  <si>
    <t>C28_Cl30_a</t>
  </si>
  <si>
    <t>C28_Cl30_b</t>
  </si>
  <si>
    <t>C29_Cl16_a</t>
  </si>
  <si>
    <t>C29_Cl16_b</t>
  </si>
  <si>
    <t>C29_Cl17_a</t>
  </si>
  <si>
    <t>C29_Cl17_b</t>
  </si>
  <si>
    <t>C29_Cl18_a</t>
  </si>
  <si>
    <t>C29_Cl18_b</t>
  </si>
  <si>
    <t>C29_Cl19_a</t>
  </si>
  <si>
    <t>C29_Cl19_b</t>
  </si>
  <si>
    <t>C29_Cl20_a</t>
  </si>
  <si>
    <t>C29_Cl20_b</t>
  </si>
  <si>
    <t>C29_Cl21_a</t>
  </si>
  <si>
    <t>C29_Cl21_b</t>
  </si>
  <si>
    <t>C29_Cl22_a</t>
  </si>
  <si>
    <t>C29_Cl22_b</t>
  </si>
  <si>
    <t>C29_Cl23_a</t>
  </si>
  <si>
    <t>C29_Cl23_b</t>
  </si>
  <si>
    <t>C29_Cl24_a</t>
  </si>
  <si>
    <t>C29_Cl24_b</t>
  </si>
  <si>
    <t>C29_Cl25_a</t>
  </si>
  <si>
    <t>C29_Cl25_b</t>
  </si>
  <si>
    <t>C29_Cl26_a</t>
  </si>
  <si>
    <t>C29_Cl26_b</t>
  </si>
  <si>
    <t>C29_Cl27_a</t>
  </si>
  <si>
    <t>C29_Cl27_b</t>
  </si>
  <si>
    <t>C29_Cl28_a</t>
  </si>
  <si>
    <t>C29_Cl28_b</t>
  </si>
  <si>
    <t>C29_Cl29_a</t>
  </si>
  <si>
    <t>C29_Cl29_b</t>
  </si>
  <si>
    <t>C29_Cl30_a</t>
  </si>
  <si>
    <t>C29_Cl30_b</t>
  </si>
  <si>
    <t>C30_Cl16_a</t>
  </si>
  <si>
    <t>C30_Cl16_b</t>
  </si>
  <si>
    <t>C30_Cl17_a</t>
  </si>
  <si>
    <t>C30_Cl17_b</t>
  </si>
  <si>
    <t>C30_Cl18_a</t>
  </si>
  <si>
    <t>C30_Cl18_b</t>
  </si>
  <si>
    <t>C30_Cl19_a</t>
  </si>
  <si>
    <t>C30_Cl19_b</t>
  </si>
  <si>
    <t>C30_Cl20_a</t>
  </si>
  <si>
    <t>C30_Cl20_b</t>
  </si>
  <si>
    <t>C30_Cl21_a</t>
  </si>
  <si>
    <t>C30_Cl21_b</t>
  </si>
  <si>
    <t>C30_Cl22_a</t>
  </si>
  <si>
    <t>C30_Cl22_b</t>
  </si>
  <si>
    <t>C30_Cl23_a</t>
  </si>
  <si>
    <t>C30_Cl23_b</t>
  </si>
  <si>
    <t>C30_Cl24_a</t>
  </si>
  <si>
    <t>C30_Cl24_b</t>
  </si>
  <si>
    <t>C30_Cl25_a</t>
  </si>
  <si>
    <t>C30_Cl25_b</t>
  </si>
  <si>
    <t>C30_Cl26_a</t>
  </si>
  <si>
    <t>C30_Cl26_b</t>
  </si>
  <si>
    <t>C30_Cl27_a</t>
  </si>
  <si>
    <t>C30_Cl27_b</t>
  </si>
  <si>
    <t>C30_Cl28_a</t>
  </si>
  <si>
    <t>C30_Cl28_b</t>
  </si>
  <si>
    <t>C30_Cl29_a</t>
  </si>
  <si>
    <t>C30_Cl29_b</t>
  </si>
  <si>
    <t>C30_Cl30_a</t>
  </si>
  <si>
    <t>C30_Cl30_b</t>
  </si>
  <si>
    <t>C31_Cl15_a</t>
  </si>
  <si>
    <t>C31_Cl15_b</t>
  </si>
  <si>
    <t>C31_Cl16_a</t>
  </si>
  <si>
    <t>C31_Cl16_b</t>
  </si>
  <si>
    <t>C31_Cl17_a</t>
  </si>
  <si>
    <t>C31_Cl17_b</t>
  </si>
  <si>
    <t>C31_Cl18_a</t>
  </si>
  <si>
    <t>C31_Cl18_b</t>
  </si>
  <si>
    <t>C31_Cl19_a</t>
  </si>
  <si>
    <t>C31_Cl19_b</t>
  </si>
  <si>
    <t>C31_Cl20_a</t>
  </si>
  <si>
    <t>C31_Cl20_b</t>
  </si>
  <si>
    <t>C31_Cl21_a</t>
  </si>
  <si>
    <t>C31_Cl21_b</t>
  </si>
  <si>
    <t>C31_Cl22_a</t>
  </si>
  <si>
    <t>C31_Cl22_b</t>
  </si>
  <si>
    <t>C31_Cl23_a</t>
  </si>
  <si>
    <t>C31_Cl23_b</t>
  </si>
  <si>
    <t>C31_Cl24_a</t>
  </si>
  <si>
    <t>C31_Cl24_b</t>
  </si>
  <si>
    <t>C31_Cl25_a</t>
  </si>
  <si>
    <t>C31_Cl25_b</t>
  </si>
  <si>
    <t>C31_Cl26_a</t>
  </si>
  <si>
    <t>C31_Cl26_b</t>
  </si>
  <si>
    <t>C31_Cl27_a</t>
  </si>
  <si>
    <t>C31_Cl27_b</t>
  </si>
  <si>
    <t>C31_Cl28_a</t>
  </si>
  <si>
    <t>C31_Cl28_b</t>
  </si>
  <si>
    <t>C31_Cl29_a</t>
  </si>
  <si>
    <t>C31_Cl29_b</t>
  </si>
  <si>
    <t>C31_Cl30_a</t>
  </si>
  <si>
    <t>C31_Cl30_b</t>
  </si>
  <si>
    <t>C32_Cl15_a</t>
  </si>
  <si>
    <t>C32_Cl15_b</t>
  </si>
  <si>
    <t>C32_Cl16_a</t>
  </si>
  <si>
    <t>C32_Cl16_b</t>
  </si>
  <si>
    <t>C32_Cl17_a</t>
  </si>
  <si>
    <t>C32_Cl17_b</t>
  </si>
  <si>
    <t>C32_Cl18_a</t>
  </si>
  <si>
    <t>C32_Cl18_b</t>
  </si>
  <si>
    <t>C32_Cl19_a</t>
  </si>
  <si>
    <t>C32_Cl19_b</t>
  </si>
  <si>
    <t>C32_Cl20_a</t>
  </si>
  <si>
    <t>C32_Cl20_b</t>
  </si>
  <si>
    <t>C32_Cl21_a</t>
  </si>
  <si>
    <t>C32_Cl21_b</t>
  </si>
  <si>
    <t>C32_Cl22_a</t>
  </si>
  <si>
    <t>C32_Cl22_b</t>
  </si>
  <si>
    <t>C32_Cl23_a</t>
  </si>
  <si>
    <t>C32_Cl23_b</t>
  </si>
  <si>
    <t>C32_Cl24_a</t>
  </si>
  <si>
    <t>C32_Cl24_b</t>
  </si>
  <si>
    <t>C32_Cl25_a</t>
  </si>
  <si>
    <t>C32_Cl25_b</t>
  </si>
  <si>
    <t>C32_Cl26_a</t>
  </si>
  <si>
    <t>C32_Cl26_b</t>
  </si>
  <si>
    <t>C32_Cl27_a</t>
  </si>
  <si>
    <t>C32_Cl27_b</t>
  </si>
  <si>
    <t>C32_Cl28_a</t>
  </si>
  <si>
    <t>C32_Cl28_b</t>
  </si>
  <si>
    <t>C32_Cl29_a</t>
  </si>
  <si>
    <t>C32_Cl29_b</t>
  </si>
  <si>
    <t>C32_Cl30_a</t>
  </si>
  <si>
    <t>C32_Cl30_b</t>
  </si>
  <si>
    <t>C33_Cl14_a</t>
  </si>
  <si>
    <t>C33_Cl14_b</t>
  </si>
  <si>
    <t>C33_Cl15_a</t>
  </si>
  <si>
    <t>C33_Cl15_b</t>
  </si>
  <si>
    <t>C33_Cl16_a</t>
  </si>
  <si>
    <t>C33_Cl16_b</t>
  </si>
  <si>
    <t>C33_Cl17_a</t>
  </si>
  <si>
    <t>C33_Cl17_b</t>
  </si>
  <si>
    <t>C33_Cl18_a</t>
  </si>
  <si>
    <t>C33_Cl18_b</t>
  </si>
  <si>
    <t>C33_Cl19_a</t>
  </si>
  <si>
    <t>C33_Cl19_b</t>
  </si>
  <si>
    <t>C33_Cl20_a</t>
  </si>
  <si>
    <t>C33_Cl20_b</t>
  </si>
  <si>
    <t>C33_Cl21_a</t>
  </si>
  <si>
    <t>C33_Cl21_b</t>
  </si>
  <si>
    <t>C33_Cl22_a</t>
  </si>
  <si>
    <t>C33_Cl22_b</t>
  </si>
  <si>
    <t>C33_Cl23_a</t>
  </si>
  <si>
    <t>C33_Cl23_b</t>
  </si>
  <si>
    <t>C33_Cl24_a</t>
  </si>
  <si>
    <t>C33_Cl24_b</t>
  </si>
  <si>
    <t>C33_Cl25_a</t>
  </si>
  <si>
    <t>C33_Cl25_b</t>
  </si>
  <si>
    <t>C33_Cl26_a</t>
  </si>
  <si>
    <t>C33_Cl26_b</t>
  </si>
  <si>
    <t>C33_Cl27_a</t>
  </si>
  <si>
    <t>C33_Cl27_b</t>
  </si>
  <si>
    <t>C33_Cl28_a</t>
  </si>
  <si>
    <t>C33_Cl28_b</t>
  </si>
  <si>
    <t>C33_Cl29_a</t>
  </si>
  <si>
    <t>C33_Cl29_b</t>
  </si>
  <si>
    <t>C33_Cl30_a</t>
  </si>
  <si>
    <t>C33_Cl30_b</t>
  </si>
  <si>
    <t>C34_Cl14_a</t>
  </si>
  <si>
    <t>C34_Cl14_b</t>
  </si>
  <si>
    <t>C34_Cl15_a</t>
  </si>
  <si>
    <t>C34_Cl15_b</t>
  </si>
  <si>
    <t>C34_Cl16_a</t>
  </si>
  <si>
    <t>C34_Cl16_b</t>
  </si>
  <si>
    <t>C34_Cl17_a</t>
  </si>
  <si>
    <t>C34_Cl17_b</t>
  </si>
  <si>
    <t>C34_Cl18_a</t>
  </si>
  <si>
    <t>C34_Cl18_b</t>
  </si>
  <si>
    <t>C34_Cl19_a</t>
  </si>
  <si>
    <t>C34_Cl19_b</t>
  </si>
  <si>
    <t>C34_Cl20_a</t>
  </si>
  <si>
    <t>C34_Cl20_b</t>
  </si>
  <si>
    <t>C34_Cl21_a</t>
  </si>
  <si>
    <t>C34_Cl21_b</t>
  </si>
  <si>
    <t>C34_Cl22_a</t>
  </si>
  <si>
    <t>C34_Cl22_b</t>
  </si>
  <si>
    <t>C34_Cl23_a</t>
  </si>
  <si>
    <t>C34_Cl23_b</t>
  </si>
  <si>
    <t>C34_Cl24_a</t>
  </si>
  <si>
    <t>C34_Cl24_b</t>
  </si>
  <si>
    <t>C34_Cl25_a</t>
  </si>
  <si>
    <t>C34_Cl25_b</t>
  </si>
  <si>
    <t>C34_Cl26_a</t>
  </si>
  <si>
    <t>C34_Cl26_b</t>
  </si>
  <si>
    <t>C34_Cl27_a</t>
  </si>
  <si>
    <t>C34_Cl27_b</t>
  </si>
  <si>
    <t>C34_Cl28_a</t>
  </si>
  <si>
    <t>C34_Cl28_b</t>
  </si>
  <si>
    <t>C34_Cl29_a</t>
  </si>
  <si>
    <t>C34_Cl29_b</t>
  </si>
  <si>
    <t>C34_Cl30_a</t>
  </si>
  <si>
    <t>C34_Cl30_b</t>
  </si>
  <si>
    <t>C35_Cl14_a</t>
  </si>
  <si>
    <t>C35_Cl14_b</t>
  </si>
  <si>
    <t>C35_Cl15_a</t>
  </si>
  <si>
    <t>C35_Cl15_b</t>
  </si>
  <si>
    <t>C35_Cl16_a</t>
  </si>
  <si>
    <t>C35_Cl16_b</t>
  </si>
  <si>
    <t>C35_Cl17_a</t>
  </si>
  <si>
    <t>C35_Cl17_b</t>
  </si>
  <si>
    <t>C35_Cl18_a</t>
  </si>
  <si>
    <t>C35_Cl18_b</t>
  </si>
  <si>
    <t>C35_Cl19_a</t>
  </si>
  <si>
    <t>C35_Cl19_b</t>
  </si>
  <si>
    <t>C35_Cl20_a</t>
  </si>
  <si>
    <t>C35_Cl20_b</t>
  </si>
  <si>
    <t>C35_Cl21_a</t>
  </si>
  <si>
    <t>C35_Cl21_b</t>
  </si>
  <si>
    <t>C35_Cl22_a</t>
  </si>
  <si>
    <t>C35_Cl22_b</t>
  </si>
  <si>
    <t>C35_Cl23_a</t>
  </si>
  <si>
    <t>C35_Cl23_b</t>
  </si>
  <si>
    <t>C35_Cl24_a</t>
  </si>
  <si>
    <t>C35_Cl24_b</t>
  </si>
  <si>
    <t>C35_Cl25_a</t>
  </si>
  <si>
    <t>C35_Cl25_b</t>
  </si>
  <si>
    <t>C35_Cl26_a</t>
  </si>
  <si>
    <t>C35_Cl26_b</t>
  </si>
  <si>
    <t>C35_Cl27_a</t>
  </si>
  <si>
    <t>C35_Cl27_b</t>
  </si>
  <si>
    <t>C35_Cl28_a</t>
  </si>
  <si>
    <t>C35_Cl28_b</t>
  </si>
  <si>
    <t>C35_Cl29_a</t>
  </si>
  <si>
    <t>C35_Cl29_b</t>
  </si>
  <si>
    <t>C35_Cl30_a</t>
  </si>
  <si>
    <t>C35_Cl30_b</t>
  </si>
  <si>
    <t>C36_Cl13_a</t>
  </si>
  <si>
    <t>C36_Cl13_b</t>
  </si>
  <si>
    <t>C36_Cl14_a</t>
  </si>
  <si>
    <t>C36_Cl14_b</t>
  </si>
  <si>
    <t>C36_Cl15_a</t>
  </si>
  <si>
    <t>C36_Cl15_b</t>
  </si>
  <si>
    <t>C36_Cl16_a</t>
  </si>
  <si>
    <t>C36_Cl16_b</t>
  </si>
  <si>
    <t>C36_Cl17_a</t>
  </si>
  <si>
    <t>C36_Cl17_b</t>
  </si>
  <si>
    <t>C36_Cl18_a</t>
  </si>
  <si>
    <t>C36_Cl18_b</t>
  </si>
  <si>
    <t>C36_Cl19_a</t>
  </si>
  <si>
    <t>C36_Cl19_b</t>
  </si>
  <si>
    <t>C36_Cl20_a</t>
  </si>
  <si>
    <t>C36_Cl20_b</t>
  </si>
  <si>
    <t>C36_Cl21_a</t>
  </si>
  <si>
    <t>C36_Cl21_b</t>
  </si>
  <si>
    <t>C36_Cl22_a</t>
  </si>
  <si>
    <t>C36_Cl22_b</t>
  </si>
  <si>
    <t>C36_Cl23_a</t>
  </si>
  <si>
    <t>C36_Cl23_b</t>
  </si>
  <si>
    <t>C36_Cl24_a</t>
  </si>
  <si>
    <t>C36_Cl24_b</t>
  </si>
  <si>
    <t>C36_Cl25_a</t>
  </si>
  <si>
    <t>C36_Cl25_b</t>
  </si>
  <si>
    <t>C36_Cl26_a</t>
  </si>
  <si>
    <t>C36_Cl26_b</t>
  </si>
  <si>
    <t>C36_Cl27_a</t>
  </si>
  <si>
    <t>C36_Cl27_b</t>
  </si>
  <si>
    <t>C36_Cl28_a</t>
  </si>
  <si>
    <t>C36_Cl28_b</t>
  </si>
  <si>
    <t>C36_Cl29_a</t>
  </si>
  <si>
    <t>C36_Cl29_b</t>
  </si>
  <si>
    <t>C36_Cl30_a</t>
  </si>
  <si>
    <t>C36_Cl30_b</t>
  </si>
  <si>
    <r>
      <rPr>
        <b/>
        <sz val="11"/>
        <color rgb="FF0070C0"/>
        <rFont val="Calibri"/>
        <family val="2"/>
      </rPr>
      <t>∑</t>
    </r>
    <r>
      <rPr>
        <b/>
        <sz val="11"/>
        <color rgb="FF0070C0"/>
        <rFont val="Calibri"/>
        <family val="2"/>
        <scheme val="minor"/>
      </rPr>
      <t>Pattern (x10</t>
    </r>
    <r>
      <rPr>
        <b/>
        <vertAlign val="superscript"/>
        <sz val="11"/>
        <color rgb="FF0070C0"/>
        <rFont val="Calibri"/>
        <family val="2"/>
        <scheme val="minor"/>
      </rPr>
      <t>6</t>
    </r>
    <r>
      <rPr>
        <b/>
        <sz val="11"/>
        <color rgb="FF0070C0"/>
        <rFont val="Calibri"/>
        <family val="2"/>
        <scheme val="minor"/>
      </rPr>
      <t>)</t>
    </r>
  </si>
  <si>
    <r>
      <t>∑Intensity (x10</t>
    </r>
    <r>
      <rPr>
        <b/>
        <vertAlign val="superscript"/>
        <sz val="11"/>
        <color theme="1"/>
        <rFont val="Calibri"/>
        <family val="2"/>
        <scheme val="minor"/>
      </rPr>
      <t>6</t>
    </r>
    <r>
      <rPr>
        <b/>
        <sz val="11"/>
        <color theme="1"/>
        <rFont val="Calibri"/>
        <family val="2"/>
        <scheme val="minor"/>
      </rPr>
      <t>)</t>
    </r>
  </si>
  <si>
    <t>C08_Cl09</t>
  </si>
  <si>
    <t>C08_Cl10</t>
  </si>
  <si>
    <t>C09_Cl10</t>
  </si>
  <si>
    <t>C09_Cl11</t>
  </si>
  <si>
    <t>C10_Cl11</t>
  </si>
  <si>
    <t>C10_Cl12</t>
  </si>
  <si>
    <t>C11_Cl12</t>
  </si>
  <si>
    <t>C11_Cl13</t>
  </si>
  <si>
    <t>C12_Cl13</t>
  </si>
  <si>
    <t>C12_Cl14</t>
  </si>
  <si>
    <t>C13_Cl14</t>
  </si>
  <si>
    <t>C13_Cl15</t>
  </si>
  <si>
    <t>C14_Cl15</t>
  </si>
  <si>
    <t>C14_Cl16</t>
  </si>
  <si>
    <t>C15_Cl16</t>
  </si>
  <si>
    <t>C15_Cl17</t>
  </si>
  <si>
    <t>C16_Cl18</t>
  </si>
  <si>
    <t>C17_Cl18</t>
  </si>
  <si>
    <t>C17_Cl19</t>
  </si>
  <si>
    <t>C18_Cl19</t>
  </si>
  <si>
    <t>C18_Cl20</t>
  </si>
  <si>
    <t>C19_Cl20</t>
  </si>
  <si>
    <t>C19_Cl21</t>
  </si>
  <si>
    <t>C20_Cl20</t>
  </si>
  <si>
    <t>C20_Cl21</t>
  </si>
  <si>
    <t>C20_Cl22</t>
  </si>
  <si>
    <t>C21_Cl19</t>
  </si>
  <si>
    <t>C21_Cl20</t>
  </si>
  <si>
    <t>C21_Cl21</t>
  </si>
  <si>
    <t>C21_Cl22</t>
  </si>
  <si>
    <t>C21_Cl23</t>
  </si>
  <si>
    <t>C22_Cl19</t>
  </si>
  <si>
    <t>C22_Cl20</t>
  </si>
  <si>
    <t>C22_Cl21</t>
  </si>
  <si>
    <t>C22_Cl22</t>
  </si>
  <si>
    <t>C22_Cl23</t>
  </si>
  <si>
    <t>C22_Cl24</t>
  </si>
  <si>
    <t>C23_Cl18</t>
  </si>
  <si>
    <t>C23_Cl19</t>
  </si>
  <si>
    <t>C23_Cl20</t>
  </si>
  <si>
    <t>C23_Cl21</t>
  </si>
  <si>
    <t>C23_Cl22</t>
  </si>
  <si>
    <t>C23_Cl23</t>
  </si>
  <si>
    <t>C23_Cl24</t>
  </si>
  <si>
    <t>C23_Cl25</t>
  </si>
  <si>
    <t>C24_Cl18</t>
  </si>
  <si>
    <t>C24_Cl19</t>
  </si>
  <si>
    <t>C24_Cl20</t>
  </si>
  <si>
    <t>C24_Cl21</t>
  </si>
  <si>
    <t>C24_Cl22</t>
  </si>
  <si>
    <t>C24_Cl23</t>
  </si>
  <si>
    <t>C24_Cl24</t>
  </si>
  <si>
    <t>C24_Cl25</t>
  </si>
  <si>
    <t>C24_Cl26</t>
  </si>
  <si>
    <t>C25_Cl18</t>
  </si>
  <si>
    <t>C25_Cl19</t>
  </si>
  <si>
    <t>C25_Cl20</t>
  </si>
  <si>
    <t>C25_Cl21</t>
  </si>
  <si>
    <t>C25_Cl22</t>
  </si>
  <si>
    <t>C25_Cl23</t>
  </si>
  <si>
    <t>C25_Cl24</t>
  </si>
  <si>
    <t>C25_Cl25</t>
  </si>
  <si>
    <t>C25_Cl26</t>
  </si>
  <si>
    <t>C25_Cl27</t>
  </si>
  <si>
    <t>C26_Cl17</t>
  </si>
  <si>
    <t>C26_Cl18</t>
  </si>
  <si>
    <t>C26_Cl19</t>
  </si>
  <si>
    <t>C26_Cl20</t>
  </si>
  <si>
    <t>C26_Cl21</t>
  </si>
  <si>
    <t>C26_Cl22</t>
  </si>
  <si>
    <t>C26_Cl23</t>
  </si>
  <si>
    <t>C26_Cl24</t>
  </si>
  <si>
    <t>C26_Cl25</t>
  </si>
  <si>
    <t>C26_Cl26</t>
  </si>
  <si>
    <t>C26_Cl27</t>
  </si>
  <si>
    <t>C26_Cl28</t>
  </si>
  <si>
    <t>C27_Cl17</t>
  </si>
  <si>
    <t>C27_Cl18</t>
  </si>
  <si>
    <t>C27_Cl19</t>
  </si>
  <si>
    <t>C27_Cl20</t>
  </si>
  <si>
    <t>C27_Cl21</t>
  </si>
  <si>
    <t>C27_Cl22</t>
  </si>
  <si>
    <t>C27_Cl23</t>
  </si>
  <si>
    <t>C27_Cl24</t>
  </si>
  <si>
    <t>C27_Cl25</t>
  </si>
  <si>
    <t>C27_Cl26</t>
  </si>
  <si>
    <t>C27_Cl27</t>
  </si>
  <si>
    <t>C27_Cl28</t>
  </si>
  <si>
    <t>C27_Cl29</t>
  </si>
  <si>
    <t>C28_Cl17</t>
  </si>
  <si>
    <t>C28_Cl18</t>
  </si>
  <si>
    <t>C28_Cl19</t>
  </si>
  <si>
    <t>C28_Cl20</t>
  </si>
  <si>
    <t>C28_Cl21</t>
  </si>
  <si>
    <t>C28_Cl22</t>
  </si>
  <si>
    <t>C28_Cl23</t>
  </si>
  <si>
    <t>C28_Cl24</t>
  </si>
  <si>
    <t>C28_Cl25</t>
  </si>
  <si>
    <t>C28_Cl26</t>
  </si>
  <si>
    <t>C28_Cl27</t>
  </si>
  <si>
    <t>C28_Cl28</t>
  </si>
  <si>
    <t>C28_Cl29</t>
  </si>
  <si>
    <t>C28_Cl30</t>
  </si>
  <si>
    <t>C29_Cl16</t>
  </si>
  <si>
    <t>C29_Cl17</t>
  </si>
  <si>
    <t>C29_Cl18</t>
  </si>
  <si>
    <t>C29_Cl19</t>
  </si>
  <si>
    <t>C29_Cl20</t>
  </si>
  <si>
    <t>C29_Cl21</t>
  </si>
  <si>
    <t>C29_Cl22</t>
  </si>
  <si>
    <t>C29_Cl23</t>
  </si>
  <si>
    <t>C29_Cl24</t>
  </si>
  <si>
    <t>C29_Cl25</t>
  </si>
  <si>
    <t>C29_Cl26</t>
  </si>
  <si>
    <t>C29_Cl27</t>
  </si>
  <si>
    <t>C29_Cl28</t>
  </si>
  <si>
    <t>C29_Cl29</t>
  </si>
  <si>
    <t>C29_Cl30</t>
  </si>
  <si>
    <t>C30_Cl16</t>
  </si>
  <si>
    <t>C30_Cl17</t>
  </si>
  <si>
    <t>C30_Cl18</t>
  </si>
  <si>
    <t>C30_Cl19</t>
  </si>
  <si>
    <t>C30_Cl20</t>
  </si>
  <si>
    <t>C30_Cl21</t>
  </si>
  <si>
    <t>C30_Cl22</t>
  </si>
  <si>
    <t>C30_Cl23</t>
  </si>
  <si>
    <t>C30_Cl24</t>
  </si>
  <si>
    <t>C30_Cl25</t>
  </si>
  <si>
    <t>C30_Cl26</t>
  </si>
  <si>
    <t>C30_Cl27</t>
  </si>
  <si>
    <t>C30_Cl28</t>
  </si>
  <si>
    <t>C30_Cl29</t>
  </si>
  <si>
    <t>C30_Cl30</t>
  </si>
  <si>
    <t>C31_Cl15</t>
  </si>
  <si>
    <t>C31_Cl16</t>
  </si>
  <si>
    <t>C31_Cl17</t>
  </si>
  <si>
    <t>C31_Cl18</t>
  </si>
  <si>
    <t>C31_Cl19</t>
  </si>
  <si>
    <t>C31_Cl20</t>
  </si>
  <si>
    <t>C31_Cl21</t>
  </si>
  <si>
    <t>C31_Cl22</t>
  </si>
  <si>
    <t>C31_Cl23</t>
  </si>
  <si>
    <t>C31_Cl24</t>
  </si>
  <si>
    <t>C31_Cl25</t>
  </si>
  <si>
    <t>C31_Cl26</t>
  </si>
  <si>
    <t>C31_Cl27</t>
  </si>
  <si>
    <t>C31_Cl28</t>
  </si>
  <si>
    <t>C31_Cl29</t>
  </si>
  <si>
    <t>C31_Cl30</t>
  </si>
  <si>
    <t>C32_Cl15</t>
  </si>
  <si>
    <t>C32_Cl16</t>
  </si>
  <si>
    <t>C32_Cl17</t>
  </si>
  <si>
    <t>C32_Cl18</t>
  </si>
  <si>
    <t>C32_Cl19</t>
  </si>
  <si>
    <t>C32_Cl20</t>
  </si>
  <si>
    <t>C32_Cl21</t>
  </si>
  <si>
    <t>C32_Cl22</t>
  </si>
  <si>
    <t>C32_Cl23</t>
  </si>
  <si>
    <t>C32_Cl24</t>
  </si>
  <si>
    <t>C32_Cl25</t>
  </si>
  <si>
    <t>C32_Cl26</t>
  </si>
  <si>
    <t>C32_Cl27</t>
  </si>
  <si>
    <t>C32_Cl28</t>
  </si>
  <si>
    <t>C32_Cl29</t>
  </si>
  <si>
    <t>C32_Cl30</t>
  </si>
  <si>
    <t>C33_Cl14</t>
  </si>
  <si>
    <t>C33_Cl15</t>
  </si>
  <si>
    <t>C33_Cl16</t>
  </si>
  <si>
    <t>C33_Cl17</t>
  </si>
  <si>
    <t>C33_Cl18</t>
  </si>
  <si>
    <t>C33_Cl19</t>
  </si>
  <si>
    <t>C33_Cl20</t>
  </si>
  <si>
    <t>C33_Cl21</t>
  </si>
  <si>
    <t>C33_Cl22</t>
  </si>
  <si>
    <t>C33_Cl23</t>
  </si>
  <si>
    <t>C33_Cl24</t>
  </si>
  <si>
    <t>C33_Cl25</t>
  </si>
  <si>
    <t>C33_Cl26</t>
  </si>
  <si>
    <t>C33_Cl27</t>
  </si>
  <si>
    <t>C33_Cl28</t>
  </si>
  <si>
    <t>C33_Cl29</t>
  </si>
  <si>
    <t>C33_Cl30</t>
  </si>
  <si>
    <t>C34_Cl14</t>
  </si>
  <si>
    <t>C34_Cl15</t>
  </si>
  <si>
    <t>C34_Cl16</t>
  </si>
  <si>
    <t>C34_Cl17</t>
  </si>
  <si>
    <t>C34_Cl18</t>
  </si>
  <si>
    <t>C34_Cl19</t>
  </si>
  <si>
    <t>C34_Cl20</t>
  </si>
  <si>
    <t>C34_Cl21</t>
  </si>
  <si>
    <t>C34_Cl22</t>
  </si>
  <si>
    <t>C34_Cl23</t>
  </si>
  <si>
    <t>C34_Cl24</t>
  </si>
  <si>
    <t>C34_Cl25</t>
  </si>
  <si>
    <t>C34_Cl26</t>
  </si>
  <si>
    <t>C34_Cl27</t>
  </si>
  <si>
    <t>C34_Cl28</t>
  </si>
  <si>
    <t>C34_Cl29</t>
  </si>
  <si>
    <t>C34_Cl30</t>
  </si>
  <si>
    <t>C35_Cl14</t>
  </si>
  <si>
    <t>C35_Cl15</t>
  </si>
  <si>
    <t>C35_Cl16</t>
  </si>
  <si>
    <t>C35_Cl17</t>
  </si>
  <si>
    <t>C35_Cl18</t>
  </si>
  <si>
    <t>C35_Cl19</t>
  </si>
  <si>
    <t>C35_Cl20</t>
  </si>
  <si>
    <t>C35_Cl21</t>
  </si>
  <si>
    <t>C35_Cl22</t>
  </si>
  <si>
    <t>C35_Cl23</t>
  </si>
  <si>
    <t>C35_Cl24</t>
  </si>
  <si>
    <t>C35_Cl25</t>
  </si>
  <si>
    <t>C35_Cl26</t>
  </si>
  <si>
    <t>C35_Cl27</t>
  </si>
  <si>
    <t>C35_Cl28</t>
  </si>
  <si>
    <t>C35_Cl29</t>
  </si>
  <si>
    <t>C35_Cl30</t>
  </si>
  <si>
    <t>C36_Cl13</t>
  </si>
  <si>
    <t>C36_Cl14</t>
  </si>
  <si>
    <t>C36_Cl15</t>
  </si>
  <si>
    <t>C36_Cl16</t>
  </si>
  <si>
    <t>C36_Cl17</t>
  </si>
  <si>
    <t>C36_Cl18</t>
  </si>
  <si>
    <t>C36_Cl19</t>
  </si>
  <si>
    <t>C36_Cl20</t>
  </si>
  <si>
    <t>C36_Cl21</t>
  </si>
  <si>
    <t>C36_Cl22</t>
  </si>
  <si>
    <t>C36_Cl23</t>
  </si>
  <si>
    <t>C36_Cl24</t>
  </si>
  <si>
    <t>C36_Cl25</t>
  </si>
  <si>
    <t>C36_Cl26</t>
  </si>
  <si>
    <t>C36_Cl27</t>
  </si>
  <si>
    <t>C36_Cl28</t>
  </si>
  <si>
    <t>C36_Cl29</t>
  </si>
  <si>
    <t>C36_Cl30</t>
  </si>
  <si>
    <t>_b</t>
  </si>
  <si>
    <t>Homologue</t>
  </si>
  <si>
    <t>MCCP</t>
  </si>
  <si>
    <t>LCCP L%Cl</t>
  </si>
  <si>
    <t>LCCP H%Cl</t>
  </si>
  <si>
    <t>SCCP L%Cl</t>
  </si>
  <si>
    <t>Tot</t>
  </si>
  <si>
    <t>SCCP H%Cl</t>
  </si>
  <si>
    <t>deviation(ppm)</t>
  </si>
  <si>
    <t>RT range</t>
  </si>
  <si>
    <t xml:space="preserve"> 2-16</t>
  </si>
  <si>
    <t>concentration HBCD</t>
  </si>
  <si>
    <t>concentration CP</t>
  </si>
  <si>
    <t>aire HBCD</t>
  </si>
  <si>
    <t>Ahomolgoue/AHBCD</t>
  </si>
  <si>
    <t>moyenne</t>
  </si>
  <si>
    <t>ecartype</t>
  </si>
  <si>
    <t>RSD</t>
  </si>
  <si>
    <t>%RSD</t>
  </si>
  <si>
    <t>13C-HBCD_a</t>
  </si>
  <si>
    <t>13C-HBCD_b</t>
  </si>
  <si>
    <t>D18-HBCD_a</t>
  </si>
  <si>
    <t>D18-HBCD_b</t>
  </si>
  <si>
    <t>gamma</t>
  </si>
  <si>
    <t>beta</t>
  </si>
  <si>
    <t>13C-HBCD</t>
  </si>
  <si>
    <t>D-18 HBCD</t>
  </si>
  <si>
    <r>
      <t>m/z of quantifier [M+Cl]</t>
    </r>
    <r>
      <rPr>
        <b/>
        <vertAlign val="superscript"/>
        <sz val="11"/>
        <color rgb="FF0070C0"/>
        <rFont val="Calibri"/>
        <family val="2"/>
        <scheme val="minor"/>
      </rPr>
      <t>-</t>
    </r>
  </si>
  <si>
    <r>
      <t>m/z of qualifier [M+Cl]</t>
    </r>
    <r>
      <rPr>
        <b/>
        <vertAlign val="superscript"/>
        <sz val="11"/>
        <color rgb="FF0070C0"/>
        <rFont val="Calibri"/>
        <family val="2"/>
        <scheme val="minor"/>
      </rPr>
      <t>-</t>
    </r>
  </si>
  <si>
    <t>ratio b/a</t>
  </si>
  <si>
    <t>aire 13C-HBCD</t>
  </si>
  <si>
    <t>quantitee injectee théorique</t>
  </si>
  <si>
    <t xml:space="preserve"> 2-14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</si>
</sst>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"/>
    <numFmt numFmtId="165" formatCode="0.0"/>
    <numFmt numFmtId="166" formatCode="0.0%"/>
    <numFmt numFmtId="167" formatCode="0.0000"/>
    <numFmt numFmtId="168" formatCode="#,##0.0"/>
    <numFmt numFmtId="169" formatCode="#,##0.000"/>
    <numFmt numFmtId="170" formatCode="0.0E+00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Palatino Linotype"/>
      <family val="2"/>
    </font>
    <font>
      <b/>
      <sz val="15"/>
      <color theme="3"/>
      <name val="Palatino Linotype"/>
      <family val="2"/>
    </font>
    <font>
      <b/>
      <sz val="13"/>
      <color theme="3"/>
      <name val="Palatino Linotype"/>
      <family val="2"/>
    </font>
    <font>
      <b/>
      <sz val="11"/>
      <color theme="3"/>
      <name val="Palatino Linotype"/>
      <family val="2"/>
    </font>
    <font>
      <sz val="10"/>
      <color rgb="FF006100"/>
      <name val="Palatino Linotype"/>
      <family val="2"/>
    </font>
    <font>
      <sz val="10"/>
      <color rgb="FF9C0006"/>
      <name val="Palatino Linotype"/>
      <family val="2"/>
    </font>
    <font>
      <sz val="10"/>
      <color rgb="FF9C6500"/>
      <name val="Palatino Linotype"/>
      <family val="2"/>
    </font>
    <font>
      <sz val="10"/>
      <color rgb="FF3F3F76"/>
      <name val="Palatino Linotype"/>
      <family val="2"/>
    </font>
    <font>
      <b/>
      <sz val="10"/>
      <color rgb="FF3F3F3F"/>
      <name val="Palatino Linotype"/>
      <family val="2"/>
    </font>
    <font>
      <b/>
      <sz val="10"/>
      <color rgb="FFFA7D00"/>
      <name val="Palatino Linotype"/>
      <family val="2"/>
    </font>
    <font>
      <sz val="10"/>
      <color rgb="FFFA7D00"/>
      <name val="Palatino Linotype"/>
      <family val="2"/>
    </font>
    <font>
      <b/>
      <sz val="10"/>
      <color theme="0"/>
      <name val="Palatino Linotype"/>
      <family val="2"/>
    </font>
    <font>
      <sz val="10"/>
      <color rgb="FFFF0000"/>
      <name val="Palatino Linotype"/>
      <family val="2"/>
    </font>
    <font>
      <i/>
      <sz val="10"/>
      <color rgb="FF7F7F7F"/>
      <name val="Palatino Linotype"/>
      <family val="2"/>
    </font>
    <font>
      <b/>
      <sz val="10"/>
      <color theme="1"/>
      <name val="Palatino Linotype"/>
      <family val="2"/>
    </font>
    <font>
      <sz val="10"/>
      <color theme="0"/>
      <name val="Palatino Linotype"/>
      <family val="2"/>
    </font>
    <font>
      <b/>
      <sz val="10"/>
      <color theme="1"/>
      <name val="Palatino Linotype"/>
      <family val="1"/>
    </font>
    <font>
      <sz val="11"/>
      <color rgb="FF0070C0"/>
      <name val="Calibri"/>
      <family val="2"/>
      <scheme val="minor"/>
    </font>
    <font>
      <sz val="10"/>
      <color rgb="FFFFC000"/>
      <name val="Palatino Linotype"/>
      <family val="2"/>
    </font>
    <font>
      <sz val="11"/>
      <color rgb="FF92D05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vertAlign val="superscript"/>
      <sz val="11"/>
      <color rgb="FF0070C0"/>
      <name val="Calibri"/>
      <family val="2"/>
      <scheme val="minor"/>
    </font>
    <font>
      <sz val="10"/>
      <color rgb="FF0000FF"/>
      <name val="Palatino Linotype"/>
      <family val="2"/>
    </font>
    <font>
      <sz val="11"/>
      <color rgb="FF0000FF"/>
      <name val="Calibri"/>
      <family val="2"/>
      <scheme val="minor"/>
    </font>
    <font>
      <sz val="10"/>
      <color rgb="FF92D050"/>
      <name val="Palatino Linotype"/>
      <family val="2"/>
    </font>
    <font>
      <b/>
      <sz val="11"/>
      <color rgb="FF00B05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vertAlign val="superscript"/>
      <sz val="11"/>
      <color rgb="FF92D050"/>
      <name val="Calibri"/>
      <family val="2"/>
      <scheme val="minor"/>
    </font>
    <font>
      <b/>
      <sz val="11"/>
      <color rgb="FF0070C0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b/>
      <sz val="10"/>
      <color rgb="FF92D050"/>
      <name val="Palatino Linotype"/>
      <family val="1"/>
    </font>
    <font>
      <sz val="11"/>
      <color rgb="FF00B050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8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1" applyNumberFormat="0" applyFill="0" applyAlignment="0" applyProtection="0"/>
    <xf numFmtId="0" fontId="20" fillId="0" borderId="2" applyNumberFormat="0" applyFill="0" applyAlignment="0" applyProtection="0"/>
    <xf numFmtId="0" fontId="21" fillId="0" borderId="3" applyNumberFormat="0" applyFill="0" applyAlignment="0" applyProtection="0"/>
    <xf numFmtId="0" fontId="21" fillId="0" borderId="0" applyNumberFormat="0" applyFill="0" applyBorder="0" applyAlignment="0" applyProtection="0"/>
    <xf numFmtId="0" fontId="22" fillId="2" borderId="0" applyNumberFormat="0" applyBorder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5" borderId="4" applyNumberFormat="0" applyAlignment="0" applyProtection="0"/>
    <xf numFmtId="0" fontId="26" fillId="6" borderId="5" applyNumberFormat="0" applyAlignment="0" applyProtection="0"/>
    <xf numFmtId="0" fontId="27" fillId="6" borderId="4" applyNumberFormat="0" applyAlignment="0" applyProtection="0"/>
    <xf numFmtId="0" fontId="28" fillId="0" borderId="6" applyNumberFormat="0" applyFill="0" applyAlignment="0" applyProtection="0"/>
    <xf numFmtId="0" fontId="29" fillId="7" borderId="7" applyNumberFormat="0" applyAlignment="0" applyProtection="0"/>
    <xf numFmtId="0" fontId="30" fillId="0" borderId="0" applyNumberFormat="0" applyFill="0" applyBorder="0" applyAlignment="0" applyProtection="0"/>
    <xf numFmtId="0" fontId="18" fillId="8" borderId="8" applyNumberFormat="0" applyFont="0" applyAlignment="0" applyProtection="0"/>
    <xf numFmtId="0" fontId="31" fillId="0" borderId="0" applyNumberFormat="0" applyFill="0" applyBorder="0" applyAlignment="0" applyProtection="0"/>
    <xf numFmtId="0" fontId="32" fillId="0" borderId="9" applyNumberFormat="0" applyFill="0" applyAlignment="0" applyProtection="0"/>
    <xf numFmtId="0" fontId="33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33" fillId="20" borderId="0" applyNumberFormat="0" applyBorder="0" applyAlignment="0" applyProtection="0"/>
    <xf numFmtId="0" fontId="33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23" borderId="0" applyNumberFormat="0" applyBorder="0" applyAlignment="0" applyProtection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33" fillId="32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256">
    <xf numFmtId="0" fontId="0" fillId="0" borderId="0" xfId="0"/>
    <xf numFmtId="3" fontId="36" fillId="33" borderId="0" xfId="42" applyNumberFormat="1" applyFont="1" applyFill="1" applyAlignment="1" applyProtection="1">
      <alignment horizontal="right"/>
    </xf>
    <xf numFmtId="0" fontId="34" fillId="34" borderId="18" xfId="42" applyFont="1" applyFill="1" applyBorder="1"/>
    <xf numFmtId="0" fontId="34" fillId="34" borderId="19" xfId="42" applyFont="1" applyFill="1" applyBorder="1"/>
    <xf numFmtId="0" fontId="34" fillId="34" borderId="20" xfId="42" applyFont="1" applyFill="1" applyBorder="1"/>
    <xf numFmtId="0" fontId="34" fillId="34" borderId="22" xfId="42" applyFont="1" applyFill="1" applyBorder="1"/>
    <xf numFmtId="3" fontId="18" fillId="33" borderId="0" xfId="42" applyNumberFormat="1" applyFill="1" applyAlignment="1" applyProtection="1">
      <alignment horizontal="right"/>
    </xf>
    <xf numFmtId="0" fontId="0" fillId="33" borderId="0" xfId="0" applyFill="1"/>
    <xf numFmtId="0" fontId="35" fillId="33" borderId="0" xfId="0" applyFont="1" applyFill="1"/>
    <xf numFmtId="3" fontId="18" fillId="33" borderId="12" xfId="42" applyNumberFormat="1" applyFill="1" applyBorder="1" applyAlignment="1" applyProtection="1">
      <alignment horizontal="right"/>
    </xf>
    <xf numFmtId="0" fontId="0" fillId="33" borderId="0" xfId="0" applyFill="1" applyProtection="1"/>
    <xf numFmtId="3" fontId="18" fillId="33" borderId="0" xfId="42" applyNumberFormat="1" applyFill="1" applyBorder="1" applyAlignment="1" applyProtection="1">
      <alignment horizontal="right"/>
    </xf>
    <xf numFmtId="3" fontId="18" fillId="33" borderId="16" xfId="42" applyNumberFormat="1" applyFill="1" applyBorder="1" applyAlignment="1" applyProtection="1">
      <alignment horizontal="right"/>
    </xf>
    <xf numFmtId="3" fontId="18" fillId="33" borderId="17" xfId="42" applyNumberFormat="1" applyFill="1" applyBorder="1" applyAlignment="1" applyProtection="1">
      <alignment horizontal="right"/>
    </xf>
    <xf numFmtId="3" fontId="18" fillId="33" borderId="13" xfId="42" applyNumberFormat="1" applyFill="1" applyBorder="1" applyAlignment="1" applyProtection="1">
      <alignment horizontal="right"/>
    </xf>
    <xf numFmtId="3" fontId="36" fillId="33" borderId="12" xfId="42" applyNumberFormat="1" applyFont="1" applyFill="1" applyBorder="1" applyAlignment="1" applyProtection="1">
      <alignment horizontal="right"/>
    </xf>
    <xf numFmtId="0" fontId="0" fillId="33" borderId="0" xfId="0" applyFill="1" applyAlignment="1">
      <alignment horizontal="center"/>
    </xf>
    <xf numFmtId="0" fontId="34" fillId="34" borderId="21" xfId="42" applyFont="1" applyFill="1" applyBorder="1" applyAlignment="1">
      <alignment horizontal="center"/>
    </xf>
    <xf numFmtId="0" fontId="34" fillId="34" borderId="10" xfId="42" applyFont="1" applyFill="1" applyBorder="1" applyAlignment="1">
      <alignment horizontal="center"/>
    </xf>
    <xf numFmtId="0" fontId="34" fillId="34" borderId="15" xfId="42" applyFont="1" applyFill="1" applyBorder="1" applyAlignment="1">
      <alignment horizontal="center"/>
    </xf>
    <xf numFmtId="165" fontId="18" fillId="33" borderId="0" xfId="42" applyNumberFormat="1" applyFill="1" applyBorder="1" applyAlignment="1" applyProtection="1">
      <alignment horizontal="center"/>
    </xf>
    <xf numFmtId="165" fontId="18" fillId="33" borderId="16" xfId="42" applyNumberFormat="1" applyFill="1" applyBorder="1" applyAlignment="1" applyProtection="1">
      <alignment horizontal="center"/>
    </xf>
    <xf numFmtId="165" fontId="0" fillId="33" borderId="0" xfId="0" applyNumberFormat="1" applyFill="1" applyAlignment="1">
      <alignment horizontal="center"/>
    </xf>
    <xf numFmtId="165" fontId="18" fillId="33" borderId="12" xfId="42" applyNumberFormat="1" applyFill="1" applyBorder="1" applyAlignment="1" applyProtection="1">
      <alignment horizontal="center"/>
    </xf>
    <xf numFmtId="165" fontId="18" fillId="33" borderId="17" xfId="42" applyNumberFormat="1" applyFill="1" applyBorder="1" applyAlignment="1" applyProtection="1">
      <alignment horizontal="center"/>
    </xf>
    <xf numFmtId="165" fontId="18" fillId="33" borderId="0" xfId="42" applyNumberFormat="1" applyFill="1" applyAlignment="1" applyProtection="1">
      <alignment horizontal="center"/>
    </xf>
    <xf numFmtId="165" fontId="0" fillId="33" borderId="0" xfId="0" applyNumberFormat="1" applyFill="1" applyBorder="1" applyAlignment="1">
      <alignment horizontal="center"/>
    </xf>
    <xf numFmtId="165" fontId="0" fillId="33" borderId="11" xfId="0" applyNumberFormat="1" applyFill="1" applyBorder="1" applyAlignment="1">
      <alignment horizontal="center"/>
    </xf>
    <xf numFmtId="3" fontId="36" fillId="33" borderId="13" xfId="42" applyNumberFormat="1" applyFont="1" applyFill="1" applyBorder="1" applyAlignment="1" applyProtection="1">
      <alignment horizontal="right"/>
    </xf>
    <xf numFmtId="3" fontId="36" fillId="33" borderId="16" xfId="42" applyNumberFormat="1" applyFont="1" applyFill="1" applyBorder="1" applyAlignment="1" applyProtection="1">
      <alignment horizontal="right"/>
    </xf>
    <xf numFmtId="3" fontId="36" fillId="33" borderId="17" xfId="42" applyNumberFormat="1" applyFont="1" applyFill="1" applyBorder="1" applyAlignment="1" applyProtection="1">
      <alignment horizontal="right"/>
    </xf>
    <xf numFmtId="3" fontId="36" fillId="33" borderId="0" xfId="42" applyNumberFormat="1" applyFont="1" applyFill="1" applyBorder="1" applyAlignment="1" applyProtection="1">
      <alignment horizontal="right"/>
    </xf>
    <xf numFmtId="3" fontId="36" fillId="33" borderId="27" xfId="42" applyNumberFormat="1" applyFont="1" applyFill="1" applyBorder="1" applyAlignment="1" applyProtection="1">
      <alignment horizontal="right"/>
    </xf>
    <xf numFmtId="3" fontId="36" fillId="33" borderId="11" xfId="42" applyNumberFormat="1" applyFont="1" applyFill="1" applyBorder="1" applyAlignment="1" applyProtection="1">
      <alignment horizontal="right"/>
    </xf>
    <xf numFmtId="3" fontId="36" fillId="33" borderId="14" xfId="42" applyNumberFormat="1" applyFont="1" applyFill="1" applyBorder="1" applyAlignment="1" applyProtection="1">
      <alignment horizontal="right"/>
    </xf>
    <xf numFmtId="0" fontId="39" fillId="33" borderId="0" xfId="0" applyFont="1" applyFill="1"/>
    <xf numFmtId="3" fontId="36" fillId="33" borderId="24" xfId="42" applyNumberFormat="1" applyFont="1" applyFill="1" applyBorder="1" applyAlignment="1" applyProtection="1">
      <alignment horizontal="right"/>
    </xf>
    <xf numFmtId="3" fontId="36" fillId="33" borderId="26" xfId="42" applyNumberFormat="1" applyFont="1" applyFill="1" applyBorder="1" applyAlignment="1" applyProtection="1">
      <alignment horizontal="right"/>
    </xf>
    <xf numFmtId="164" fontId="18" fillId="33" borderId="0" xfId="42" applyNumberFormat="1" applyFill="1" applyBorder="1" applyAlignment="1" applyProtection="1">
      <alignment horizontal="center"/>
    </xf>
    <xf numFmtId="164" fontId="18" fillId="33" borderId="16" xfId="42" applyNumberFormat="1" applyFill="1" applyBorder="1" applyAlignment="1" applyProtection="1">
      <alignment horizontal="center"/>
    </xf>
    <xf numFmtId="164" fontId="0" fillId="33" borderId="0" xfId="0" applyNumberFormat="1" applyFill="1" applyAlignment="1">
      <alignment horizontal="center"/>
    </xf>
    <xf numFmtId="164" fontId="18" fillId="33" borderId="12" xfId="42" applyNumberFormat="1" applyFill="1" applyBorder="1" applyAlignment="1" applyProtection="1">
      <alignment horizontal="center"/>
    </xf>
    <xf numFmtId="164" fontId="18" fillId="33" borderId="17" xfId="42" applyNumberFormat="1" applyFill="1" applyBorder="1" applyAlignment="1" applyProtection="1">
      <alignment horizontal="center"/>
    </xf>
    <xf numFmtId="164" fontId="18" fillId="33" borderId="0" xfId="42" applyNumberFormat="1" applyFill="1" applyAlignment="1" applyProtection="1">
      <alignment horizontal="center"/>
    </xf>
    <xf numFmtId="164" fontId="0" fillId="33" borderId="0" xfId="0" applyNumberFormat="1" applyFill="1" applyBorder="1" applyAlignment="1">
      <alignment horizontal="center"/>
    </xf>
    <xf numFmtId="164" fontId="0" fillId="33" borderId="11" xfId="0" applyNumberFormat="1" applyFill="1" applyBorder="1" applyAlignment="1">
      <alignment horizontal="center"/>
    </xf>
    <xf numFmtId="3" fontId="18" fillId="33" borderId="14" xfId="42" applyNumberFormat="1" applyFill="1" applyBorder="1" applyAlignment="1" applyProtection="1">
      <alignment horizontal="right"/>
    </xf>
    <xf numFmtId="3" fontId="18" fillId="33" borderId="11" xfId="42" applyNumberFormat="1" applyFill="1" applyBorder="1" applyAlignment="1" applyProtection="1">
      <alignment horizontal="right"/>
    </xf>
    <xf numFmtId="164" fontId="0" fillId="33" borderId="0" xfId="0" applyNumberFormat="1" applyFill="1"/>
    <xf numFmtId="165" fontId="0" fillId="33" borderId="0" xfId="0" applyNumberFormat="1" applyFill="1"/>
    <xf numFmtId="3" fontId="36" fillId="33" borderId="25" xfId="42" applyNumberFormat="1" applyFont="1" applyFill="1" applyBorder="1" applyAlignment="1" applyProtection="1">
      <alignment horizontal="right"/>
    </xf>
    <xf numFmtId="164" fontId="0" fillId="33" borderId="16" xfId="0" applyNumberFormat="1" applyFill="1" applyBorder="1"/>
    <xf numFmtId="164" fontId="0" fillId="33" borderId="14" xfId="0" applyNumberFormat="1" applyFill="1" applyBorder="1"/>
    <xf numFmtId="164" fontId="0" fillId="33" borderId="13" xfId="0" applyNumberFormat="1" applyFill="1" applyBorder="1"/>
    <xf numFmtId="164" fontId="18" fillId="33" borderId="28" xfId="42" applyNumberFormat="1" applyFill="1" applyBorder="1" applyAlignment="1" applyProtection="1">
      <alignment horizontal="center"/>
    </xf>
    <xf numFmtId="164" fontId="0" fillId="33" borderId="17" xfId="0" applyNumberFormat="1" applyFill="1" applyBorder="1"/>
    <xf numFmtId="165" fontId="0" fillId="33" borderId="16" xfId="0" applyNumberFormat="1" applyFill="1" applyBorder="1"/>
    <xf numFmtId="165" fontId="0" fillId="33" borderId="14" xfId="0" applyNumberFormat="1" applyFill="1" applyBorder="1"/>
    <xf numFmtId="165" fontId="0" fillId="33" borderId="13" xfId="0" applyNumberFormat="1" applyFill="1" applyBorder="1"/>
    <xf numFmtId="165" fontId="18" fillId="33" borderId="28" xfId="42" applyNumberFormat="1" applyFill="1" applyBorder="1" applyAlignment="1" applyProtection="1">
      <alignment horizontal="center"/>
    </xf>
    <xf numFmtId="165" fontId="0" fillId="33" borderId="17" xfId="0" applyNumberFormat="1" applyFill="1" applyBorder="1"/>
    <xf numFmtId="3" fontId="0" fillId="33" borderId="0" xfId="0" applyNumberFormat="1" applyFill="1" applyProtection="1">
      <protection locked="0"/>
    </xf>
    <xf numFmtId="166" fontId="0" fillId="33" borderId="0" xfId="84" applyNumberFormat="1" applyFont="1" applyFill="1" applyAlignment="1">
      <alignment horizontal="center"/>
    </xf>
    <xf numFmtId="0" fontId="0" fillId="33" borderId="25" xfId="0" applyFill="1" applyBorder="1"/>
    <xf numFmtId="0" fontId="0" fillId="33" borderId="16" xfId="0" applyFill="1" applyBorder="1"/>
    <xf numFmtId="0" fontId="0" fillId="33" borderId="26" xfId="0" applyFill="1" applyBorder="1"/>
    <xf numFmtId="0" fontId="0" fillId="33" borderId="13" xfId="0" applyFill="1" applyBorder="1"/>
    <xf numFmtId="0" fontId="0" fillId="33" borderId="24" xfId="0" applyFill="1" applyBorder="1"/>
    <xf numFmtId="0" fontId="0" fillId="33" borderId="14" xfId="0" applyFill="1" applyBorder="1"/>
    <xf numFmtId="165" fontId="18" fillId="33" borderId="29" xfId="42" applyNumberFormat="1" applyFill="1" applyBorder="1" applyAlignment="1" applyProtection="1">
      <alignment horizontal="center"/>
    </xf>
    <xf numFmtId="165" fontId="0" fillId="33" borderId="29" xfId="0" applyNumberFormat="1" applyFill="1" applyBorder="1"/>
    <xf numFmtId="165" fontId="0" fillId="33" borderId="11" xfId="0" applyNumberFormat="1" applyFill="1" applyBorder="1"/>
    <xf numFmtId="165" fontId="0" fillId="33" borderId="0" xfId="0" applyNumberFormat="1" applyFill="1" applyBorder="1"/>
    <xf numFmtId="165" fontId="0" fillId="33" borderId="31" xfId="0" applyNumberFormat="1" applyFill="1" applyBorder="1" applyAlignment="1">
      <alignment horizontal="center"/>
    </xf>
    <xf numFmtId="165" fontId="0" fillId="33" borderId="30" xfId="0" applyNumberFormat="1" applyFill="1" applyBorder="1"/>
    <xf numFmtId="164" fontId="0" fillId="33" borderId="31" xfId="0" applyNumberFormat="1" applyFill="1" applyBorder="1" applyAlignment="1">
      <alignment horizontal="center"/>
    </xf>
    <xf numFmtId="164" fontId="18" fillId="33" borderId="29" xfId="42" applyNumberFormat="1" applyFill="1" applyBorder="1" applyAlignment="1" applyProtection="1">
      <alignment horizontal="center"/>
    </xf>
    <xf numFmtId="164" fontId="0" fillId="33" borderId="29" xfId="0" applyNumberFormat="1" applyFill="1" applyBorder="1"/>
    <xf numFmtId="164" fontId="0" fillId="33" borderId="0" xfId="0" applyNumberFormat="1" applyFill="1" applyBorder="1"/>
    <xf numFmtId="164" fontId="0" fillId="33" borderId="30" xfId="0" applyNumberFormat="1" applyFill="1" applyBorder="1"/>
    <xf numFmtId="164" fontId="0" fillId="33" borderId="11" xfId="0" applyNumberFormat="1" applyFill="1" applyBorder="1"/>
    <xf numFmtId="166" fontId="18" fillId="33" borderId="0" xfId="84" applyNumberFormat="1" applyFont="1" applyFill="1" applyBorder="1" applyAlignment="1" applyProtection="1">
      <alignment horizontal="center"/>
    </xf>
    <xf numFmtId="166" fontId="0" fillId="33" borderId="31" xfId="84" applyNumberFormat="1" applyFont="1" applyFill="1" applyBorder="1" applyAlignment="1">
      <alignment horizontal="center"/>
    </xf>
    <xf numFmtId="166" fontId="0" fillId="33" borderId="0" xfId="84" applyNumberFormat="1" applyFont="1" applyFill="1"/>
    <xf numFmtId="166" fontId="18" fillId="33" borderId="17" xfId="84" applyNumberFormat="1" applyFont="1" applyFill="1" applyBorder="1" applyAlignment="1" applyProtection="1">
      <alignment horizontal="center"/>
    </xf>
    <xf numFmtId="166" fontId="18" fillId="33" borderId="0" xfId="84" applyNumberFormat="1" applyFont="1" applyFill="1" applyAlignment="1" applyProtection="1">
      <alignment horizontal="center"/>
    </xf>
    <xf numFmtId="166" fontId="18" fillId="33" borderId="29" xfId="84" applyNumberFormat="1" applyFont="1" applyFill="1" applyBorder="1" applyAlignment="1" applyProtection="1">
      <alignment horizontal="center"/>
    </xf>
    <xf numFmtId="166" fontId="18" fillId="33" borderId="16" xfId="84" applyNumberFormat="1" applyFont="1" applyFill="1" applyBorder="1" applyAlignment="1" applyProtection="1">
      <alignment horizontal="center"/>
    </xf>
    <xf numFmtId="166" fontId="18" fillId="33" borderId="12" xfId="84" applyNumberFormat="1" applyFont="1" applyFill="1" applyBorder="1" applyAlignment="1" applyProtection="1">
      <alignment horizontal="center"/>
    </xf>
    <xf numFmtId="166" fontId="0" fillId="33" borderId="29" xfId="84" applyNumberFormat="1" applyFont="1" applyFill="1" applyBorder="1"/>
    <xf numFmtId="166" fontId="0" fillId="33" borderId="17" xfId="84" applyNumberFormat="1" applyFont="1" applyFill="1" applyBorder="1"/>
    <xf numFmtId="166" fontId="18" fillId="33" borderId="28" xfId="84" applyNumberFormat="1" applyFont="1" applyFill="1" applyBorder="1" applyAlignment="1" applyProtection="1">
      <alignment horizontal="center"/>
    </xf>
    <xf numFmtId="166" fontId="0" fillId="33" borderId="16" xfId="84" applyNumberFormat="1" applyFont="1" applyFill="1" applyBorder="1"/>
    <xf numFmtId="166" fontId="0" fillId="33" borderId="0" xfId="84" applyNumberFormat="1" applyFont="1" applyFill="1" applyBorder="1"/>
    <xf numFmtId="166" fontId="0" fillId="33" borderId="0" xfId="84" applyNumberFormat="1" applyFont="1" applyFill="1" applyBorder="1" applyAlignment="1">
      <alignment horizontal="center"/>
    </xf>
    <xf numFmtId="166" fontId="0" fillId="33" borderId="30" xfId="84" applyNumberFormat="1" applyFont="1" applyFill="1" applyBorder="1"/>
    <xf numFmtId="166" fontId="0" fillId="33" borderId="13" xfId="84" applyNumberFormat="1" applyFont="1" applyFill="1" applyBorder="1"/>
    <xf numFmtId="166" fontId="0" fillId="33" borderId="11" xfId="84" applyNumberFormat="1" applyFont="1" applyFill="1" applyBorder="1" applyAlignment="1">
      <alignment horizontal="center"/>
    </xf>
    <xf numFmtId="166" fontId="0" fillId="33" borderId="11" xfId="84" applyNumberFormat="1" applyFont="1" applyFill="1" applyBorder="1"/>
    <xf numFmtId="166" fontId="0" fillId="33" borderId="14" xfId="84" applyNumberFormat="1" applyFont="1" applyFill="1" applyBorder="1"/>
    <xf numFmtId="2" fontId="41" fillId="33" borderId="0" xfId="42" applyNumberFormat="1" applyFont="1" applyFill="1" applyBorder="1" applyAlignment="1" applyProtection="1">
      <alignment horizontal="center"/>
    </xf>
    <xf numFmtId="2" fontId="41" fillId="33" borderId="16" xfId="42" applyNumberFormat="1" applyFont="1" applyFill="1" applyBorder="1" applyAlignment="1" applyProtection="1">
      <alignment horizontal="center"/>
    </xf>
    <xf numFmtId="2" fontId="42" fillId="33" borderId="31" xfId="0" applyNumberFormat="1" applyFont="1" applyFill="1" applyBorder="1" applyAlignment="1">
      <alignment horizontal="center"/>
    </xf>
    <xf numFmtId="2" fontId="42" fillId="33" borderId="0" xfId="0" applyNumberFormat="1" applyFont="1" applyFill="1" applyAlignment="1">
      <alignment horizontal="center"/>
    </xf>
    <xf numFmtId="2" fontId="42" fillId="33" borderId="0" xfId="0" applyNumberFormat="1" applyFont="1" applyFill="1"/>
    <xf numFmtId="2" fontId="41" fillId="33" borderId="12" xfId="42" applyNumberFormat="1" applyFont="1" applyFill="1" applyBorder="1" applyAlignment="1" applyProtection="1">
      <alignment horizontal="center"/>
    </xf>
    <xf numFmtId="2" fontId="41" fillId="33" borderId="17" xfId="42" applyNumberFormat="1" applyFont="1" applyFill="1" applyBorder="1" applyAlignment="1" applyProtection="1">
      <alignment horizontal="center"/>
    </xf>
    <xf numFmtId="2" fontId="41" fillId="33" borderId="0" xfId="42" applyNumberFormat="1" applyFont="1" applyFill="1" applyAlignment="1" applyProtection="1">
      <alignment horizontal="center"/>
    </xf>
    <xf numFmtId="2" fontId="41" fillId="33" borderId="29" xfId="42" applyNumberFormat="1" applyFont="1" applyFill="1" applyBorder="1" applyAlignment="1" applyProtection="1">
      <alignment horizontal="center"/>
    </xf>
    <xf numFmtId="2" fontId="42" fillId="33" borderId="29" xfId="0" applyNumberFormat="1" applyFont="1" applyFill="1" applyBorder="1"/>
    <xf numFmtId="2" fontId="42" fillId="33" borderId="17" xfId="0" applyNumberFormat="1" applyFont="1" applyFill="1" applyBorder="1"/>
    <xf numFmtId="2" fontId="41" fillId="33" borderId="28" xfId="42" applyNumberFormat="1" applyFont="1" applyFill="1" applyBorder="1" applyAlignment="1" applyProtection="1">
      <alignment horizontal="center"/>
    </xf>
    <xf numFmtId="2" fontId="42" fillId="33" borderId="16" xfId="0" applyNumberFormat="1" applyFont="1" applyFill="1" applyBorder="1"/>
    <xf numFmtId="2" fontId="42" fillId="33" borderId="0" xfId="0" applyNumberFormat="1" applyFont="1" applyFill="1" applyBorder="1"/>
    <xf numFmtId="2" fontId="42" fillId="33" borderId="0" xfId="0" applyNumberFormat="1" applyFont="1" applyFill="1" applyBorder="1" applyAlignment="1">
      <alignment horizontal="center"/>
    </xf>
    <xf numFmtId="2" fontId="42" fillId="33" borderId="30" xfId="0" applyNumberFormat="1" applyFont="1" applyFill="1" applyBorder="1"/>
    <xf numFmtId="2" fontId="42" fillId="33" borderId="13" xfId="0" applyNumberFormat="1" applyFont="1" applyFill="1" applyBorder="1"/>
    <xf numFmtId="2" fontId="42" fillId="33" borderId="11" xfId="0" applyNumberFormat="1" applyFont="1" applyFill="1" applyBorder="1" applyAlignment="1">
      <alignment horizontal="center"/>
    </xf>
    <xf numFmtId="2" fontId="42" fillId="33" borderId="11" xfId="0" applyNumberFormat="1" applyFont="1" applyFill="1" applyBorder="1"/>
    <xf numFmtId="2" fontId="42" fillId="33" borderId="14" xfId="0" applyNumberFormat="1" applyFont="1" applyFill="1" applyBorder="1"/>
    <xf numFmtId="2" fontId="43" fillId="33" borderId="0" xfId="42" applyNumberFormat="1" applyFont="1" applyFill="1" applyBorder="1" applyAlignment="1" applyProtection="1">
      <alignment horizontal="center"/>
    </xf>
    <xf numFmtId="2" fontId="43" fillId="33" borderId="16" xfId="42" applyNumberFormat="1" applyFont="1" applyFill="1" applyBorder="1" applyAlignment="1" applyProtection="1">
      <alignment horizontal="center"/>
    </xf>
    <xf numFmtId="2" fontId="37" fillId="33" borderId="31" xfId="0" applyNumberFormat="1" applyFont="1" applyFill="1" applyBorder="1" applyAlignment="1">
      <alignment horizontal="center"/>
    </xf>
    <xf numFmtId="2" fontId="37" fillId="33" borderId="0" xfId="0" applyNumberFormat="1" applyFont="1" applyFill="1" applyAlignment="1">
      <alignment horizontal="center"/>
    </xf>
    <xf numFmtId="2" fontId="37" fillId="33" borderId="0" xfId="0" applyNumberFormat="1" applyFont="1" applyFill="1"/>
    <xf numFmtId="2" fontId="43" fillId="33" borderId="12" xfId="42" applyNumberFormat="1" applyFont="1" applyFill="1" applyBorder="1" applyAlignment="1" applyProtection="1">
      <alignment horizontal="center"/>
    </xf>
    <xf numFmtId="2" fontId="43" fillId="33" borderId="17" xfId="42" applyNumberFormat="1" applyFont="1" applyFill="1" applyBorder="1" applyAlignment="1" applyProtection="1">
      <alignment horizontal="center"/>
    </xf>
    <xf numFmtId="2" fontId="43" fillId="33" borderId="0" xfId="42" applyNumberFormat="1" applyFont="1" applyFill="1" applyAlignment="1" applyProtection="1">
      <alignment horizontal="center"/>
    </xf>
    <xf numFmtId="2" fontId="43" fillId="33" borderId="29" xfId="42" applyNumberFormat="1" applyFont="1" applyFill="1" applyBorder="1" applyAlignment="1" applyProtection="1">
      <alignment horizontal="center"/>
    </xf>
    <xf numFmtId="2" fontId="37" fillId="33" borderId="29" xfId="0" applyNumberFormat="1" applyFont="1" applyFill="1" applyBorder="1"/>
    <xf numFmtId="2" fontId="37" fillId="33" borderId="17" xfId="0" applyNumberFormat="1" applyFont="1" applyFill="1" applyBorder="1"/>
    <xf numFmtId="2" fontId="43" fillId="33" borderId="28" xfId="42" applyNumberFormat="1" applyFont="1" applyFill="1" applyBorder="1" applyAlignment="1" applyProtection="1">
      <alignment horizontal="center"/>
    </xf>
    <xf numFmtId="2" fontId="37" fillId="33" borderId="16" xfId="0" applyNumberFormat="1" applyFont="1" applyFill="1" applyBorder="1"/>
    <xf numFmtId="2" fontId="37" fillId="33" borderId="0" xfId="0" applyNumberFormat="1" applyFont="1" applyFill="1" applyBorder="1"/>
    <xf numFmtId="2" fontId="37" fillId="33" borderId="0" xfId="0" applyNumberFormat="1" applyFont="1" applyFill="1" applyBorder="1" applyAlignment="1">
      <alignment horizontal="center"/>
    </xf>
    <xf numFmtId="2" fontId="37" fillId="33" borderId="30" xfId="0" applyNumberFormat="1" applyFont="1" applyFill="1" applyBorder="1"/>
    <xf numFmtId="2" fontId="37" fillId="33" borderId="13" xfId="0" applyNumberFormat="1" applyFont="1" applyFill="1" applyBorder="1"/>
    <xf numFmtId="2" fontId="37" fillId="33" borderId="11" xfId="0" applyNumberFormat="1" applyFont="1" applyFill="1" applyBorder="1" applyAlignment="1">
      <alignment horizontal="center"/>
    </xf>
    <xf numFmtId="2" fontId="37" fillId="33" borderId="11" xfId="0" applyNumberFormat="1" applyFont="1" applyFill="1" applyBorder="1"/>
    <xf numFmtId="2" fontId="37" fillId="33" borderId="14" xfId="0" applyNumberFormat="1" applyFont="1" applyFill="1" applyBorder="1"/>
    <xf numFmtId="3" fontId="18" fillId="33" borderId="29" xfId="42" applyNumberFormat="1" applyFill="1" applyBorder="1" applyAlignment="1" applyProtection="1">
      <alignment horizontal="right"/>
    </xf>
    <xf numFmtId="3" fontId="18" fillId="33" borderId="31" xfId="42" applyNumberFormat="1" applyFill="1" applyBorder="1" applyAlignment="1" applyProtection="1">
      <alignment horizontal="right"/>
    </xf>
    <xf numFmtId="1" fontId="36" fillId="33" borderId="0" xfId="42" applyNumberFormat="1" applyFont="1" applyFill="1" applyBorder="1" applyAlignment="1" applyProtection="1">
      <alignment horizontal="right"/>
    </xf>
    <xf numFmtId="1" fontId="36" fillId="33" borderId="11" xfId="42" applyNumberFormat="1" applyFont="1" applyFill="1" applyBorder="1" applyAlignment="1" applyProtection="1">
      <alignment horizontal="right"/>
    </xf>
    <xf numFmtId="3" fontId="36" fillId="33" borderId="29" xfId="42" applyNumberFormat="1" applyFont="1" applyFill="1" applyBorder="1" applyAlignment="1" applyProtection="1">
      <alignment horizontal="right"/>
    </xf>
    <xf numFmtId="3" fontId="36" fillId="33" borderId="31" xfId="42" applyNumberFormat="1" applyFont="1" applyFill="1" applyBorder="1" applyAlignment="1" applyProtection="1">
      <alignment horizontal="right"/>
    </xf>
    <xf numFmtId="0" fontId="44" fillId="33" borderId="0" xfId="0" applyFont="1" applyFill="1" applyProtection="1"/>
    <xf numFmtId="0" fontId="16" fillId="34" borderId="10" xfId="0" applyFont="1" applyFill="1" applyBorder="1" applyAlignment="1" applyProtection="1">
      <alignment horizontal="left"/>
    </xf>
    <xf numFmtId="0" fontId="16" fillId="34" borderId="10" xfId="0" applyFont="1" applyFill="1" applyBorder="1" applyProtection="1"/>
    <xf numFmtId="0" fontId="39" fillId="34" borderId="10" xfId="0" applyFont="1" applyFill="1" applyBorder="1" applyAlignment="1" applyProtection="1">
      <alignment horizontal="right"/>
    </xf>
    <xf numFmtId="0" fontId="0" fillId="33" borderId="0" xfId="0" applyFill="1" applyAlignment="1" applyProtection="1">
      <alignment horizontal="left"/>
    </xf>
    <xf numFmtId="167" fontId="0" fillId="33" borderId="0" xfId="0" applyNumberFormat="1" applyFill="1" applyProtection="1"/>
    <xf numFmtId="0" fontId="16" fillId="34" borderId="32" xfId="0" applyFont="1" applyFill="1" applyBorder="1" applyAlignment="1" applyProtection="1">
      <alignment horizontal="left"/>
    </xf>
    <xf numFmtId="3" fontId="0" fillId="33" borderId="0" xfId="0" applyNumberFormat="1" applyFill="1" applyProtection="1"/>
    <xf numFmtId="0" fontId="34" fillId="34" borderId="21" xfId="42" applyFont="1" applyFill="1" applyBorder="1" applyAlignment="1" applyProtection="1">
      <alignment horizontal="right"/>
    </xf>
    <xf numFmtId="0" fontId="34" fillId="34" borderId="10" xfId="42" applyFont="1" applyFill="1" applyBorder="1" applyAlignment="1" applyProtection="1">
      <alignment horizontal="right"/>
    </xf>
    <xf numFmtId="0" fontId="34" fillId="34" borderId="23" xfId="42" applyFont="1" applyFill="1" applyBorder="1" applyAlignment="1" applyProtection="1">
      <alignment horizontal="right"/>
    </xf>
    <xf numFmtId="0" fontId="34" fillId="34" borderId="15" xfId="42" applyFont="1" applyFill="1" applyBorder="1" applyAlignment="1" applyProtection="1">
      <alignment horizontal="right"/>
    </xf>
    <xf numFmtId="0" fontId="34" fillId="34" borderId="22" xfId="42" applyFont="1" applyFill="1" applyBorder="1" applyProtection="1"/>
    <xf numFmtId="0" fontId="34" fillId="34" borderId="19" xfId="42" applyFont="1" applyFill="1" applyBorder="1" applyProtection="1"/>
    <xf numFmtId="0" fontId="34" fillId="34" borderId="18" xfId="42" applyFont="1" applyFill="1" applyBorder="1" applyProtection="1"/>
    <xf numFmtId="0" fontId="34" fillId="34" borderId="20" xfId="42" applyFont="1" applyFill="1" applyBorder="1" applyProtection="1"/>
    <xf numFmtId="1" fontId="38" fillId="33" borderId="0" xfId="0" applyNumberFormat="1" applyFont="1" applyFill="1" applyBorder="1" applyProtection="1"/>
    <xf numFmtId="1" fontId="38" fillId="33" borderId="11" xfId="0" applyNumberFormat="1" applyFont="1" applyFill="1" applyBorder="1" applyProtection="1"/>
    <xf numFmtId="0" fontId="0" fillId="33" borderId="0" xfId="0" applyFill="1" applyBorder="1" applyProtection="1"/>
    <xf numFmtId="0" fontId="0" fillId="33" borderId="11" xfId="0" applyFill="1" applyBorder="1" applyProtection="1"/>
    <xf numFmtId="167" fontId="0" fillId="33" borderId="11" xfId="0" applyNumberFormat="1" applyFill="1" applyBorder="1" applyProtection="1"/>
    <xf numFmtId="0" fontId="0" fillId="33" borderId="11" xfId="0" applyFill="1" applyBorder="1" applyAlignment="1" applyProtection="1">
      <alignment horizontal="left"/>
    </xf>
    <xf numFmtId="2" fontId="49" fillId="33" borderId="0" xfId="42" applyNumberFormat="1" applyFont="1" applyFill="1" applyBorder="1" applyAlignment="1" applyProtection="1">
      <alignment horizontal="left"/>
    </xf>
    <xf numFmtId="0" fontId="34" fillId="34" borderId="22" xfId="42" applyFont="1" applyFill="1" applyBorder="1" applyAlignment="1">
      <alignment horizontal="left"/>
    </xf>
    <xf numFmtId="0" fontId="34" fillId="34" borderId="19" xfId="42" applyFont="1" applyFill="1" applyBorder="1" applyAlignment="1">
      <alignment horizontal="left"/>
    </xf>
    <xf numFmtId="0" fontId="34" fillId="34" borderId="18" xfId="42" applyFont="1" applyFill="1" applyBorder="1" applyAlignment="1">
      <alignment horizontal="left"/>
    </xf>
    <xf numFmtId="0" fontId="34" fillId="34" borderId="20" xfId="42" applyFont="1" applyFill="1" applyBorder="1" applyAlignment="1">
      <alignment horizontal="left"/>
    </xf>
    <xf numFmtId="0" fontId="34" fillId="34" borderId="21" xfId="42" applyFont="1" applyFill="1" applyBorder="1" applyAlignment="1" applyProtection="1">
      <alignment horizontal="center"/>
    </xf>
    <xf numFmtId="0" fontId="34" fillId="34" borderId="10" xfId="42" applyFont="1" applyFill="1" applyBorder="1" applyAlignment="1" applyProtection="1">
      <alignment horizontal="center"/>
    </xf>
    <xf numFmtId="0" fontId="34" fillId="34" borderId="23" xfId="42" applyFont="1" applyFill="1" applyBorder="1" applyAlignment="1" applyProtection="1">
      <alignment horizontal="center"/>
    </xf>
    <xf numFmtId="0" fontId="34" fillId="34" borderId="15" xfId="42" applyFont="1" applyFill="1" applyBorder="1" applyAlignment="1" applyProtection="1">
      <alignment horizontal="center"/>
    </xf>
    <xf numFmtId="3" fontId="0" fillId="33" borderId="0" xfId="0" applyNumberFormat="1" applyFill="1" applyAlignment="1" applyProtection="1">
      <alignment horizontal="center"/>
    </xf>
    <xf numFmtId="3" fontId="0" fillId="33" borderId="16" xfId="0" applyNumberFormat="1" applyFill="1" applyBorder="1" applyAlignment="1" applyProtection="1">
      <alignment horizontal="center"/>
    </xf>
    <xf numFmtId="3" fontId="0" fillId="33" borderId="31" xfId="0" applyNumberFormat="1" applyFill="1" applyBorder="1" applyAlignment="1" applyProtection="1">
      <alignment horizontal="center"/>
    </xf>
    <xf numFmtId="3" fontId="18" fillId="33" borderId="0" xfId="42" applyNumberFormat="1" applyFill="1" applyAlignment="1" applyProtection="1">
      <alignment horizontal="center"/>
    </xf>
    <xf numFmtId="3" fontId="18" fillId="33" borderId="12" xfId="42" applyNumberFormat="1" applyFill="1" applyBorder="1" applyAlignment="1" applyProtection="1">
      <alignment horizontal="center"/>
    </xf>
    <xf numFmtId="3" fontId="18" fillId="33" borderId="17" xfId="42" applyNumberFormat="1" applyFill="1" applyBorder="1" applyAlignment="1" applyProtection="1">
      <alignment horizontal="center"/>
    </xf>
    <xf numFmtId="3" fontId="18" fillId="33" borderId="0" xfId="42" applyNumberFormat="1" applyFill="1" applyBorder="1" applyAlignment="1" applyProtection="1">
      <alignment horizontal="center"/>
    </xf>
    <xf numFmtId="3" fontId="18" fillId="33" borderId="29" xfId="42" applyNumberFormat="1" applyFill="1" applyBorder="1" applyAlignment="1" applyProtection="1">
      <alignment horizontal="center"/>
    </xf>
    <xf numFmtId="3" fontId="18" fillId="33" borderId="16" xfId="42" applyNumberFormat="1" applyFill="1" applyBorder="1" applyAlignment="1" applyProtection="1">
      <alignment horizontal="center"/>
    </xf>
    <xf numFmtId="3" fontId="0" fillId="33" borderId="0" xfId="0" applyNumberFormat="1" applyFill="1" applyBorder="1" applyAlignment="1" applyProtection="1">
      <alignment horizontal="center"/>
    </xf>
    <xf numFmtId="3" fontId="18" fillId="33" borderId="31" xfId="42" applyNumberFormat="1" applyFill="1" applyBorder="1" applyAlignment="1" applyProtection="1">
      <alignment horizontal="center"/>
    </xf>
    <xf numFmtId="3" fontId="18" fillId="33" borderId="13" xfId="42" applyNumberFormat="1" applyFill="1" applyBorder="1" applyAlignment="1" applyProtection="1">
      <alignment horizontal="center"/>
    </xf>
    <xf numFmtId="3" fontId="0" fillId="33" borderId="26" xfId="0" applyNumberFormat="1" applyFill="1" applyBorder="1" applyAlignment="1" applyProtection="1">
      <alignment horizontal="center"/>
    </xf>
    <xf numFmtId="3" fontId="0" fillId="33" borderId="24" xfId="0" applyNumberFormat="1" applyFill="1" applyBorder="1" applyAlignment="1" applyProtection="1">
      <alignment horizontal="center"/>
    </xf>
    <xf numFmtId="3" fontId="0" fillId="33" borderId="11" xfId="0" applyNumberFormat="1" applyFill="1" applyBorder="1" applyAlignment="1" applyProtection="1">
      <alignment horizontal="center"/>
    </xf>
    <xf numFmtId="3" fontId="18" fillId="33" borderId="11" xfId="42" applyNumberFormat="1" applyFill="1" applyBorder="1" applyAlignment="1" applyProtection="1">
      <alignment horizontal="center"/>
    </xf>
    <xf numFmtId="3" fontId="18" fillId="33" borderId="14" xfId="42" applyNumberFormat="1" applyFill="1" applyBorder="1" applyAlignment="1" applyProtection="1">
      <alignment horizontal="center"/>
    </xf>
    <xf numFmtId="3" fontId="0" fillId="33" borderId="24" xfId="0" applyNumberFormat="1" applyFill="1" applyBorder="1" applyProtection="1"/>
    <xf numFmtId="3" fontId="0" fillId="33" borderId="14" xfId="0" applyNumberFormat="1" applyFill="1" applyBorder="1" applyProtection="1"/>
    <xf numFmtId="0" fontId="14" fillId="33" borderId="0" xfId="0" applyFont="1" applyFill="1" applyBorder="1" applyProtection="1"/>
    <xf numFmtId="3" fontId="0" fillId="33" borderId="32" xfId="0" applyNumberFormat="1" applyFill="1" applyBorder="1" applyProtection="1"/>
    <xf numFmtId="0" fontId="16" fillId="33" borderId="21" xfId="0" applyFont="1" applyFill="1" applyBorder="1" applyProtection="1"/>
    <xf numFmtId="0" fontId="16" fillId="33" borderId="15" xfId="0" applyFont="1" applyFill="1" applyBorder="1" applyProtection="1"/>
    <xf numFmtId="0" fontId="16" fillId="33" borderId="32" xfId="0" applyFont="1" applyFill="1" applyBorder="1" applyProtection="1"/>
    <xf numFmtId="0" fontId="0" fillId="36" borderId="0" xfId="0" applyFill="1" applyProtection="1"/>
    <xf numFmtId="0" fontId="0" fillId="37" borderId="0" xfId="0" applyFill="1" applyProtection="1"/>
    <xf numFmtId="0" fontId="14" fillId="36" borderId="0" xfId="0" applyFont="1" applyFill="1" applyProtection="1"/>
    <xf numFmtId="9" fontId="18" fillId="33" borderId="0" xfId="84" applyFont="1" applyFill="1" applyBorder="1" applyAlignment="1" applyProtection="1">
      <alignment horizontal="right"/>
    </xf>
    <xf numFmtId="9" fontId="18" fillId="33" borderId="14" xfId="84" applyFont="1" applyFill="1" applyBorder="1" applyAlignment="1" applyProtection="1">
      <alignment horizontal="right"/>
    </xf>
    <xf numFmtId="17" fontId="14" fillId="37" borderId="0" xfId="0" applyNumberFormat="1" applyFont="1" applyFill="1" applyProtection="1"/>
    <xf numFmtId="0" fontId="0" fillId="33" borderId="33" xfId="0" applyFill="1" applyBorder="1" applyProtection="1"/>
    <xf numFmtId="0" fontId="0" fillId="33" borderId="36" xfId="0" applyFill="1" applyBorder="1" applyProtection="1"/>
    <xf numFmtId="0" fontId="0" fillId="33" borderId="34" xfId="0" applyFill="1" applyBorder="1" applyProtection="1"/>
    <xf numFmtId="0" fontId="0" fillId="33" borderId="35" xfId="0" applyFill="1" applyBorder="1" applyProtection="1"/>
    <xf numFmtId="0" fontId="0" fillId="38" borderId="36" xfId="0" applyFill="1" applyBorder="1" applyProtection="1"/>
    <xf numFmtId="0" fontId="0" fillId="38" borderId="34" xfId="0" applyFill="1" applyBorder="1" applyProtection="1"/>
    <xf numFmtId="0" fontId="0" fillId="38" borderId="33" xfId="0" applyFill="1" applyBorder="1" applyProtection="1"/>
    <xf numFmtId="3" fontId="16" fillId="34" borderId="0" xfId="0" applyNumberFormat="1" applyFont="1" applyFill="1" applyBorder="1" applyAlignment="1" applyProtection="1">
      <alignment horizontal="right"/>
      <protection locked="0"/>
    </xf>
    <xf numFmtId="9" fontId="16" fillId="34" borderId="0" xfId="84" applyFont="1" applyFill="1" applyBorder="1" applyAlignment="1" applyProtection="1">
      <alignment horizontal="right"/>
      <protection locked="0"/>
    </xf>
    <xf numFmtId="9" fontId="0" fillId="33" borderId="0" xfId="84" applyFont="1" applyFill="1" applyProtection="1">
      <protection locked="0"/>
    </xf>
    <xf numFmtId="9" fontId="18" fillId="33" borderId="0" xfId="84" applyFont="1" applyFill="1" applyAlignment="1" applyProtection="1">
      <alignment horizontal="right"/>
    </xf>
    <xf numFmtId="9" fontId="18" fillId="33" borderId="16" xfId="84" applyFont="1" applyFill="1" applyBorder="1" applyAlignment="1" applyProtection="1">
      <alignment horizontal="right"/>
    </xf>
    <xf numFmtId="9" fontId="18" fillId="33" borderId="31" xfId="84" applyFont="1" applyFill="1" applyBorder="1" applyAlignment="1" applyProtection="1">
      <alignment horizontal="right"/>
    </xf>
    <xf numFmtId="9" fontId="18" fillId="33" borderId="12" xfId="84" applyFont="1" applyFill="1" applyBorder="1" applyAlignment="1" applyProtection="1">
      <alignment horizontal="right"/>
    </xf>
    <xf numFmtId="9" fontId="18" fillId="33" borderId="17" xfId="84" applyFont="1" applyFill="1" applyBorder="1" applyAlignment="1" applyProtection="1">
      <alignment horizontal="right"/>
    </xf>
    <xf numFmtId="9" fontId="18" fillId="33" borderId="29" xfId="84" applyFont="1" applyFill="1" applyBorder="1" applyAlignment="1" applyProtection="1">
      <alignment horizontal="right"/>
    </xf>
    <xf numFmtId="9" fontId="18" fillId="33" borderId="13" xfId="84" applyFont="1" applyFill="1" applyBorder="1" applyAlignment="1" applyProtection="1">
      <alignment horizontal="right"/>
    </xf>
    <xf numFmtId="9" fontId="18" fillId="33" borderId="11" xfId="84" applyFont="1" applyFill="1" applyBorder="1" applyAlignment="1" applyProtection="1">
      <alignment horizontal="right"/>
    </xf>
    <xf numFmtId="9" fontId="0" fillId="33" borderId="0" xfId="84" applyFont="1" applyFill="1" applyAlignment="1" applyProtection="1">
      <alignment horizontal="center"/>
    </xf>
    <xf numFmtId="3" fontId="0" fillId="41" borderId="23" xfId="0" applyNumberFormat="1" applyFill="1" applyBorder="1" applyProtection="1">
      <protection locked="0"/>
    </xf>
    <xf numFmtId="3" fontId="0" fillId="41" borderId="0" xfId="0" applyNumberFormat="1" applyFill="1" applyBorder="1" applyProtection="1">
      <protection locked="0"/>
    </xf>
    <xf numFmtId="3" fontId="0" fillId="41" borderId="11" xfId="0" applyNumberFormat="1" applyFill="1" applyBorder="1" applyProtection="1">
      <protection locked="0"/>
    </xf>
    <xf numFmtId="0" fontId="0" fillId="33" borderId="23" xfId="0" applyFill="1" applyBorder="1" applyAlignment="1" applyProtection="1">
      <alignment horizontal="left"/>
    </xf>
    <xf numFmtId="0" fontId="0" fillId="33" borderId="23" xfId="0" applyFill="1" applyBorder="1" applyProtection="1"/>
    <xf numFmtId="0" fontId="0" fillId="33" borderId="0" xfId="0" applyFill="1" applyBorder="1" applyAlignment="1" applyProtection="1">
      <alignment horizontal="left"/>
    </xf>
    <xf numFmtId="9" fontId="0" fillId="39" borderId="0" xfId="84" applyFont="1" applyFill="1" applyProtection="1">
      <protection locked="0"/>
    </xf>
    <xf numFmtId="3" fontId="0" fillId="42" borderId="0" xfId="0" applyNumberFormat="1" applyFill="1" applyProtection="1">
      <protection locked="0"/>
    </xf>
    <xf numFmtId="3" fontId="0" fillId="43" borderId="0" xfId="0" applyNumberFormat="1" applyFill="1" applyProtection="1">
      <protection locked="0"/>
    </xf>
    <xf numFmtId="3" fontId="0" fillId="42" borderId="0" xfId="0" applyNumberFormat="1" applyFill="1" applyBorder="1" applyProtection="1">
      <protection locked="0"/>
    </xf>
    <xf numFmtId="0" fontId="0" fillId="40" borderId="0" xfId="0" applyFill="1"/>
    <xf numFmtId="0" fontId="0" fillId="33" borderId="0" xfId="0" applyFill="1" applyAlignment="1" applyProtection="1">
      <alignment horizontal="right"/>
    </xf>
    <xf numFmtId="168" fontId="0" fillId="33" borderId="0" xfId="0" applyNumberFormat="1" applyFill="1" applyProtection="1"/>
    <xf numFmtId="4" fontId="0" fillId="33" borderId="0" xfId="0" applyNumberFormat="1" applyFill="1" applyProtection="1"/>
    <xf numFmtId="169" fontId="0" fillId="33" borderId="0" xfId="0" applyNumberFormat="1" applyFill="1" applyProtection="1"/>
    <xf numFmtId="2" fontId="0" fillId="33" borderId="0" xfId="0" applyNumberFormat="1" applyFill="1" applyProtection="1"/>
    <xf numFmtId="170" fontId="0" fillId="38" borderId="33" xfId="0" applyNumberFormat="1" applyFill="1" applyBorder="1" applyProtection="1"/>
    <xf numFmtId="0" fontId="50" fillId="33" borderId="0" xfId="0" applyFont="1" applyFill="1" applyProtection="1"/>
    <xf numFmtId="0" fontId="45" fillId="33" borderId="0" xfId="0" applyFont="1" applyFill="1" applyAlignment="1" applyProtection="1">
      <alignment horizontal="center" vertical="top" wrapText="1"/>
    </xf>
    <xf numFmtId="0" fontId="45" fillId="33" borderId="11" xfId="0" applyFont="1" applyFill="1" applyBorder="1" applyAlignment="1" applyProtection="1">
      <alignment horizontal="center" vertical="top" wrapText="1"/>
    </xf>
    <xf numFmtId="0" fontId="39" fillId="33" borderId="0" xfId="0" applyFont="1" applyFill="1" applyAlignment="1" applyProtection="1">
      <alignment horizontal="center" vertical="top" wrapText="1"/>
    </xf>
    <xf numFmtId="0" fontId="39" fillId="33" borderId="11" xfId="0" applyFont="1" applyFill="1" applyBorder="1" applyAlignment="1" applyProtection="1">
      <alignment horizontal="center" vertical="top" wrapText="1"/>
    </xf>
    <xf numFmtId="3" fontId="0" fillId="35" borderId="21" xfId="0" applyNumberFormat="1" applyFill="1" applyBorder="1" applyAlignment="1" applyProtection="1">
      <alignment horizontal="center"/>
      <protection locked="0"/>
    </xf>
    <xf numFmtId="3" fontId="0" fillId="35" borderId="15" xfId="0" applyNumberFormat="1" applyFill="1" applyBorder="1" applyAlignment="1" applyProtection="1">
      <alignment horizontal="center"/>
      <protection locked="0"/>
    </xf>
    <xf numFmtId="0" fontId="16" fillId="34" borderId="21" xfId="0" applyFont="1" applyFill="1" applyBorder="1" applyAlignment="1" applyProtection="1">
      <alignment horizontal="center"/>
    </xf>
    <xf numFmtId="0" fontId="16" fillId="34" borderId="10" xfId="0" applyFont="1" applyFill="1" applyBorder="1" applyAlignment="1" applyProtection="1">
      <alignment horizontal="center"/>
    </xf>
    <xf numFmtId="0" fontId="16" fillId="34" borderId="15" xfId="0" applyFont="1" applyFill="1" applyBorder="1" applyAlignment="1" applyProtection="1">
      <alignment horizontal="center"/>
    </xf>
    <xf numFmtId="3" fontId="16" fillId="33" borderId="10" xfId="0" applyNumberFormat="1" applyFont="1" applyFill="1" applyBorder="1" applyAlignment="1" applyProtection="1">
      <alignment horizontal="center"/>
    </xf>
    <xf numFmtId="3" fontId="16" fillId="33" borderId="15" xfId="0" applyNumberFormat="1" applyFont="1" applyFill="1" applyBorder="1" applyAlignment="1" applyProtection="1">
      <alignment horizontal="center"/>
    </xf>
    <xf numFmtId="0" fontId="47" fillId="33" borderId="0" xfId="0" applyFont="1" applyFill="1" applyAlignment="1" applyProtection="1">
      <alignment horizontal="center" vertical="top" wrapText="1"/>
    </xf>
  </cellXfs>
  <cellStyles count="85">
    <cellStyle name="20 % - Accent1" xfId="19" builtinId="30" customBuiltin="1"/>
    <cellStyle name="20 % - Accent1 2" xfId="60"/>
    <cellStyle name="20 % - Accent2" xfId="23" builtinId="34" customBuiltin="1"/>
    <cellStyle name="20 % - Accent2 2" xfId="64"/>
    <cellStyle name="20 % - Accent3" xfId="27" builtinId="38" customBuiltin="1"/>
    <cellStyle name="20 % - Accent3 2" xfId="68"/>
    <cellStyle name="20 % - Accent4" xfId="31" builtinId="42" customBuiltin="1"/>
    <cellStyle name="20 % - Accent4 2" xfId="72"/>
    <cellStyle name="20 % - Accent5" xfId="35" builtinId="46" customBuiltin="1"/>
    <cellStyle name="20 % - Accent5 2" xfId="76"/>
    <cellStyle name="20 % - Accent6" xfId="39" builtinId="50" customBuiltin="1"/>
    <cellStyle name="20 % - Accent6 2" xfId="80"/>
    <cellStyle name="40 % - Accent1" xfId="20" builtinId="31" customBuiltin="1"/>
    <cellStyle name="40 % - Accent1 2" xfId="61"/>
    <cellStyle name="40 % - Accent2" xfId="24" builtinId="35" customBuiltin="1"/>
    <cellStyle name="40 % - Accent2 2" xfId="65"/>
    <cellStyle name="40 % - Accent3" xfId="28" builtinId="39" customBuiltin="1"/>
    <cellStyle name="40 % - Accent3 2" xfId="69"/>
    <cellStyle name="40 % - Accent4" xfId="32" builtinId="43" customBuiltin="1"/>
    <cellStyle name="40 % - Accent4 2" xfId="73"/>
    <cellStyle name="40 % - Accent5" xfId="36" builtinId="47" customBuiltin="1"/>
    <cellStyle name="40 % - Accent5 2" xfId="77"/>
    <cellStyle name="40 % - Accent6" xfId="40" builtinId="51" customBuiltin="1"/>
    <cellStyle name="40 % - Accent6 2" xfId="81"/>
    <cellStyle name="60 % - Accent1" xfId="21" builtinId="32" customBuiltin="1"/>
    <cellStyle name="60 % - Accent1 2" xfId="62"/>
    <cellStyle name="60 % - Accent2" xfId="25" builtinId="36" customBuiltin="1"/>
    <cellStyle name="60 % - Accent2 2" xfId="66"/>
    <cellStyle name="60 % - Accent3" xfId="29" builtinId="40" customBuiltin="1"/>
    <cellStyle name="60 % - Accent3 2" xfId="70"/>
    <cellStyle name="60 % - Accent4" xfId="33" builtinId="44" customBuiltin="1"/>
    <cellStyle name="60 % - Accent4 2" xfId="74"/>
    <cellStyle name="60 % - Accent5" xfId="37" builtinId="48" customBuiltin="1"/>
    <cellStyle name="60 % - Accent5 2" xfId="78"/>
    <cellStyle name="60 % - Accent6" xfId="41" builtinId="52" customBuiltin="1"/>
    <cellStyle name="60 % - Accent6 2" xfId="82"/>
    <cellStyle name="Accent1" xfId="18" builtinId="29" customBuiltin="1"/>
    <cellStyle name="Accent1 2" xfId="59"/>
    <cellStyle name="Accent2" xfId="22" builtinId="33" customBuiltin="1"/>
    <cellStyle name="Accent2 2" xfId="63"/>
    <cellStyle name="Accent3" xfId="26" builtinId="37" customBuiltin="1"/>
    <cellStyle name="Accent3 2" xfId="67"/>
    <cellStyle name="Accent4" xfId="30" builtinId="41" customBuiltin="1"/>
    <cellStyle name="Accent4 2" xfId="71"/>
    <cellStyle name="Accent5" xfId="34" builtinId="45" customBuiltin="1"/>
    <cellStyle name="Accent5 2" xfId="75"/>
    <cellStyle name="Accent6" xfId="38" builtinId="49" customBuiltin="1"/>
    <cellStyle name="Accent6 2" xfId="79"/>
    <cellStyle name="Avertissement" xfId="14" builtinId="11" customBuiltin="1"/>
    <cellStyle name="Avertissement 2" xfId="55"/>
    <cellStyle name="Calcul" xfId="11" builtinId="22" customBuiltin="1"/>
    <cellStyle name="Calcul 2" xfId="52"/>
    <cellStyle name="Cellule liée" xfId="12" builtinId="24" customBuiltin="1"/>
    <cellStyle name="Cellule liée 2" xfId="53"/>
    <cellStyle name="Entrée" xfId="9" builtinId="20" customBuiltin="1"/>
    <cellStyle name="Entrée 2" xfId="50"/>
    <cellStyle name="Insatisfaisant" xfId="7" builtinId="27" customBuiltin="1"/>
    <cellStyle name="Insatisfaisant 2" xfId="48"/>
    <cellStyle name="Neutre" xfId="8" builtinId="28" customBuiltin="1"/>
    <cellStyle name="Neutre 2" xfId="49"/>
    <cellStyle name="Normal" xfId="0" builtinId="0"/>
    <cellStyle name="Normal 2" xfId="83"/>
    <cellStyle name="Normal 3" xfId="42"/>
    <cellStyle name="Note" xfId="15" builtinId="10" customBuiltin="1"/>
    <cellStyle name="Note 2" xfId="56"/>
    <cellStyle name="Pourcentage" xfId="84" builtinId="5"/>
    <cellStyle name="Satisfaisant" xfId="6" builtinId="26" customBuiltin="1"/>
    <cellStyle name="Satisfaisant 2" xfId="47"/>
    <cellStyle name="Sortie" xfId="10" builtinId="21" customBuiltin="1"/>
    <cellStyle name="Sortie 2" xfId="51"/>
    <cellStyle name="Texte explicatif" xfId="16" builtinId="53" customBuiltin="1"/>
    <cellStyle name="Texte explicatif 2" xfId="57"/>
    <cellStyle name="Titre" xfId="1" builtinId="15" customBuiltin="1"/>
    <cellStyle name="Titre 1" xfId="2" builtinId="16" customBuiltin="1"/>
    <cellStyle name="Titre 1 2" xfId="43"/>
    <cellStyle name="Titre 2" xfId="3" builtinId="17" customBuiltin="1"/>
    <cellStyle name="Titre 2 2" xfId="44"/>
    <cellStyle name="Titre 3" xfId="4" builtinId="18" customBuiltin="1"/>
    <cellStyle name="Titre 3 2" xfId="45"/>
    <cellStyle name="Titre 4" xfId="5" builtinId="19" customBuiltin="1"/>
    <cellStyle name="Titre 4 2" xfId="46"/>
    <cellStyle name="Total" xfId="17" builtinId="25" customBuiltin="1"/>
    <cellStyle name="Total 2" xfId="58"/>
    <cellStyle name="Vérification" xfId="13" builtinId="23" customBuiltin="1"/>
    <cellStyle name="Vérification 2" xfId="54"/>
  </cellStyles>
  <dxfs count="19"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rgb="FFFF0000"/>
      </font>
    </dxf>
    <dxf>
      <font>
        <color rgb="FFFF000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FF7C80"/>
      <color rgb="FFFF505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fr-FR"/>
              <a:t>Sample name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9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9150151685584754E-2"/>
          <c:y val="7.5607538853561668E-2"/>
          <c:w val="0.91376752905886749"/>
          <c:h val="0.8169671648186833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moyenne!$K$42</c:f>
              <c:strCache>
                <c:ptCount val="1"/>
                <c:pt idx="0">
                  <c:v>Cl04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moyenne!$K$43:$K$71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7.8884600988867151</c:v>
                </c:pt>
                <c:pt idx="13">
                  <c:v>22.841218540188638</c:v>
                </c:pt>
                <c:pt idx="14">
                  <c:v>31.445677716821169</c:v>
                </c:pt>
                <c:pt idx="15">
                  <c:v>30.44970019324429</c:v>
                </c:pt>
                <c:pt idx="16">
                  <c:v>26.659652608236406</c:v>
                </c:pt>
                <c:pt idx="17">
                  <c:v>22.800960313685458</c:v>
                </c:pt>
                <c:pt idx="18">
                  <c:v>19.715448258256103</c:v>
                </c:pt>
                <c:pt idx="19">
                  <c:v>16.167702474716485</c:v>
                </c:pt>
                <c:pt idx="20">
                  <c:v>12.26612767585244</c:v>
                </c:pt>
                <c:pt idx="21">
                  <c:v>9.4852785323846067</c:v>
                </c:pt>
                <c:pt idx="22">
                  <c:v>6.2129269964561402</c:v>
                </c:pt>
                <c:pt idx="23">
                  <c:v>4.2697412272317603</c:v>
                </c:pt>
                <c:pt idx="24">
                  <c:v>2.5049318799615952</c:v>
                </c:pt>
                <c:pt idx="25">
                  <c:v>1.0830146715583808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40BA-4371-9261-64237DC41DD7}"/>
            </c:ext>
          </c:extLst>
        </c:ser>
        <c:ser>
          <c:idx val="1"/>
          <c:order val="1"/>
          <c:tx>
            <c:strRef>
              <c:f>moyenne!$L$42</c:f>
              <c:strCache>
                <c:ptCount val="1"/>
                <c:pt idx="0">
                  <c:v>Cl05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moyenne!$L$43:$L$71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23.566706482901434</c:v>
                </c:pt>
                <c:pt idx="3">
                  <c:v>115.90391777241244</c:v>
                </c:pt>
                <c:pt idx="4">
                  <c:v>121.43377932096315</c:v>
                </c:pt>
                <c:pt idx="5">
                  <c:v>13.628143723715709</c:v>
                </c:pt>
                <c:pt idx="6">
                  <c:v>41.790326110292952</c:v>
                </c:pt>
                <c:pt idx="7">
                  <c:v>1.0765423067895887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4.4980718037242937</c:v>
                </c:pt>
                <c:pt idx="12">
                  <c:v>40.270580869108535</c:v>
                </c:pt>
                <c:pt idx="13">
                  <c:v>109.77669443881672</c:v>
                </c:pt>
                <c:pt idx="14">
                  <c:v>148.50010847023378</c:v>
                </c:pt>
                <c:pt idx="15">
                  <c:v>145.61780477608522</c:v>
                </c:pt>
                <c:pt idx="16">
                  <c:v>126.29306196656849</c:v>
                </c:pt>
                <c:pt idx="17">
                  <c:v>102.90497485156209</c:v>
                </c:pt>
                <c:pt idx="18">
                  <c:v>85.605535855262204</c:v>
                </c:pt>
                <c:pt idx="19">
                  <c:v>69.708063020961319</c:v>
                </c:pt>
                <c:pt idx="20">
                  <c:v>55.820235858996192</c:v>
                </c:pt>
                <c:pt idx="21">
                  <c:v>46.432580112622084</c:v>
                </c:pt>
                <c:pt idx="22">
                  <c:v>33.50378194353268</c:v>
                </c:pt>
                <c:pt idx="23">
                  <c:v>24.014490306857596</c:v>
                </c:pt>
                <c:pt idx="24">
                  <c:v>14.888490484661883</c:v>
                </c:pt>
                <c:pt idx="25">
                  <c:v>8.8960869335584309</c:v>
                </c:pt>
                <c:pt idx="26">
                  <c:v>4.5727749453835367</c:v>
                </c:pt>
                <c:pt idx="27">
                  <c:v>2.102676690757757</c:v>
                </c:pt>
                <c:pt idx="28">
                  <c:v>0.51963969846181279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1-40BA-4371-9261-64237DC41DD7}"/>
            </c:ext>
          </c:extLst>
        </c:ser>
        <c:ser>
          <c:idx val="2"/>
          <c:order val="2"/>
          <c:tx>
            <c:strRef>
              <c:f>moyenne!$M$42</c:f>
              <c:strCache>
                <c:ptCount val="1"/>
                <c:pt idx="0">
                  <c:v>Cl06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moyenne!$M$43:$M$71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127.57604523173036</c:v>
                </c:pt>
                <c:pt idx="3">
                  <c:v>799.66469159025678</c:v>
                </c:pt>
                <c:pt idx="4">
                  <c:v>1146.8392822782021</c:v>
                </c:pt>
                <c:pt idx="5">
                  <c:v>204.14289033052387</c:v>
                </c:pt>
                <c:pt idx="6">
                  <c:v>35.86739056777477</c:v>
                </c:pt>
                <c:pt idx="7">
                  <c:v>0.48771751771311345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5.0877454590411375</c:v>
                </c:pt>
                <c:pt idx="12">
                  <c:v>63.81747972378276</c:v>
                </c:pt>
                <c:pt idx="13">
                  <c:v>214.77857327871365</c:v>
                </c:pt>
                <c:pt idx="14">
                  <c:v>343.37842877172648</c:v>
                </c:pt>
                <c:pt idx="15">
                  <c:v>382.70003243305752</c:v>
                </c:pt>
                <c:pt idx="16">
                  <c:v>345.09512346482023</c:v>
                </c:pt>
                <c:pt idx="17">
                  <c:v>284.8767401089824</c:v>
                </c:pt>
                <c:pt idx="18">
                  <c:v>230.03924124278672</c:v>
                </c:pt>
                <c:pt idx="19">
                  <c:v>175.84314630714806</c:v>
                </c:pt>
                <c:pt idx="20">
                  <c:v>131.67531762960652</c:v>
                </c:pt>
                <c:pt idx="21">
                  <c:v>105.19408116466128</c:v>
                </c:pt>
                <c:pt idx="22">
                  <c:v>75.742450015299156</c:v>
                </c:pt>
                <c:pt idx="23">
                  <c:v>57.232837133780151</c:v>
                </c:pt>
                <c:pt idx="24">
                  <c:v>37.649479412444734</c:v>
                </c:pt>
                <c:pt idx="25">
                  <c:v>24.001601521740266</c:v>
                </c:pt>
                <c:pt idx="26">
                  <c:v>13.379315461362605</c:v>
                </c:pt>
                <c:pt idx="27">
                  <c:v>6.9755466800859587</c:v>
                </c:pt>
                <c:pt idx="28">
                  <c:v>3.5415691026703899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2-40BA-4371-9261-64237DC41DD7}"/>
            </c:ext>
          </c:extLst>
        </c:ser>
        <c:ser>
          <c:idx val="3"/>
          <c:order val="3"/>
          <c:tx>
            <c:strRef>
              <c:f>moyenne!$N$42</c:f>
              <c:strCache>
                <c:ptCount val="1"/>
                <c:pt idx="0">
                  <c:v>Cl07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moyenne!$N$43:$N$71</c:f>
              <c:numCache>
                <c:formatCode>#,##0</c:formatCode>
                <c:ptCount val="29"/>
                <c:pt idx="0">
                  <c:v>0</c:v>
                </c:pt>
                <c:pt idx="1">
                  <c:v>3.0148317468525507E-2</c:v>
                </c:pt>
                <c:pt idx="2">
                  <c:v>107.63366995949922</c:v>
                </c:pt>
                <c:pt idx="3">
                  <c:v>1015.9043757535906</c:v>
                </c:pt>
                <c:pt idx="4">
                  <c:v>2334.1348865360719</c:v>
                </c:pt>
                <c:pt idx="5">
                  <c:v>628.86430308155559</c:v>
                </c:pt>
                <c:pt idx="6">
                  <c:v>61.784011518077435</c:v>
                </c:pt>
                <c:pt idx="7">
                  <c:v>0.46562400125691172</c:v>
                </c:pt>
                <c:pt idx="8">
                  <c:v>7.1596831458387411E-2</c:v>
                </c:pt>
                <c:pt idx="9">
                  <c:v>0</c:v>
                </c:pt>
                <c:pt idx="10">
                  <c:v>0</c:v>
                </c:pt>
                <c:pt idx="11">
                  <c:v>2.9748988592679657</c:v>
                </c:pt>
                <c:pt idx="12">
                  <c:v>58.894997221664397</c:v>
                </c:pt>
                <c:pt idx="13">
                  <c:v>241.49120470038659</c:v>
                </c:pt>
                <c:pt idx="14">
                  <c:v>437.23423420638494</c:v>
                </c:pt>
                <c:pt idx="15">
                  <c:v>524.55156071711986</c:v>
                </c:pt>
                <c:pt idx="16">
                  <c:v>511.09395803548898</c:v>
                </c:pt>
                <c:pt idx="17">
                  <c:v>441.44093747285774</c:v>
                </c:pt>
                <c:pt idx="18">
                  <c:v>355.53837752142664</c:v>
                </c:pt>
                <c:pt idx="19">
                  <c:v>271.49590754109562</c:v>
                </c:pt>
                <c:pt idx="20">
                  <c:v>197.32056649624187</c:v>
                </c:pt>
                <c:pt idx="21">
                  <c:v>151.26851681315711</c:v>
                </c:pt>
                <c:pt idx="22">
                  <c:v>108.01287244820283</c:v>
                </c:pt>
                <c:pt idx="23">
                  <c:v>82.210329040535555</c:v>
                </c:pt>
                <c:pt idx="24">
                  <c:v>56.013573163202636</c:v>
                </c:pt>
                <c:pt idx="25">
                  <c:v>38.159257485150782</c:v>
                </c:pt>
                <c:pt idx="26">
                  <c:v>23.29774230499622</c:v>
                </c:pt>
                <c:pt idx="27">
                  <c:v>13.272841551156151</c:v>
                </c:pt>
                <c:pt idx="28">
                  <c:v>7.2282546823277372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3-40BA-4371-9261-64237DC41DD7}"/>
            </c:ext>
          </c:extLst>
        </c:ser>
        <c:ser>
          <c:idx val="4"/>
          <c:order val="4"/>
          <c:tx>
            <c:strRef>
              <c:f>moyenne!$O$42</c:f>
              <c:strCache>
                <c:ptCount val="1"/>
                <c:pt idx="0">
                  <c:v>Cl08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moyenne!$O$43:$O$71</c:f>
              <c:numCache>
                <c:formatCode>#,##0</c:formatCode>
                <c:ptCount val="29"/>
                <c:pt idx="0">
                  <c:v>0</c:v>
                </c:pt>
                <c:pt idx="1">
                  <c:v>0.25876414109831597</c:v>
                </c:pt>
                <c:pt idx="2">
                  <c:v>140.84404210219958</c:v>
                </c:pt>
                <c:pt idx="3">
                  <c:v>549.10058686488253</c:v>
                </c:pt>
                <c:pt idx="4">
                  <c:v>1754.9947661221079</c:v>
                </c:pt>
                <c:pt idx="5">
                  <c:v>736.783884271131</c:v>
                </c:pt>
                <c:pt idx="6">
                  <c:v>109.88093047165927</c:v>
                </c:pt>
                <c:pt idx="7">
                  <c:v>2.1527261655929677</c:v>
                </c:pt>
                <c:pt idx="8">
                  <c:v>0.11651054247580438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24.027734893046091</c:v>
                </c:pt>
                <c:pt idx="13">
                  <c:v>120.60276366280462</c:v>
                </c:pt>
                <c:pt idx="14">
                  <c:v>256.44748188153233</c:v>
                </c:pt>
                <c:pt idx="15">
                  <c:v>352.55684540791856</c:v>
                </c:pt>
                <c:pt idx="16">
                  <c:v>387.34914689481434</c:v>
                </c:pt>
                <c:pt idx="17">
                  <c:v>375.13058210948589</c:v>
                </c:pt>
                <c:pt idx="18">
                  <c:v>326.56921442039555</c:v>
                </c:pt>
                <c:pt idx="19">
                  <c:v>264.97434777958779</c:v>
                </c:pt>
                <c:pt idx="20">
                  <c:v>201.89253043214134</c:v>
                </c:pt>
                <c:pt idx="21">
                  <c:v>159.38674181158672</c:v>
                </c:pt>
                <c:pt idx="22">
                  <c:v>113.33874369915182</c:v>
                </c:pt>
                <c:pt idx="23">
                  <c:v>86.034964104344354</c:v>
                </c:pt>
                <c:pt idx="24">
                  <c:v>59.992828419396972</c:v>
                </c:pt>
                <c:pt idx="25">
                  <c:v>41.815818820424283</c:v>
                </c:pt>
                <c:pt idx="26">
                  <c:v>26.948128639480508</c:v>
                </c:pt>
                <c:pt idx="27">
                  <c:v>16.478615526885765</c:v>
                </c:pt>
                <c:pt idx="28">
                  <c:v>9.8048829345071766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4-40BA-4371-9261-64237DC41DD7}"/>
            </c:ext>
          </c:extLst>
        </c:ser>
        <c:ser>
          <c:idx val="5"/>
          <c:order val="5"/>
          <c:tx>
            <c:strRef>
              <c:f>moyenne!$P$42</c:f>
              <c:strCache>
                <c:ptCount val="1"/>
                <c:pt idx="0">
                  <c:v>Cl09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moyenne!$P$43:$P$71</c:f>
              <c:numCache>
                <c:formatCode>#,##0</c:formatCode>
                <c:ptCount val="29"/>
                <c:pt idx="0">
                  <c:v>2.1789155273438887E-2</c:v>
                </c:pt>
                <c:pt idx="1">
                  <c:v>0</c:v>
                </c:pt>
                <c:pt idx="2">
                  <c:v>363.03706415695007</c:v>
                </c:pt>
                <c:pt idx="3">
                  <c:v>751.10218102596843</c:v>
                </c:pt>
                <c:pt idx="4">
                  <c:v>873.82628497986309</c:v>
                </c:pt>
                <c:pt idx="5">
                  <c:v>446.96132253170776</c:v>
                </c:pt>
                <c:pt idx="6">
                  <c:v>95.367679034053737</c:v>
                </c:pt>
                <c:pt idx="7">
                  <c:v>3.7733189404556415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2.0052499247468143</c:v>
                </c:pt>
                <c:pt idx="13">
                  <c:v>30.491356958862188</c:v>
                </c:pt>
                <c:pt idx="14">
                  <c:v>82.108556193763647</c:v>
                </c:pt>
                <c:pt idx="15">
                  <c:v>135.76322258262445</c:v>
                </c:pt>
                <c:pt idx="16">
                  <c:v>170.26938022775292</c:v>
                </c:pt>
                <c:pt idx="17">
                  <c:v>186.97609819037754</c:v>
                </c:pt>
                <c:pt idx="18">
                  <c:v>188.7322398785976</c:v>
                </c:pt>
                <c:pt idx="19">
                  <c:v>169.07223274878189</c:v>
                </c:pt>
                <c:pt idx="20">
                  <c:v>141.12378994697798</c:v>
                </c:pt>
                <c:pt idx="21">
                  <c:v>119.75332125381898</c:v>
                </c:pt>
                <c:pt idx="22">
                  <c:v>87.900140095953617</c:v>
                </c:pt>
                <c:pt idx="23">
                  <c:v>70.746247563213501</c:v>
                </c:pt>
                <c:pt idx="24">
                  <c:v>48.474389471917689</c:v>
                </c:pt>
                <c:pt idx="25">
                  <c:v>34.767649854738956</c:v>
                </c:pt>
                <c:pt idx="26">
                  <c:v>22.362361864955531</c:v>
                </c:pt>
                <c:pt idx="27">
                  <c:v>14.465868809801071</c:v>
                </c:pt>
                <c:pt idx="28">
                  <c:v>9.0262071398552894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5-40BA-4371-9261-64237DC41DD7}"/>
            </c:ext>
          </c:extLst>
        </c:ser>
        <c:ser>
          <c:idx val="6"/>
          <c:order val="6"/>
          <c:tx>
            <c:strRef>
              <c:f>moyenne!$Q$42</c:f>
              <c:strCache>
                <c:ptCount val="1"/>
                <c:pt idx="0">
                  <c:v>Cl10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moyenne!$Q$43:$Q$71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350.98052197177378</c:v>
                </c:pt>
                <c:pt idx="3">
                  <c:v>1481.1753934380781</c:v>
                </c:pt>
                <c:pt idx="4">
                  <c:v>1698.6331448563813</c:v>
                </c:pt>
                <c:pt idx="5">
                  <c:v>789.7129738725954</c:v>
                </c:pt>
                <c:pt idx="6">
                  <c:v>140.24086184068591</c:v>
                </c:pt>
                <c:pt idx="7">
                  <c:v>0.79798091683407346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2.4259284600973561</c:v>
                </c:pt>
                <c:pt idx="14">
                  <c:v>14.808670682415865</c:v>
                </c:pt>
                <c:pt idx="15">
                  <c:v>31.089392246685122</c:v>
                </c:pt>
                <c:pt idx="16">
                  <c:v>46.806872669029623</c:v>
                </c:pt>
                <c:pt idx="17">
                  <c:v>60.101469709227366</c:v>
                </c:pt>
                <c:pt idx="18">
                  <c:v>69.712602893292399</c:v>
                </c:pt>
                <c:pt idx="19">
                  <c:v>71.477863179861799</c:v>
                </c:pt>
                <c:pt idx="20">
                  <c:v>66.844576111444255</c:v>
                </c:pt>
                <c:pt idx="21">
                  <c:v>61.852526096729122</c:v>
                </c:pt>
                <c:pt idx="22">
                  <c:v>48.265966982045981</c:v>
                </c:pt>
                <c:pt idx="23">
                  <c:v>41.481053872363056</c:v>
                </c:pt>
                <c:pt idx="24">
                  <c:v>30.010105236048751</c:v>
                </c:pt>
                <c:pt idx="25">
                  <c:v>21.035106901830144</c:v>
                </c:pt>
                <c:pt idx="26">
                  <c:v>14.148037866970864</c:v>
                </c:pt>
                <c:pt idx="27">
                  <c:v>8.6326246552658503</c:v>
                </c:pt>
                <c:pt idx="28">
                  <c:v>5.2799781553243532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6-40BA-4371-9261-64237DC41DD7}"/>
            </c:ext>
          </c:extLst>
        </c:ser>
        <c:ser>
          <c:idx val="7"/>
          <c:order val="7"/>
          <c:tx>
            <c:strRef>
              <c:f>moyenne!$R$42</c:f>
              <c:strCache>
                <c:ptCount val="1"/>
                <c:pt idx="0">
                  <c:v>Cl11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moyenne!$R$43:$R$71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114.04613547939847</c:v>
                </c:pt>
                <c:pt idx="3">
                  <c:v>1185.3467233053857</c:v>
                </c:pt>
                <c:pt idx="4">
                  <c:v>2850.9651354107241</c:v>
                </c:pt>
                <c:pt idx="5">
                  <c:v>2562.0220696426068</c:v>
                </c:pt>
                <c:pt idx="6">
                  <c:v>853.56561441009217</c:v>
                </c:pt>
                <c:pt idx="7">
                  <c:v>0</c:v>
                </c:pt>
                <c:pt idx="8">
                  <c:v>0.47940654686409939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0.52194579459901025</c:v>
                </c:pt>
                <c:pt idx="15">
                  <c:v>2.7041218732723249</c:v>
                </c:pt>
                <c:pt idx="16">
                  <c:v>6.5327621766222368</c:v>
                </c:pt>
                <c:pt idx="17">
                  <c:v>10.826607750808847</c:v>
                </c:pt>
                <c:pt idx="18">
                  <c:v>16.727087191101184</c:v>
                </c:pt>
                <c:pt idx="19">
                  <c:v>18.049376238440349</c:v>
                </c:pt>
                <c:pt idx="20">
                  <c:v>19.873676529340042</c:v>
                </c:pt>
                <c:pt idx="21">
                  <c:v>20.175290063417606</c:v>
                </c:pt>
                <c:pt idx="22">
                  <c:v>17.655202508403288</c:v>
                </c:pt>
                <c:pt idx="23">
                  <c:v>15.876550147222856</c:v>
                </c:pt>
                <c:pt idx="24">
                  <c:v>11.616592052609022</c:v>
                </c:pt>
                <c:pt idx="25">
                  <c:v>7.8921289635151766</c:v>
                </c:pt>
                <c:pt idx="26">
                  <c:v>4.879147408902277</c:v>
                </c:pt>
                <c:pt idx="27">
                  <c:v>0</c:v>
                </c:pt>
                <c:pt idx="28">
                  <c:v>1.3496733365764289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7-40BA-4371-9261-64237DC41DD7}"/>
            </c:ext>
          </c:extLst>
        </c:ser>
        <c:ser>
          <c:idx val="8"/>
          <c:order val="8"/>
          <c:tx>
            <c:strRef>
              <c:f>moyenne!$S$42</c:f>
              <c:strCache>
                <c:ptCount val="1"/>
                <c:pt idx="0">
                  <c:v>Cl12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moyenne!$S$43:$S$71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4.3060490476337971</c:v>
                </c:pt>
                <c:pt idx="3">
                  <c:v>351.85990074806284</c:v>
                </c:pt>
                <c:pt idx="4">
                  <c:v>1871.8629457176926</c:v>
                </c:pt>
                <c:pt idx="5">
                  <c:v>3399.8359718663651</c:v>
                </c:pt>
                <c:pt idx="6">
                  <c:v>2222.1856575100883</c:v>
                </c:pt>
                <c:pt idx="7">
                  <c:v>43.735490824783597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2.4692106897716628</c:v>
                </c:pt>
                <c:pt idx="20">
                  <c:v>1.7150145061060735</c:v>
                </c:pt>
                <c:pt idx="21">
                  <c:v>2.7655495855706511</c:v>
                </c:pt>
                <c:pt idx="22">
                  <c:v>2.2695315157715354</c:v>
                </c:pt>
                <c:pt idx="23">
                  <c:v>0</c:v>
                </c:pt>
                <c:pt idx="24">
                  <c:v>2.0279643497670867</c:v>
                </c:pt>
                <c:pt idx="25">
                  <c:v>0</c:v>
                </c:pt>
                <c:pt idx="26">
                  <c:v>0.52580888549262594</c:v>
                </c:pt>
                <c:pt idx="27">
                  <c:v>0.24664269988916673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8-40BA-4371-9261-64237DC41DD7}"/>
            </c:ext>
          </c:extLst>
        </c:ser>
        <c:ser>
          <c:idx val="9"/>
          <c:order val="9"/>
          <c:tx>
            <c:strRef>
              <c:f>moyenne!$T$42</c:f>
              <c:strCache>
                <c:ptCount val="1"/>
                <c:pt idx="0">
                  <c:v>Cl13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moyenne!$T$43:$T$71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30.255767529045141</c:v>
                </c:pt>
                <c:pt idx="4">
                  <c:v>490.4879388369705</c:v>
                </c:pt>
                <c:pt idx="5">
                  <c:v>1856.4167256888632</c:v>
                </c:pt>
                <c:pt idx="6">
                  <c:v>2300.9890087418839</c:v>
                </c:pt>
                <c:pt idx="7">
                  <c:v>89.214548806229786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2.6146956808872347E-2</c:v>
                </c:pt>
                <c:pt idx="15">
                  <c:v>0</c:v>
                </c:pt>
                <c:pt idx="16">
                  <c:v>0</c:v>
                </c:pt>
                <c:pt idx="17">
                  <c:v>6.0589176633540562E-2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9-40BA-4371-9261-64237DC41DD7}"/>
            </c:ext>
          </c:extLst>
        </c:ser>
        <c:ser>
          <c:idx val="10"/>
          <c:order val="10"/>
          <c:tx>
            <c:strRef>
              <c:f>moyenne!$U$42</c:f>
              <c:strCache>
                <c:ptCount val="1"/>
                <c:pt idx="0">
                  <c:v>Cl14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moyenne!$U$43:$U$71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40.821937178177279</c:v>
                </c:pt>
                <c:pt idx="5">
                  <c:v>397.870769982193</c:v>
                </c:pt>
                <c:pt idx="6">
                  <c:v>985.29486204037767</c:v>
                </c:pt>
                <c:pt idx="7">
                  <c:v>73.30586539753952</c:v>
                </c:pt>
                <c:pt idx="8">
                  <c:v>0.33793962840237018</c:v>
                </c:pt>
                <c:pt idx="9">
                  <c:v>0</c:v>
                </c:pt>
                <c:pt idx="10">
                  <c:v>3.0708603169897559</c:v>
                </c:pt>
                <c:pt idx="11">
                  <c:v>3.9896973292781981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5.4789186520157115E-2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0.19921355596474857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A-40BA-4371-9261-64237DC41DD7}"/>
            </c:ext>
          </c:extLst>
        </c:ser>
        <c:ser>
          <c:idx val="11"/>
          <c:order val="11"/>
          <c:tx>
            <c:strRef>
              <c:f>moyenne!$V$42</c:f>
              <c:strCache>
                <c:ptCount val="1"/>
                <c:pt idx="0">
                  <c:v>Cl15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moyenne!$V$43:$V$71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25.541568939518232</c:v>
                </c:pt>
                <c:pt idx="6">
                  <c:v>162.45364419662337</c:v>
                </c:pt>
                <c:pt idx="7">
                  <c:v>22.774777647711304</c:v>
                </c:pt>
                <c:pt idx="8">
                  <c:v>0</c:v>
                </c:pt>
                <c:pt idx="9">
                  <c:v>0</c:v>
                </c:pt>
                <c:pt idx="10">
                  <c:v>13.824118159393036</c:v>
                </c:pt>
                <c:pt idx="11">
                  <c:v>28.741404435880948</c:v>
                </c:pt>
                <c:pt idx="12">
                  <c:v>13.94243198972335</c:v>
                </c:pt>
                <c:pt idx="13">
                  <c:v>1.3593448394440213</c:v>
                </c:pt>
                <c:pt idx="14">
                  <c:v>7.5143734226794406E-2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9.81674956771489E-2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0.10026265136174131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B-40BA-4371-9261-64237DC41DD7}"/>
            </c:ext>
          </c:extLst>
        </c:ser>
        <c:ser>
          <c:idx val="12"/>
          <c:order val="12"/>
          <c:tx>
            <c:strRef>
              <c:f>moyenne!$W$42</c:f>
              <c:strCache>
                <c:ptCount val="1"/>
                <c:pt idx="0">
                  <c:v>Cl16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moyenne!$W$43:$W$71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6.5930866806833208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18.633873008275913</c:v>
                </c:pt>
                <c:pt idx="11">
                  <c:v>63.397406312648364</c:v>
                </c:pt>
                <c:pt idx="12">
                  <c:v>58.086690670959307</c:v>
                </c:pt>
                <c:pt idx="13">
                  <c:v>25.966929298021697</c:v>
                </c:pt>
                <c:pt idx="14">
                  <c:v>7.3549425065362302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9.090165515522311E-2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C-40BA-4371-9261-64237DC41DD7}"/>
            </c:ext>
          </c:extLst>
        </c:ser>
        <c:ser>
          <c:idx val="13"/>
          <c:order val="13"/>
          <c:tx>
            <c:strRef>
              <c:f>moyenne!$X$42</c:f>
              <c:strCache>
                <c:ptCount val="1"/>
                <c:pt idx="0">
                  <c:v>Cl17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moyenne!$X$43:$X$71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8.4216758563875889</c:v>
                </c:pt>
                <c:pt idx="11">
                  <c:v>66.303765425677753</c:v>
                </c:pt>
                <c:pt idx="12">
                  <c:v>110.67147000316234</c:v>
                </c:pt>
                <c:pt idx="13">
                  <c:v>83.348850732689698</c:v>
                </c:pt>
                <c:pt idx="14">
                  <c:v>56.485835366406292</c:v>
                </c:pt>
                <c:pt idx="15">
                  <c:v>21.922195163972695</c:v>
                </c:pt>
                <c:pt idx="16">
                  <c:v>0</c:v>
                </c:pt>
                <c:pt idx="17">
                  <c:v>3.2443256930189748E-2</c:v>
                </c:pt>
                <c:pt idx="18">
                  <c:v>0</c:v>
                </c:pt>
                <c:pt idx="19">
                  <c:v>4.1625415118272543E-2</c:v>
                </c:pt>
                <c:pt idx="20">
                  <c:v>0</c:v>
                </c:pt>
                <c:pt idx="21">
                  <c:v>0</c:v>
                </c:pt>
                <c:pt idx="22">
                  <c:v>9.5146244444307596E-2</c:v>
                </c:pt>
                <c:pt idx="23">
                  <c:v>0</c:v>
                </c:pt>
                <c:pt idx="24">
                  <c:v>0</c:v>
                </c:pt>
                <c:pt idx="25">
                  <c:v>9.6712142965172901E-2</c:v>
                </c:pt>
                <c:pt idx="26">
                  <c:v>0.17552312618518354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D-40BA-4371-9261-64237DC41DD7}"/>
            </c:ext>
          </c:extLst>
        </c:ser>
        <c:ser>
          <c:idx val="14"/>
          <c:order val="14"/>
          <c:tx>
            <c:strRef>
              <c:f>moyenne!$Y$42</c:f>
              <c:strCache>
                <c:ptCount val="1"/>
                <c:pt idx="0">
                  <c:v>Cl18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moyenne!$Y$43:$Y$71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0.60840835751475586</c:v>
                </c:pt>
                <c:pt idx="11">
                  <c:v>35.633900539197285</c:v>
                </c:pt>
                <c:pt idx="12">
                  <c:v>106.2375359023999</c:v>
                </c:pt>
                <c:pt idx="13">
                  <c:v>131.24884596494621</c:v>
                </c:pt>
                <c:pt idx="14">
                  <c:v>153.48056777822242</c:v>
                </c:pt>
                <c:pt idx="15">
                  <c:v>105.28532155042289</c:v>
                </c:pt>
                <c:pt idx="16">
                  <c:v>39.320601551054246</c:v>
                </c:pt>
                <c:pt idx="17">
                  <c:v>4.6002726008674948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0.13685096399109756</c:v>
                </c:pt>
                <c:pt idx="23">
                  <c:v>0</c:v>
                </c:pt>
                <c:pt idx="24">
                  <c:v>0.18587227431780093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0.13756570949720853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E-40BA-4371-9261-64237DC41DD7}"/>
            </c:ext>
          </c:extLst>
        </c:ser>
        <c:ser>
          <c:idx val="15"/>
          <c:order val="15"/>
          <c:tx>
            <c:strRef>
              <c:f>moyenne!$Z$42</c:f>
              <c:strCache>
                <c:ptCount val="1"/>
                <c:pt idx="0">
                  <c:v>Cl19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moyenne!$Z$43:$Z$71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9.6068695011554212E-2</c:v>
                </c:pt>
                <c:pt idx="10">
                  <c:v>0</c:v>
                </c:pt>
                <c:pt idx="11">
                  <c:v>5.1716922270299968</c:v>
                </c:pt>
                <c:pt idx="12">
                  <c:v>52.515713999048785</c:v>
                </c:pt>
                <c:pt idx="13">
                  <c:v>113.20508670781017</c:v>
                </c:pt>
                <c:pt idx="14">
                  <c:v>216.95864445804108</c:v>
                </c:pt>
                <c:pt idx="15">
                  <c:v>236.31387255657424</c:v>
                </c:pt>
                <c:pt idx="16">
                  <c:v>152.1543574511054</c:v>
                </c:pt>
                <c:pt idx="17">
                  <c:v>51.58271549913718</c:v>
                </c:pt>
                <c:pt idx="18">
                  <c:v>13.595780769264891</c:v>
                </c:pt>
                <c:pt idx="19">
                  <c:v>0.20744756121934071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F-40BA-4371-9261-64237DC41DD7}"/>
            </c:ext>
          </c:extLst>
        </c:ser>
        <c:ser>
          <c:idx val="16"/>
          <c:order val="16"/>
          <c:tx>
            <c:strRef>
              <c:f>moyenne!$AA$42</c:f>
              <c:strCache>
                <c:ptCount val="1"/>
                <c:pt idx="0">
                  <c:v>Cl20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moyenne!$AA$43:$AA$71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10.213119247796604</c:v>
                </c:pt>
                <c:pt idx="13">
                  <c:v>52.129386545177844</c:v>
                </c:pt>
                <c:pt idx="14">
                  <c:v>171.95593787551488</c:v>
                </c:pt>
                <c:pt idx="15">
                  <c:v>298.12292375759358</c:v>
                </c:pt>
                <c:pt idx="16">
                  <c:v>302.22335331850996</c:v>
                </c:pt>
                <c:pt idx="17">
                  <c:v>166.43820389025657</c:v>
                </c:pt>
                <c:pt idx="18">
                  <c:v>89.438249390107032</c:v>
                </c:pt>
                <c:pt idx="19">
                  <c:v>10.607364809876247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0-40BA-4371-9261-64237DC41DD7}"/>
            </c:ext>
          </c:extLst>
        </c:ser>
        <c:ser>
          <c:idx val="17"/>
          <c:order val="17"/>
          <c:tx>
            <c:strRef>
              <c:f>moyenne!$AB$42</c:f>
              <c:strCache>
                <c:ptCount val="1"/>
                <c:pt idx="0">
                  <c:v>Cl21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moyenne!$AB$43:$AB$71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0.22277399381761609</c:v>
                </c:pt>
                <c:pt idx="13">
                  <c:v>9.9342951329660529</c:v>
                </c:pt>
                <c:pt idx="14">
                  <c:v>78.486107218097885</c:v>
                </c:pt>
                <c:pt idx="15">
                  <c:v>221.86983734005412</c:v>
                </c:pt>
                <c:pt idx="16">
                  <c:v>348.48746964242639</c:v>
                </c:pt>
                <c:pt idx="17">
                  <c:v>294.47227192339483</c:v>
                </c:pt>
                <c:pt idx="18">
                  <c:v>250.10041058711622</c:v>
                </c:pt>
                <c:pt idx="19">
                  <c:v>59.200611872867206</c:v>
                </c:pt>
                <c:pt idx="20">
                  <c:v>17.13961580488272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9.2068898405986407E-2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1-40BA-4371-9261-64237DC41DD7}"/>
            </c:ext>
          </c:extLst>
        </c:ser>
        <c:ser>
          <c:idx val="18"/>
          <c:order val="18"/>
          <c:tx>
            <c:strRef>
              <c:f>moyenne!$AC$42</c:f>
              <c:strCache>
                <c:ptCount val="1"/>
                <c:pt idx="0">
                  <c:v>Cl22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moyenne!$AC$43:$AC$71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16.212024552295475</c:v>
                </c:pt>
                <c:pt idx="15">
                  <c:v>94.733243163984298</c:v>
                </c:pt>
                <c:pt idx="16">
                  <c:v>237.81746950212857</c:v>
                </c:pt>
                <c:pt idx="17">
                  <c:v>306.62105471008908</c:v>
                </c:pt>
                <c:pt idx="18">
                  <c:v>409.66904001056469</c:v>
                </c:pt>
                <c:pt idx="19">
                  <c:v>141.23895798809554</c:v>
                </c:pt>
                <c:pt idx="20">
                  <c:v>74.571581428730951</c:v>
                </c:pt>
                <c:pt idx="21">
                  <c:v>9.5030923905728883</c:v>
                </c:pt>
                <c:pt idx="22">
                  <c:v>0.26627165038100703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2-40BA-4371-9261-64237DC41DD7}"/>
            </c:ext>
          </c:extLst>
        </c:ser>
        <c:ser>
          <c:idx val="19"/>
          <c:order val="19"/>
          <c:tx>
            <c:strRef>
              <c:f>moyenne!$AD$42</c:f>
              <c:strCache>
                <c:ptCount val="1"/>
                <c:pt idx="0">
                  <c:v>Cl23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moyenne!$AD$43:$AD$71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21.821217796425355</c:v>
                </c:pt>
                <c:pt idx="16">
                  <c:v>99.734919069596131</c:v>
                </c:pt>
                <c:pt idx="17">
                  <c:v>201.2481747696753</c:v>
                </c:pt>
                <c:pt idx="18">
                  <c:v>420.57794373688239</c:v>
                </c:pt>
                <c:pt idx="19">
                  <c:v>207.18403450301952</c:v>
                </c:pt>
                <c:pt idx="20">
                  <c:v>170.92603382742163</c:v>
                </c:pt>
                <c:pt idx="21">
                  <c:v>42.640741671334723</c:v>
                </c:pt>
                <c:pt idx="22">
                  <c:v>8.7729234800414915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0.16714125577971567</c:v>
                </c:pt>
                <c:pt idx="27">
                  <c:v>6.710687732905582E-2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3-40BA-4371-9261-64237DC41DD7}"/>
            </c:ext>
          </c:extLst>
        </c:ser>
        <c:ser>
          <c:idx val="20"/>
          <c:order val="20"/>
          <c:tx>
            <c:strRef>
              <c:f>moyenne!$AE$42</c:f>
              <c:strCache>
                <c:ptCount val="1"/>
                <c:pt idx="0">
                  <c:v>Cl24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moyenne!$AE$43:$AE$71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0.77444374135802363</c:v>
                </c:pt>
                <c:pt idx="16">
                  <c:v>20.971158437560849</c:v>
                </c:pt>
                <c:pt idx="17">
                  <c:v>78.667584222833256</c:v>
                </c:pt>
                <c:pt idx="18">
                  <c:v>263.80111010508904</c:v>
                </c:pt>
                <c:pt idx="19">
                  <c:v>186.31211555551099</c:v>
                </c:pt>
                <c:pt idx="20">
                  <c:v>234.04159298678957</c:v>
                </c:pt>
                <c:pt idx="21">
                  <c:v>84.947445426137818</c:v>
                </c:pt>
                <c:pt idx="22">
                  <c:v>34.792428334538712</c:v>
                </c:pt>
                <c:pt idx="23">
                  <c:v>5.3545610071013954</c:v>
                </c:pt>
                <c:pt idx="24">
                  <c:v>0.21728392078117839</c:v>
                </c:pt>
                <c:pt idx="25">
                  <c:v>0</c:v>
                </c:pt>
                <c:pt idx="26">
                  <c:v>0</c:v>
                </c:pt>
                <c:pt idx="27">
                  <c:v>8.8924992480646822E-2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4-40BA-4371-9261-64237DC41DD7}"/>
            </c:ext>
          </c:extLst>
        </c:ser>
        <c:ser>
          <c:idx val="21"/>
          <c:order val="21"/>
          <c:tx>
            <c:strRef>
              <c:f>moyenne!$AF$42</c:f>
              <c:strCache>
                <c:ptCount val="1"/>
                <c:pt idx="0">
                  <c:v>Cl25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moyenne!$AF$43:$AF$71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1.2539689074244789</c:v>
                </c:pt>
                <c:pt idx="17">
                  <c:v>15.585554950791396</c:v>
                </c:pt>
                <c:pt idx="18">
                  <c:v>101.16746255667117</c:v>
                </c:pt>
                <c:pt idx="19">
                  <c:v>107.93418347990689</c:v>
                </c:pt>
                <c:pt idx="20">
                  <c:v>209.39795461367495</c:v>
                </c:pt>
                <c:pt idx="21">
                  <c:v>104.34750270302614</c:v>
                </c:pt>
                <c:pt idx="22">
                  <c:v>61.774926749412529</c:v>
                </c:pt>
                <c:pt idx="23">
                  <c:v>21.19367467917623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5-40BA-4371-9261-64237DC41DD7}"/>
            </c:ext>
          </c:extLst>
        </c:ser>
        <c:ser>
          <c:idx val="22"/>
          <c:order val="22"/>
          <c:tx>
            <c:strRef>
              <c:f>moyenne!$AG$42</c:f>
              <c:strCache>
                <c:ptCount val="1"/>
                <c:pt idx="0">
                  <c:v>Cl26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moyenne!$AG$43:$AG$71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35.206826107826565</c:v>
                </c:pt>
                <c:pt idx="20">
                  <c:v>116.60926757657887</c:v>
                </c:pt>
                <c:pt idx="21">
                  <c:v>81.106251576124052</c:v>
                </c:pt>
                <c:pt idx="22">
                  <c:v>72.905481358268418</c:v>
                </c:pt>
                <c:pt idx="23">
                  <c:v>34.864756489614024</c:v>
                </c:pt>
                <c:pt idx="24">
                  <c:v>12.635868230143931</c:v>
                </c:pt>
                <c:pt idx="25">
                  <c:v>1.1025536425582769</c:v>
                </c:pt>
                <c:pt idx="26">
                  <c:v>0</c:v>
                </c:pt>
                <c:pt idx="27">
                  <c:v>0.13204594690711574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6-40BA-4371-9261-64237DC41DD7}"/>
            </c:ext>
          </c:extLst>
        </c:ser>
        <c:ser>
          <c:idx val="23"/>
          <c:order val="23"/>
          <c:tx>
            <c:strRef>
              <c:f>moyenne!$AH$42</c:f>
              <c:strCache>
                <c:ptCount val="1"/>
                <c:pt idx="0">
                  <c:v>Cl27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moyenne!$AH$43:$AH$71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43.804727325298131</c:v>
                </c:pt>
                <c:pt idx="21">
                  <c:v>46.285000512592227</c:v>
                </c:pt>
                <c:pt idx="22">
                  <c:v>59.521266818281191</c:v>
                </c:pt>
                <c:pt idx="23">
                  <c:v>42.477887743414612</c:v>
                </c:pt>
                <c:pt idx="24">
                  <c:v>20.27745418976334</c:v>
                </c:pt>
                <c:pt idx="25">
                  <c:v>5.5004336927242239</c:v>
                </c:pt>
                <c:pt idx="26">
                  <c:v>0.4905050545597579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7-40BA-4371-9261-64237DC41DD7}"/>
            </c:ext>
          </c:extLst>
        </c:ser>
        <c:ser>
          <c:idx val="24"/>
          <c:order val="24"/>
          <c:tx>
            <c:strRef>
              <c:f>moyenne!$AI$42</c:f>
              <c:strCache>
                <c:ptCount val="1"/>
                <c:pt idx="0">
                  <c:v>Cl28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moyenne!$AI$43:$AI$71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12.570189935053389</c:v>
                </c:pt>
                <c:pt idx="22">
                  <c:v>27.70238788664717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8-40BA-4371-9261-64237DC41DD7}"/>
            </c:ext>
          </c:extLst>
        </c:ser>
        <c:ser>
          <c:idx val="25"/>
          <c:order val="25"/>
          <c:tx>
            <c:strRef>
              <c:f>moyenne!$AJ$42</c:f>
              <c:strCache>
                <c:ptCount val="1"/>
                <c:pt idx="0">
                  <c:v>Cl29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moyenne!$AJ$43:$AJ$71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9-40BA-4371-9261-64237DC41DD7}"/>
            </c:ext>
          </c:extLst>
        </c:ser>
        <c:ser>
          <c:idx val="26"/>
          <c:order val="26"/>
          <c:tx>
            <c:strRef>
              <c:f>moyenne!$AK$42</c:f>
              <c:strCache>
                <c:ptCount val="1"/>
                <c:pt idx="0">
                  <c:v>Cl30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moyenne!$AK$43:$AK$71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A-40BA-4371-9261-64237DC41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shape val="box"/>
        <c:axId val="650780728"/>
        <c:axId val="650772200"/>
        <c:axId val="335469696"/>
      </c:bar3DChart>
      <c:catAx>
        <c:axId val="650780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50772200"/>
        <c:crosses val="autoZero"/>
        <c:auto val="1"/>
        <c:lblAlgn val="ctr"/>
        <c:lblOffset val="100"/>
        <c:noMultiLvlLbl val="0"/>
      </c:catAx>
      <c:valAx>
        <c:axId val="65077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Intensity (x10</a:t>
                </a:r>
                <a:r>
                  <a:rPr lang="en-GB" baseline="30000"/>
                  <a:t>6</a:t>
                </a:r>
                <a:r>
                  <a:rPr lang="en-GB"/>
                  <a:t>)</a:t>
                </a:r>
              </a:p>
            </c:rich>
          </c:tx>
          <c:layout>
            <c:manualLayout>
              <c:xMode val="edge"/>
              <c:yMode val="edge"/>
              <c:x val="0.12548890479599142"/>
              <c:y val="0.48060038413565653"/>
            </c:manualLayout>
          </c:layout>
          <c:overlay val="0"/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50780728"/>
        <c:crosses val="autoZero"/>
        <c:crossBetween val="between"/>
      </c:valAx>
      <c:serAx>
        <c:axId val="335469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50772200"/>
        <c:crosses val="autoZero"/>
      </c:serAx>
      <c:spPr>
        <a:noFill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fr-FR"/>
              <a:t>%RSD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9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9150151685584754E-2"/>
          <c:y val="7.5607538853561668E-2"/>
          <c:w val="0.91376752905886749"/>
          <c:h val="0.8169671648186833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moyenne!$AN$42</c:f>
              <c:strCache>
                <c:ptCount val="1"/>
                <c:pt idx="0">
                  <c:v>Cl04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moyenne!$AN$43:$AN$71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0339-4996-8B5F-2BFC69317A06}"/>
            </c:ext>
          </c:extLst>
        </c:ser>
        <c:ser>
          <c:idx val="1"/>
          <c:order val="1"/>
          <c:tx>
            <c:strRef>
              <c:f>moyenne!$AO$42</c:f>
              <c:strCache>
                <c:ptCount val="1"/>
                <c:pt idx="0">
                  <c:v>Cl05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moyenne!$AO$43:$AO$71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1-0339-4996-8B5F-2BFC69317A06}"/>
            </c:ext>
          </c:extLst>
        </c:ser>
        <c:ser>
          <c:idx val="2"/>
          <c:order val="2"/>
          <c:tx>
            <c:strRef>
              <c:f>moyenne!$AP$42</c:f>
              <c:strCache>
                <c:ptCount val="1"/>
                <c:pt idx="0">
                  <c:v>Cl06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moyenne!$AP$43:$AP$71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2-0339-4996-8B5F-2BFC69317A06}"/>
            </c:ext>
          </c:extLst>
        </c:ser>
        <c:ser>
          <c:idx val="3"/>
          <c:order val="3"/>
          <c:tx>
            <c:strRef>
              <c:f>moyenne!$AQ$42</c:f>
              <c:strCache>
                <c:ptCount val="1"/>
                <c:pt idx="0">
                  <c:v>Cl07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moyenne!$AQ$43:$AQ$71</c:f>
              <c:numCache>
                <c:formatCode>0%</c:formatCode>
                <c:ptCount val="29"/>
                <c:pt idx="0">
                  <c:v>0</c:v>
                </c:pt>
                <c:pt idx="1">
                  <c:v>0.3</c:v>
                </c:pt>
                <c:pt idx="2">
                  <c:v>0</c:v>
                </c:pt>
                <c:pt idx="3">
                  <c:v>0</c:v>
                </c:pt>
                <c:pt idx="4">
                  <c:v>0.8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3-0339-4996-8B5F-2BFC69317A06}"/>
            </c:ext>
          </c:extLst>
        </c:ser>
        <c:ser>
          <c:idx val="4"/>
          <c:order val="4"/>
          <c:tx>
            <c:strRef>
              <c:f>moyenne!$AR$42</c:f>
              <c:strCache>
                <c:ptCount val="1"/>
                <c:pt idx="0">
                  <c:v>Cl08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moyenne!$AR$43:$AR$71</c:f>
              <c:numCache>
                <c:formatCode>0%</c:formatCode>
                <c:ptCount val="29"/>
                <c:pt idx="0">
                  <c:v>0</c:v>
                </c:pt>
                <c:pt idx="1">
                  <c:v>0.3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4-0339-4996-8B5F-2BFC69317A06}"/>
            </c:ext>
          </c:extLst>
        </c:ser>
        <c:ser>
          <c:idx val="5"/>
          <c:order val="5"/>
          <c:tx>
            <c:strRef>
              <c:f>moyenne!$AS$42</c:f>
              <c:strCache>
                <c:ptCount val="1"/>
                <c:pt idx="0">
                  <c:v>Cl09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moyenne!$AS$43:$AS$71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5-0339-4996-8B5F-2BFC69317A06}"/>
            </c:ext>
          </c:extLst>
        </c:ser>
        <c:ser>
          <c:idx val="6"/>
          <c:order val="6"/>
          <c:tx>
            <c:strRef>
              <c:f>moyenne!$AT$42</c:f>
              <c:strCache>
                <c:ptCount val="1"/>
                <c:pt idx="0">
                  <c:v>Cl10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moyenne!$AT$43:$AT$71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6-0339-4996-8B5F-2BFC69317A06}"/>
            </c:ext>
          </c:extLst>
        </c:ser>
        <c:ser>
          <c:idx val="7"/>
          <c:order val="7"/>
          <c:tx>
            <c:strRef>
              <c:f>moyenne!$AU$42</c:f>
              <c:strCache>
                <c:ptCount val="1"/>
                <c:pt idx="0">
                  <c:v>Cl11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moyenne!$AU$43:$AU$71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7-0339-4996-8B5F-2BFC69317A06}"/>
            </c:ext>
          </c:extLst>
        </c:ser>
        <c:ser>
          <c:idx val="8"/>
          <c:order val="8"/>
          <c:tx>
            <c:strRef>
              <c:f>moyenne!$AV$42</c:f>
              <c:strCache>
                <c:ptCount val="1"/>
                <c:pt idx="0">
                  <c:v>Cl12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moyenne!$AV$43:$AV$71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8-0339-4996-8B5F-2BFC69317A06}"/>
            </c:ext>
          </c:extLst>
        </c:ser>
        <c:ser>
          <c:idx val="9"/>
          <c:order val="9"/>
          <c:tx>
            <c:strRef>
              <c:f>moyenne!$AW$42</c:f>
              <c:strCache>
                <c:ptCount val="1"/>
                <c:pt idx="0">
                  <c:v>Cl13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moyenne!$AW$43:$AW$71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9-0339-4996-8B5F-2BFC69317A06}"/>
            </c:ext>
          </c:extLst>
        </c:ser>
        <c:ser>
          <c:idx val="10"/>
          <c:order val="10"/>
          <c:tx>
            <c:strRef>
              <c:f>moyenne!$AX$42</c:f>
              <c:strCache>
                <c:ptCount val="1"/>
                <c:pt idx="0">
                  <c:v>Cl14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moyenne!$AX$43:$AX$71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A-0339-4996-8B5F-2BFC69317A06}"/>
            </c:ext>
          </c:extLst>
        </c:ser>
        <c:ser>
          <c:idx val="11"/>
          <c:order val="11"/>
          <c:tx>
            <c:strRef>
              <c:f>moyenne!$AY$42</c:f>
              <c:strCache>
                <c:ptCount val="1"/>
                <c:pt idx="0">
                  <c:v>Cl15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moyenne!$AY$43:$AY$71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B-0339-4996-8B5F-2BFC69317A06}"/>
            </c:ext>
          </c:extLst>
        </c:ser>
        <c:ser>
          <c:idx val="12"/>
          <c:order val="12"/>
          <c:tx>
            <c:strRef>
              <c:f>moyenne!$AZ$42</c:f>
              <c:strCache>
                <c:ptCount val="1"/>
                <c:pt idx="0">
                  <c:v>Cl16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moyenne!$AZ$43:$AZ$71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C-0339-4996-8B5F-2BFC69317A06}"/>
            </c:ext>
          </c:extLst>
        </c:ser>
        <c:ser>
          <c:idx val="13"/>
          <c:order val="13"/>
          <c:tx>
            <c:strRef>
              <c:f>moyenne!$BA$42</c:f>
              <c:strCache>
                <c:ptCount val="1"/>
                <c:pt idx="0">
                  <c:v>Cl17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moyenne!$BA$43:$BA$71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D-0339-4996-8B5F-2BFC69317A06}"/>
            </c:ext>
          </c:extLst>
        </c:ser>
        <c:ser>
          <c:idx val="14"/>
          <c:order val="14"/>
          <c:tx>
            <c:strRef>
              <c:f>moyenne!$BB$42</c:f>
              <c:strCache>
                <c:ptCount val="1"/>
                <c:pt idx="0">
                  <c:v>Cl18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moyenne!$BB$43:$BB$71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E-0339-4996-8B5F-2BFC69317A06}"/>
            </c:ext>
          </c:extLst>
        </c:ser>
        <c:ser>
          <c:idx val="15"/>
          <c:order val="15"/>
          <c:tx>
            <c:strRef>
              <c:f>moyenne!$BC$42</c:f>
              <c:strCache>
                <c:ptCount val="1"/>
                <c:pt idx="0">
                  <c:v>Cl19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moyenne!$BC$43:$BC$71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F-0339-4996-8B5F-2BFC69317A06}"/>
            </c:ext>
          </c:extLst>
        </c:ser>
        <c:ser>
          <c:idx val="16"/>
          <c:order val="16"/>
          <c:tx>
            <c:strRef>
              <c:f>moyenne!$BD$42</c:f>
              <c:strCache>
                <c:ptCount val="1"/>
                <c:pt idx="0">
                  <c:v>Cl20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moyenne!$BD$43:$BD$71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0-0339-4996-8B5F-2BFC69317A06}"/>
            </c:ext>
          </c:extLst>
        </c:ser>
        <c:ser>
          <c:idx val="17"/>
          <c:order val="17"/>
          <c:tx>
            <c:strRef>
              <c:f>moyenne!$BE$42</c:f>
              <c:strCache>
                <c:ptCount val="1"/>
                <c:pt idx="0">
                  <c:v>Cl21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moyenne!$BE$43:$BE$71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1-0339-4996-8B5F-2BFC69317A06}"/>
            </c:ext>
          </c:extLst>
        </c:ser>
        <c:ser>
          <c:idx val="18"/>
          <c:order val="18"/>
          <c:tx>
            <c:strRef>
              <c:f>moyenne!$BF$42</c:f>
              <c:strCache>
                <c:ptCount val="1"/>
                <c:pt idx="0">
                  <c:v>Cl22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moyenne!$BF$43:$BF$71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2-0339-4996-8B5F-2BFC69317A06}"/>
            </c:ext>
          </c:extLst>
        </c:ser>
        <c:ser>
          <c:idx val="19"/>
          <c:order val="19"/>
          <c:tx>
            <c:strRef>
              <c:f>moyenne!$BG$42</c:f>
              <c:strCache>
                <c:ptCount val="1"/>
                <c:pt idx="0">
                  <c:v>Cl23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moyenne!$BG$43:$BG$71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3-0339-4996-8B5F-2BFC69317A06}"/>
            </c:ext>
          </c:extLst>
        </c:ser>
        <c:ser>
          <c:idx val="20"/>
          <c:order val="20"/>
          <c:tx>
            <c:strRef>
              <c:f>moyenne!$BH$42</c:f>
              <c:strCache>
                <c:ptCount val="1"/>
                <c:pt idx="0">
                  <c:v>Cl24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moyenne!$BH$43:$BH$71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4-0339-4996-8B5F-2BFC69317A06}"/>
            </c:ext>
          </c:extLst>
        </c:ser>
        <c:ser>
          <c:idx val="21"/>
          <c:order val="21"/>
          <c:tx>
            <c:strRef>
              <c:f>moyenne!$BI$42</c:f>
              <c:strCache>
                <c:ptCount val="1"/>
                <c:pt idx="0">
                  <c:v>Cl25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moyenne!$BI$43:$BI$71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5-0339-4996-8B5F-2BFC69317A06}"/>
            </c:ext>
          </c:extLst>
        </c:ser>
        <c:ser>
          <c:idx val="22"/>
          <c:order val="22"/>
          <c:tx>
            <c:strRef>
              <c:f>moyenne!$BJ$42</c:f>
              <c:strCache>
                <c:ptCount val="1"/>
                <c:pt idx="0">
                  <c:v>Cl26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moyenne!$BJ$43:$BJ$71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6-0339-4996-8B5F-2BFC69317A06}"/>
            </c:ext>
          </c:extLst>
        </c:ser>
        <c:ser>
          <c:idx val="23"/>
          <c:order val="23"/>
          <c:tx>
            <c:strRef>
              <c:f>moyenne!$BK$42</c:f>
              <c:strCache>
                <c:ptCount val="1"/>
                <c:pt idx="0">
                  <c:v>Cl27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moyenne!$BK$43:$BK$71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7-0339-4996-8B5F-2BFC69317A06}"/>
            </c:ext>
          </c:extLst>
        </c:ser>
        <c:ser>
          <c:idx val="24"/>
          <c:order val="24"/>
          <c:tx>
            <c:strRef>
              <c:f>moyenne!$BL$42</c:f>
              <c:strCache>
                <c:ptCount val="1"/>
                <c:pt idx="0">
                  <c:v>Cl28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moyenne!$BL$43:$BL$71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8-0339-4996-8B5F-2BFC69317A06}"/>
            </c:ext>
          </c:extLst>
        </c:ser>
        <c:ser>
          <c:idx val="25"/>
          <c:order val="25"/>
          <c:tx>
            <c:strRef>
              <c:f>moyenne!$BM$42</c:f>
              <c:strCache>
                <c:ptCount val="1"/>
                <c:pt idx="0">
                  <c:v>Cl29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moyenne!$BM$43:$BM$71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9-0339-4996-8B5F-2BFC69317A06}"/>
            </c:ext>
          </c:extLst>
        </c:ser>
        <c:ser>
          <c:idx val="26"/>
          <c:order val="26"/>
          <c:tx>
            <c:strRef>
              <c:f>moyenne!$BN$42</c:f>
              <c:strCache>
                <c:ptCount val="1"/>
                <c:pt idx="0">
                  <c:v>Cl30</c:v>
                </c:pt>
              </c:strCache>
            </c:strRef>
          </c:tx>
          <c:invertIfNegative val="0"/>
          <c:cat>
            <c:strRef>
              <c:f>moyenne!$J$43:$J$71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moyenne!$BN$43:$BN$71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A-0339-4996-8B5F-2BFC69317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shape val="box"/>
        <c:axId val="650780728"/>
        <c:axId val="650772200"/>
        <c:axId val="335469696"/>
      </c:bar3DChart>
      <c:catAx>
        <c:axId val="650780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50772200"/>
        <c:crosses val="autoZero"/>
        <c:auto val="1"/>
        <c:lblAlgn val="ctr"/>
        <c:lblOffset val="100"/>
        <c:noMultiLvlLbl val="0"/>
      </c:catAx>
      <c:valAx>
        <c:axId val="65077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Intensity (x10</a:t>
                </a:r>
                <a:r>
                  <a:rPr lang="en-GB" baseline="30000"/>
                  <a:t>6</a:t>
                </a:r>
                <a:r>
                  <a:rPr lang="en-GB"/>
                  <a:t>)</a:t>
                </a:r>
              </a:p>
            </c:rich>
          </c:tx>
          <c:layout>
            <c:manualLayout>
              <c:xMode val="edge"/>
              <c:yMode val="edge"/>
              <c:x val="0.12548890479599142"/>
              <c:y val="0.48060038413565653"/>
            </c:manualLayout>
          </c:layout>
          <c:overlay val="0"/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50780728"/>
        <c:crosses val="autoZero"/>
        <c:crossBetween val="between"/>
      </c:valAx>
      <c:serAx>
        <c:axId val="335469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50772200"/>
        <c:crosses val="autoZero"/>
      </c:serAx>
      <c:spPr>
        <a:noFill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fr-FR"/>
              <a:t>Sample name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9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9150151685584754E-2"/>
          <c:y val="7.5607538853561668E-2"/>
          <c:w val="0.91376752905886749"/>
          <c:h val="0.8169671648186833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HypersildGold_ref!$I$42</c:f>
              <c:strCache>
                <c:ptCount val="1"/>
                <c:pt idx="0">
                  <c:v>Cl04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HypersildGold_ref!$I$43:$I$71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63.176244402937719</c:v>
                </c:pt>
                <c:pt idx="7">
                  <c:v>74.767436075103944</c:v>
                </c:pt>
                <c:pt idx="8">
                  <c:v>68.229917375797001</c:v>
                </c:pt>
                <c:pt idx="9">
                  <c:v>27.759951065492778</c:v>
                </c:pt>
                <c:pt idx="10">
                  <c:v>0</c:v>
                </c:pt>
                <c:pt idx="11">
                  <c:v>0</c:v>
                </c:pt>
                <c:pt idx="12">
                  <c:v>13.251768956220477</c:v>
                </c:pt>
                <c:pt idx="13">
                  <c:v>37.20681283001403</c:v>
                </c:pt>
                <c:pt idx="14">
                  <c:v>44.311572030843152</c:v>
                </c:pt>
                <c:pt idx="15">
                  <c:v>35.326959205601213</c:v>
                </c:pt>
                <c:pt idx="16">
                  <c:v>22.466703340800077</c:v>
                </c:pt>
                <c:pt idx="17">
                  <c:v>14.925711806320521</c:v>
                </c:pt>
                <c:pt idx="18">
                  <c:v>10.821680182114045</c:v>
                </c:pt>
                <c:pt idx="19">
                  <c:v>10.356550745098309</c:v>
                </c:pt>
                <c:pt idx="20">
                  <c:v>8.1317001680315197</c:v>
                </c:pt>
                <c:pt idx="21">
                  <c:v>8.7952233430090505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830D-45C7-AF05-9275D8021168}"/>
            </c:ext>
          </c:extLst>
        </c:ser>
        <c:ser>
          <c:idx val="1"/>
          <c:order val="1"/>
          <c:tx>
            <c:strRef>
              <c:f>HypersildGold_ref!$J$42</c:f>
              <c:strCache>
                <c:ptCount val="1"/>
                <c:pt idx="0">
                  <c:v>Cl05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HypersildGold_ref!$J$43:$J$71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46.423258530185358</c:v>
                </c:pt>
                <c:pt idx="3">
                  <c:v>275.11413167462598</c:v>
                </c:pt>
                <c:pt idx="4">
                  <c:v>259.61391438640726</c:v>
                </c:pt>
                <c:pt idx="5">
                  <c:v>75.294420946536832</c:v>
                </c:pt>
                <c:pt idx="6">
                  <c:v>827.4124201045322</c:v>
                </c:pt>
                <c:pt idx="7">
                  <c:v>722.96534049124148</c:v>
                </c:pt>
                <c:pt idx="8">
                  <c:v>602.8681946629838</c:v>
                </c:pt>
                <c:pt idx="9">
                  <c:v>286.05435073891675</c:v>
                </c:pt>
                <c:pt idx="10">
                  <c:v>24.529928153566889</c:v>
                </c:pt>
                <c:pt idx="11">
                  <c:v>5.1599263711010366</c:v>
                </c:pt>
                <c:pt idx="12">
                  <c:v>47.298510286526131</c:v>
                </c:pt>
                <c:pt idx="13">
                  <c:v>133.94445117862071</c:v>
                </c:pt>
                <c:pt idx="14">
                  <c:v>174.36854097674004</c:v>
                </c:pt>
                <c:pt idx="15">
                  <c:v>154.57548284197424</c:v>
                </c:pt>
                <c:pt idx="16">
                  <c:v>115.9102817785368</c:v>
                </c:pt>
                <c:pt idx="17">
                  <c:v>71.716567785255521</c:v>
                </c:pt>
                <c:pt idx="18">
                  <c:v>47.178717544155617</c:v>
                </c:pt>
                <c:pt idx="19">
                  <c:v>31.453180182763852</c:v>
                </c:pt>
                <c:pt idx="20">
                  <c:v>24.869298973554347</c:v>
                </c:pt>
                <c:pt idx="21">
                  <c:v>23.217936891854695</c:v>
                </c:pt>
                <c:pt idx="22">
                  <c:v>21.943677864861346</c:v>
                </c:pt>
                <c:pt idx="23">
                  <c:v>20.153436208053932</c:v>
                </c:pt>
                <c:pt idx="24">
                  <c:v>17.924791810837569</c:v>
                </c:pt>
                <c:pt idx="25">
                  <c:v>12.61754930848058</c:v>
                </c:pt>
                <c:pt idx="26">
                  <c:v>6.7513802269391592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1-830D-45C7-AF05-9275D8021168}"/>
            </c:ext>
          </c:extLst>
        </c:ser>
        <c:ser>
          <c:idx val="2"/>
          <c:order val="2"/>
          <c:tx>
            <c:strRef>
              <c:f>HypersildGold_ref!$K$42</c:f>
              <c:strCache>
                <c:ptCount val="1"/>
                <c:pt idx="0">
                  <c:v>Cl06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HypersildGold_ref!$K$43:$K$71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281.31643277937013</c:v>
                </c:pt>
                <c:pt idx="3">
                  <c:v>1809.2815966418243</c:v>
                </c:pt>
                <c:pt idx="4">
                  <c:v>2208.8943869232539</c:v>
                </c:pt>
                <c:pt idx="5">
                  <c:v>382.48494899284776</c:v>
                </c:pt>
                <c:pt idx="6">
                  <c:v>1247.3605681768131</c:v>
                </c:pt>
                <c:pt idx="7">
                  <c:v>1256.940131808791</c:v>
                </c:pt>
                <c:pt idx="8">
                  <c:v>1184.7065654067867</c:v>
                </c:pt>
                <c:pt idx="9">
                  <c:v>663.20184625739637</c:v>
                </c:pt>
                <c:pt idx="10">
                  <c:v>74.784514310519825</c:v>
                </c:pt>
                <c:pt idx="11">
                  <c:v>4.2725645002902839</c:v>
                </c:pt>
                <c:pt idx="12">
                  <c:v>51.274607896133539</c:v>
                </c:pt>
                <c:pt idx="13">
                  <c:v>206.98018607623354</c:v>
                </c:pt>
                <c:pt idx="14">
                  <c:v>341.97915470004159</c:v>
                </c:pt>
                <c:pt idx="15">
                  <c:v>363.04008615067073</c:v>
                </c:pt>
                <c:pt idx="16">
                  <c:v>331.65488630550152</c:v>
                </c:pt>
                <c:pt idx="17">
                  <c:v>268.75973509271705</c:v>
                </c:pt>
                <c:pt idx="18">
                  <c:v>189.56995002850175</c:v>
                </c:pt>
                <c:pt idx="19">
                  <c:v>120.64291461541272</c:v>
                </c:pt>
                <c:pt idx="20">
                  <c:v>77.962278355779972</c:v>
                </c:pt>
                <c:pt idx="21">
                  <c:v>57.504433203141758</c:v>
                </c:pt>
                <c:pt idx="22">
                  <c:v>42.266570614824531</c:v>
                </c:pt>
                <c:pt idx="23">
                  <c:v>37.869995944365343</c:v>
                </c:pt>
                <c:pt idx="24">
                  <c:v>29.309054848965829</c:v>
                </c:pt>
                <c:pt idx="25">
                  <c:v>23.309383964555991</c:v>
                </c:pt>
                <c:pt idx="26">
                  <c:v>15.492717006717712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2-830D-45C7-AF05-9275D8021168}"/>
            </c:ext>
          </c:extLst>
        </c:ser>
        <c:ser>
          <c:idx val="3"/>
          <c:order val="3"/>
          <c:tx>
            <c:strRef>
              <c:f>HypersildGold_ref!$L$42</c:f>
              <c:strCache>
                <c:ptCount val="1"/>
                <c:pt idx="0">
                  <c:v>Cl07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HypersildGold_ref!$L$43:$L$71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235.56821119768216</c:v>
                </c:pt>
                <c:pt idx="3">
                  <c:v>1985.5419651161747</c:v>
                </c:pt>
                <c:pt idx="4">
                  <c:v>3755.8969245744775</c:v>
                </c:pt>
                <c:pt idx="5">
                  <c:v>876.63577535241836</c:v>
                </c:pt>
                <c:pt idx="6">
                  <c:v>754.6062214840091</c:v>
                </c:pt>
                <c:pt idx="7">
                  <c:v>903.95066568063271</c:v>
                </c:pt>
                <c:pt idx="8">
                  <c:v>1029.0479694352205</c:v>
                </c:pt>
                <c:pt idx="9">
                  <c:v>702.39052259689549</c:v>
                </c:pt>
                <c:pt idx="10">
                  <c:v>97.602312134110832</c:v>
                </c:pt>
                <c:pt idx="11">
                  <c:v>0</c:v>
                </c:pt>
                <c:pt idx="12">
                  <c:v>33.166440522551547</c:v>
                </c:pt>
                <c:pt idx="13">
                  <c:v>170.75543645905836</c:v>
                </c:pt>
                <c:pt idx="14">
                  <c:v>390.64936876593305</c:v>
                </c:pt>
                <c:pt idx="15">
                  <c:v>538.33784551610654</c:v>
                </c:pt>
                <c:pt idx="16">
                  <c:v>546.55700000766899</c:v>
                </c:pt>
                <c:pt idx="17">
                  <c:v>499.46325258379056</c:v>
                </c:pt>
                <c:pt idx="18">
                  <c:v>410.05912051050478</c:v>
                </c:pt>
                <c:pt idx="19">
                  <c:v>294.76492358201529</c:v>
                </c:pt>
                <c:pt idx="20">
                  <c:v>179.0940419019461</c:v>
                </c:pt>
                <c:pt idx="21">
                  <c:v>117.34160656773393</c:v>
                </c:pt>
                <c:pt idx="22">
                  <c:v>78.184578688744196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16.125244940957138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3-830D-45C7-AF05-9275D8021168}"/>
            </c:ext>
          </c:extLst>
        </c:ser>
        <c:ser>
          <c:idx val="4"/>
          <c:order val="4"/>
          <c:tx>
            <c:strRef>
              <c:f>HypersildGold_ref!$M$42</c:f>
              <c:strCache>
                <c:ptCount val="1"/>
                <c:pt idx="0">
                  <c:v>Cl08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HypersildGold_ref!$M$43:$M$71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273.21311173892866</c:v>
                </c:pt>
                <c:pt idx="3">
                  <c:v>849.33824580876683</c:v>
                </c:pt>
                <c:pt idx="4">
                  <c:v>2223.8885684081411</c:v>
                </c:pt>
                <c:pt idx="5">
                  <c:v>796.17299649026336</c:v>
                </c:pt>
                <c:pt idx="6">
                  <c:v>371.04838802928225</c:v>
                </c:pt>
                <c:pt idx="7">
                  <c:v>414.37851703005362</c:v>
                </c:pt>
                <c:pt idx="8">
                  <c:v>557.95802963133247</c:v>
                </c:pt>
                <c:pt idx="9">
                  <c:v>471.05107424199792</c:v>
                </c:pt>
                <c:pt idx="10">
                  <c:v>82.082459274542344</c:v>
                </c:pt>
                <c:pt idx="11">
                  <c:v>0</c:v>
                </c:pt>
                <c:pt idx="12">
                  <c:v>12.932113315838592</c:v>
                </c:pt>
                <c:pt idx="13">
                  <c:v>80.762602615316467</c:v>
                </c:pt>
                <c:pt idx="14">
                  <c:v>218.46571970604296</c:v>
                </c:pt>
                <c:pt idx="15">
                  <c:v>368.36768841537753</c:v>
                </c:pt>
                <c:pt idx="16">
                  <c:v>448.16138201475627</c:v>
                </c:pt>
                <c:pt idx="17">
                  <c:v>442.60950532314013</c:v>
                </c:pt>
                <c:pt idx="18">
                  <c:v>401.58692240128585</c:v>
                </c:pt>
                <c:pt idx="19">
                  <c:v>331.18423077122384</c:v>
                </c:pt>
                <c:pt idx="20">
                  <c:v>239.80599419417842</c:v>
                </c:pt>
                <c:pt idx="21">
                  <c:v>165.07059530768964</c:v>
                </c:pt>
                <c:pt idx="22">
                  <c:v>101.82287215551953</c:v>
                </c:pt>
                <c:pt idx="23">
                  <c:v>69.087370264368772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4-830D-45C7-AF05-9275D8021168}"/>
            </c:ext>
          </c:extLst>
        </c:ser>
        <c:ser>
          <c:idx val="5"/>
          <c:order val="5"/>
          <c:tx>
            <c:strRef>
              <c:f>HypersildGold_ref!$N$42</c:f>
              <c:strCache>
                <c:ptCount val="1"/>
                <c:pt idx="0">
                  <c:v>Cl09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HypersildGold_ref!$N$43:$N$71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562.44784505388077</c:v>
                </c:pt>
                <c:pt idx="3">
                  <c:v>945.77101726127466</c:v>
                </c:pt>
                <c:pt idx="4">
                  <c:v>872.02088455693354</c:v>
                </c:pt>
                <c:pt idx="5">
                  <c:v>366.51922281558643</c:v>
                </c:pt>
                <c:pt idx="6">
                  <c:v>167.87280189747338</c:v>
                </c:pt>
                <c:pt idx="7">
                  <c:v>192.32800395041076</c:v>
                </c:pt>
                <c:pt idx="8">
                  <c:v>287.54005136597038</c:v>
                </c:pt>
                <c:pt idx="9">
                  <c:v>254.58266258921282</c:v>
                </c:pt>
                <c:pt idx="10">
                  <c:v>43.780137708389546</c:v>
                </c:pt>
                <c:pt idx="11">
                  <c:v>0</c:v>
                </c:pt>
                <c:pt idx="12">
                  <c:v>0</c:v>
                </c:pt>
                <c:pt idx="13">
                  <c:v>19.410541760238456</c:v>
                </c:pt>
                <c:pt idx="14">
                  <c:v>65.071712144357889</c:v>
                </c:pt>
                <c:pt idx="15">
                  <c:v>131.44037641323186</c:v>
                </c:pt>
                <c:pt idx="16">
                  <c:v>195.27191221513979</c:v>
                </c:pt>
                <c:pt idx="17">
                  <c:v>227.62254466979562</c:v>
                </c:pt>
                <c:pt idx="18">
                  <c:v>234.16714914883912</c:v>
                </c:pt>
                <c:pt idx="19">
                  <c:v>214.48393735534964</c:v>
                </c:pt>
                <c:pt idx="20">
                  <c:v>185.10210620182852</c:v>
                </c:pt>
                <c:pt idx="21">
                  <c:v>144.87412357383687</c:v>
                </c:pt>
                <c:pt idx="22">
                  <c:v>100.42200581230561</c:v>
                </c:pt>
                <c:pt idx="23">
                  <c:v>69.545954768121248</c:v>
                </c:pt>
                <c:pt idx="24">
                  <c:v>42.387743554760767</c:v>
                </c:pt>
                <c:pt idx="25">
                  <c:v>28.65283105864982</c:v>
                </c:pt>
                <c:pt idx="26">
                  <c:v>18.346834134098692</c:v>
                </c:pt>
                <c:pt idx="27">
                  <c:v>12.697887175752328</c:v>
                </c:pt>
                <c:pt idx="28">
                  <c:v>9.261969108767202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5-830D-45C7-AF05-9275D8021168}"/>
            </c:ext>
          </c:extLst>
        </c:ser>
        <c:ser>
          <c:idx val="6"/>
          <c:order val="6"/>
          <c:tx>
            <c:strRef>
              <c:f>HypersildGold_ref!$O$42</c:f>
              <c:strCache>
                <c:ptCount val="1"/>
                <c:pt idx="0">
                  <c:v>Cl10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HypersildGold_ref!$O$43:$O$71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414.61681412513911</c:v>
                </c:pt>
                <c:pt idx="3">
                  <c:v>1439.6208523928785</c:v>
                </c:pt>
                <c:pt idx="4">
                  <c:v>1376.7720438819342</c:v>
                </c:pt>
                <c:pt idx="5">
                  <c:v>568.51491815234544</c:v>
                </c:pt>
                <c:pt idx="6">
                  <c:v>124.74607971357109</c:v>
                </c:pt>
                <c:pt idx="7">
                  <c:v>77.80792279668465</c:v>
                </c:pt>
                <c:pt idx="8">
                  <c:v>143.61133032725732</c:v>
                </c:pt>
                <c:pt idx="9">
                  <c:v>131.46863609246469</c:v>
                </c:pt>
                <c:pt idx="10">
                  <c:v>20.323230848465244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11.212527195953717</c:v>
                </c:pt>
                <c:pt idx="15">
                  <c:v>26.680026881658545</c:v>
                </c:pt>
                <c:pt idx="16">
                  <c:v>50.369791474117399</c:v>
                </c:pt>
                <c:pt idx="17">
                  <c:v>71.294482825456384</c:v>
                </c:pt>
                <c:pt idx="18">
                  <c:v>88.160555090964266</c:v>
                </c:pt>
                <c:pt idx="19">
                  <c:v>89.117056035733</c:v>
                </c:pt>
                <c:pt idx="20">
                  <c:v>87.513737606212047</c:v>
                </c:pt>
                <c:pt idx="21">
                  <c:v>83.988739396924572</c:v>
                </c:pt>
                <c:pt idx="22">
                  <c:v>59.703039494781343</c:v>
                </c:pt>
                <c:pt idx="23">
                  <c:v>47.748368134432738</c:v>
                </c:pt>
                <c:pt idx="24">
                  <c:v>30.008506257572364</c:v>
                </c:pt>
                <c:pt idx="25">
                  <c:v>18.740564245766027</c:v>
                </c:pt>
                <c:pt idx="26">
                  <c:v>9.4276860286702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6-830D-45C7-AF05-9275D8021168}"/>
            </c:ext>
          </c:extLst>
        </c:ser>
        <c:ser>
          <c:idx val="7"/>
          <c:order val="7"/>
          <c:tx>
            <c:strRef>
              <c:f>HypersildGold_ref!$P$42</c:f>
              <c:strCache>
                <c:ptCount val="1"/>
                <c:pt idx="0">
                  <c:v>Cl11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HypersildGold_ref!$P$43:$P$71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103.53060108008086</c:v>
                </c:pt>
                <c:pt idx="3">
                  <c:v>916.25506557201561</c:v>
                </c:pt>
                <c:pt idx="4">
                  <c:v>2008.856609662033</c:v>
                </c:pt>
                <c:pt idx="5">
                  <c:v>1758.4669641648211</c:v>
                </c:pt>
                <c:pt idx="6">
                  <c:v>597.47197544297342</c:v>
                </c:pt>
                <c:pt idx="7">
                  <c:v>0</c:v>
                </c:pt>
                <c:pt idx="8">
                  <c:v>43.555578229712452</c:v>
                </c:pt>
                <c:pt idx="9">
                  <c:v>50.570873391079317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6.6582250956982705</c:v>
                </c:pt>
                <c:pt idx="17">
                  <c:v>12.496566630943104</c:v>
                </c:pt>
                <c:pt idx="18">
                  <c:v>19.176105585985177</c:v>
                </c:pt>
                <c:pt idx="19">
                  <c:v>22.469205467865958</c:v>
                </c:pt>
                <c:pt idx="20">
                  <c:v>24.968727802471726</c:v>
                </c:pt>
                <c:pt idx="21">
                  <c:v>27.546505972730507</c:v>
                </c:pt>
                <c:pt idx="22">
                  <c:v>24.590805005517542</c:v>
                </c:pt>
                <c:pt idx="23">
                  <c:v>20.131966536831172</c:v>
                </c:pt>
                <c:pt idx="24">
                  <c:v>12.999087185815146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7-830D-45C7-AF05-9275D8021168}"/>
            </c:ext>
          </c:extLst>
        </c:ser>
        <c:ser>
          <c:idx val="8"/>
          <c:order val="8"/>
          <c:tx>
            <c:strRef>
              <c:f>HypersildGold_ref!$Q$42</c:f>
              <c:strCache>
                <c:ptCount val="1"/>
                <c:pt idx="0">
                  <c:v>Cl12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HypersildGold_ref!$Q$43:$Q$71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241.13092609588637</c:v>
                </c:pt>
                <c:pt idx="4">
                  <c:v>1272.7874246805188</c:v>
                </c:pt>
                <c:pt idx="5">
                  <c:v>2347.5844900830757</c:v>
                </c:pt>
                <c:pt idx="6">
                  <c:v>1570.1832760423404</c:v>
                </c:pt>
                <c:pt idx="7">
                  <c:v>30.583808462999077</c:v>
                </c:pt>
                <c:pt idx="8">
                  <c:v>0</c:v>
                </c:pt>
                <c:pt idx="9">
                  <c:v>9.3411607654683877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8-830D-45C7-AF05-9275D8021168}"/>
            </c:ext>
          </c:extLst>
        </c:ser>
        <c:ser>
          <c:idx val="9"/>
          <c:order val="9"/>
          <c:tx>
            <c:strRef>
              <c:f>HypersildGold_ref!$R$42</c:f>
              <c:strCache>
                <c:ptCount val="1"/>
                <c:pt idx="0">
                  <c:v>Cl13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HypersildGold_ref!$R$43:$R$71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17.648175154419022</c:v>
                </c:pt>
                <c:pt idx="4">
                  <c:v>321.21012360470309</c:v>
                </c:pt>
                <c:pt idx="5">
                  <c:v>1250.9115516593454</c:v>
                </c:pt>
                <c:pt idx="6">
                  <c:v>1581.227716922886</c:v>
                </c:pt>
                <c:pt idx="7">
                  <c:v>63.689568578239104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9-830D-45C7-AF05-9275D8021168}"/>
            </c:ext>
          </c:extLst>
        </c:ser>
        <c:ser>
          <c:idx val="10"/>
          <c:order val="10"/>
          <c:tx>
            <c:strRef>
              <c:f>HypersildGold_ref!$S$42</c:f>
              <c:strCache>
                <c:ptCount val="1"/>
                <c:pt idx="0">
                  <c:v>Cl14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HypersildGold_ref!$S$43:$S$71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22.903908282750638</c:v>
                </c:pt>
                <c:pt idx="5">
                  <c:v>248.61002386090408</c:v>
                </c:pt>
                <c:pt idx="6">
                  <c:v>657.27725674647365</c:v>
                </c:pt>
                <c:pt idx="7">
                  <c:v>59.115880298881613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A-830D-45C7-AF05-9275D8021168}"/>
            </c:ext>
          </c:extLst>
        </c:ser>
        <c:ser>
          <c:idx val="11"/>
          <c:order val="11"/>
          <c:tx>
            <c:strRef>
              <c:f>HypersildGold_ref!$T$42</c:f>
              <c:strCache>
                <c:ptCount val="1"/>
                <c:pt idx="0">
                  <c:v>Cl15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HypersildGold_ref!$T$43:$T$71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15.151027814704499</c:v>
                </c:pt>
                <c:pt idx="6">
                  <c:v>111.66884903673821</c:v>
                </c:pt>
                <c:pt idx="7">
                  <c:v>23.204603266668663</c:v>
                </c:pt>
                <c:pt idx="8">
                  <c:v>0</c:v>
                </c:pt>
                <c:pt idx="9">
                  <c:v>0</c:v>
                </c:pt>
                <c:pt idx="10">
                  <c:v>18.181857355203146</c:v>
                </c:pt>
                <c:pt idx="11">
                  <c:v>40.621076694840028</c:v>
                </c:pt>
                <c:pt idx="12">
                  <c:v>21.008066024903396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B-830D-45C7-AF05-9275D8021168}"/>
            </c:ext>
          </c:extLst>
        </c:ser>
        <c:ser>
          <c:idx val="12"/>
          <c:order val="12"/>
          <c:tx>
            <c:strRef>
              <c:f>HypersildGold_ref!$U$42</c:f>
              <c:strCache>
                <c:ptCount val="1"/>
                <c:pt idx="0">
                  <c:v>Cl16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HypersildGold_ref!$U$43:$U$71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27.430010652344667</c:v>
                </c:pt>
                <c:pt idx="11">
                  <c:v>96.817835845464515</c:v>
                </c:pt>
                <c:pt idx="12">
                  <c:v>94.352470767404085</c:v>
                </c:pt>
                <c:pt idx="13">
                  <c:v>42.550076466802942</c:v>
                </c:pt>
                <c:pt idx="14">
                  <c:v>15.767552913918994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C-830D-45C7-AF05-9275D8021168}"/>
            </c:ext>
          </c:extLst>
        </c:ser>
        <c:ser>
          <c:idx val="13"/>
          <c:order val="13"/>
          <c:tx>
            <c:strRef>
              <c:f>HypersildGold_ref!$V$42</c:f>
              <c:strCache>
                <c:ptCount val="1"/>
                <c:pt idx="0">
                  <c:v>Cl17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HypersildGold_ref!$V$43:$V$71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108.81804032135665</c:v>
                </c:pt>
                <c:pt idx="12">
                  <c:v>183.60259884996029</c:v>
                </c:pt>
                <c:pt idx="13">
                  <c:v>141.23844069959418</c:v>
                </c:pt>
                <c:pt idx="14">
                  <c:v>99.884320370761117</c:v>
                </c:pt>
                <c:pt idx="15">
                  <c:v>41.164783035026325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D-830D-45C7-AF05-9275D8021168}"/>
            </c:ext>
          </c:extLst>
        </c:ser>
        <c:ser>
          <c:idx val="14"/>
          <c:order val="14"/>
          <c:tx>
            <c:strRef>
              <c:f>HypersildGold_ref!$W$42</c:f>
              <c:strCache>
                <c:ptCount val="1"/>
                <c:pt idx="0">
                  <c:v>Cl18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HypersildGold_ref!$W$43:$W$71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58.048773568928574</c:v>
                </c:pt>
                <c:pt idx="12">
                  <c:v>172.9158113405098</c:v>
                </c:pt>
                <c:pt idx="13">
                  <c:v>226.71291292427227</c:v>
                </c:pt>
                <c:pt idx="14">
                  <c:v>268.47811753848862</c:v>
                </c:pt>
                <c:pt idx="15">
                  <c:v>186.709129186621</c:v>
                </c:pt>
                <c:pt idx="16">
                  <c:v>74.849275894059147</c:v>
                </c:pt>
                <c:pt idx="17">
                  <c:v>10.215392388148803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E-830D-45C7-AF05-9275D8021168}"/>
            </c:ext>
          </c:extLst>
        </c:ser>
        <c:ser>
          <c:idx val="15"/>
          <c:order val="15"/>
          <c:tx>
            <c:strRef>
              <c:f>HypersildGold_ref!$X$42</c:f>
              <c:strCache>
                <c:ptCount val="1"/>
                <c:pt idx="0">
                  <c:v>Cl19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HypersildGold_ref!$X$43:$X$71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9.2835087169600232</c:v>
                </c:pt>
                <c:pt idx="12">
                  <c:v>83.618208245616771</c:v>
                </c:pt>
                <c:pt idx="13">
                  <c:v>182.43883217727011</c:v>
                </c:pt>
                <c:pt idx="14">
                  <c:v>361.68572386180296</c:v>
                </c:pt>
                <c:pt idx="15">
                  <c:v>407.80078727044292</c:v>
                </c:pt>
                <c:pt idx="16">
                  <c:v>272.63461486661396</c:v>
                </c:pt>
                <c:pt idx="17">
                  <c:v>97.545509399991232</c:v>
                </c:pt>
                <c:pt idx="18">
                  <c:v>29.687817203942227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F-830D-45C7-AF05-9275D8021168}"/>
            </c:ext>
          </c:extLst>
        </c:ser>
        <c:ser>
          <c:idx val="16"/>
          <c:order val="16"/>
          <c:tx>
            <c:strRef>
              <c:f>HypersildGold_ref!$Y$42</c:f>
              <c:strCache>
                <c:ptCount val="1"/>
                <c:pt idx="0">
                  <c:v>Cl20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HypersildGold_ref!$Y$43:$Y$71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14.311129758237284</c:v>
                </c:pt>
                <c:pt idx="13">
                  <c:v>81.62848124106182</c:v>
                </c:pt>
                <c:pt idx="14">
                  <c:v>276.6010346276114</c:v>
                </c:pt>
                <c:pt idx="15">
                  <c:v>496.92670385477413</c:v>
                </c:pt>
                <c:pt idx="16">
                  <c:v>527.74792094817258</c:v>
                </c:pt>
                <c:pt idx="17">
                  <c:v>298.9665842151602</c:v>
                </c:pt>
                <c:pt idx="18">
                  <c:v>167.9749280585323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0-830D-45C7-AF05-9275D8021168}"/>
            </c:ext>
          </c:extLst>
        </c:ser>
        <c:ser>
          <c:idx val="17"/>
          <c:order val="17"/>
          <c:tx>
            <c:strRef>
              <c:f>HypersildGold_ref!$Z$42</c:f>
              <c:strCache>
                <c:ptCount val="1"/>
                <c:pt idx="0">
                  <c:v>Cl21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HypersildGold_ref!$Z$43:$Z$71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13.950965280529264</c:v>
                </c:pt>
                <c:pt idx="14">
                  <c:v>113.84812884535356</c:v>
                </c:pt>
                <c:pt idx="15">
                  <c:v>344.05574634906924</c:v>
                </c:pt>
                <c:pt idx="16">
                  <c:v>569.62690752669562</c:v>
                </c:pt>
                <c:pt idx="17">
                  <c:v>493.25603448684313</c:v>
                </c:pt>
                <c:pt idx="18">
                  <c:v>450.80738019985301</c:v>
                </c:pt>
                <c:pt idx="19">
                  <c:v>111.12335561296874</c:v>
                </c:pt>
                <c:pt idx="20">
                  <c:v>35.231114020741288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1-830D-45C7-AF05-9275D8021168}"/>
            </c:ext>
          </c:extLst>
        </c:ser>
        <c:ser>
          <c:idx val="18"/>
          <c:order val="18"/>
          <c:tx>
            <c:strRef>
              <c:f>HypersildGold_ref!$AA$42</c:f>
              <c:strCache>
                <c:ptCount val="1"/>
                <c:pt idx="0">
                  <c:v>Cl22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HypersildGold_ref!$AA$43:$AA$71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20.898682142047598</c:v>
                </c:pt>
                <c:pt idx="15">
                  <c:v>137.97280918211868</c:v>
                </c:pt>
                <c:pt idx="16">
                  <c:v>356.21793276216505</c:v>
                </c:pt>
                <c:pt idx="17">
                  <c:v>497.9647739397181</c:v>
                </c:pt>
                <c:pt idx="18">
                  <c:v>699.49971549454551</c:v>
                </c:pt>
                <c:pt idx="19">
                  <c:v>253.38963521202609</c:v>
                </c:pt>
                <c:pt idx="20">
                  <c:v>148.89169252023194</c:v>
                </c:pt>
                <c:pt idx="21">
                  <c:v>23.446171583880506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2-830D-45C7-AF05-9275D8021168}"/>
            </c:ext>
          </c:extLst>
        </c:ser>
        <c:ser>
          <c:idx val="19"/>
          <c:order val="19"/>
          <c:tx>
            <c:strRef>
              <c:f>HypersildGold_ref!$AB$42</c:f>
              <c:strCache>
                <c:ptCount val="1"/>
                <c:pt idx="0">
                  <c:v>Cl23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HypersildGold_ref!$AB$43:$AB$71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27.18264041119102</c:v>
                </c:pt>
                <c:pt idx="16">
                  <c:v>135.23210546114689</c:v>
                </c:pt>
                <c:pt idx="17">
                  <c:v>298.16783102924461</c:v>
                </c:pt>
                <c:pt idx="18">
                  <c:v>667.94754308077904</c:v>
                </c:pt>
                <c:pt idx="19">
                  <c:v>354.58466413412435</c:v>
                </c:pt>
                <c:pt idx="20">
                  <c:v>326.16984184688482</c:v>
                </c:pt>
                <c:pt idx="21">
                  <c:v>91.694026626750471</c:v>
                </c:pt>
                <c:pt idx="22">
                  <c:v>22.752325804549777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3-830D-45C7-AF05-9275D8021168}"/>
            </c:ext>
          </c:extLst>
        </c:ser>
        <c:ser>
          <c:idx val="20"/>
          <c:order val="20"/>
          <c:tx>
            <c:strRef>
              <c:f>HypersildGold_ref!$AC$42</c:f>
              <c:strCache>
                <c:ptCount val="1"/>
                <c:pt idx="0">
                  <c:v>Cl24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HypersildGold_ref!$AC$43:$AC$71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29.287976477729078</c:v>
                </c:pt>
                <c:pt idx="17">
                  <c:v>113.47321193883903</c:v>
                </c:pt>
                <c:pt idx="18">
                  <c:v>397.52361311195756</c:v>
                </c:pt>
                <c:pt idx="19">
                  <c:v>314.74766387431879</c:v>
                </c:pt>
                <c:pt idx="20">
                  <c:v>429.03134426466141</c:v>
                </c:pt>
                <c:pt idx="21">
                  <c:v>180.32886374695354</c:v>
                </c:pt>
                <c:pt idx="22">
                  <c:v>87.739427439820275</c:v>
                </c:pt>
                <c:pt idx="23">
                  <c:v>17.331131051946151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4-830D-45C7-AF05-9275D8021168}"/>
            </c:ext>
          </c:extLst>
        </c:ser>
        <c:ser>
          <c:idx val="21"/>
          <c:order val="21"/>
          <c:tx>
            <c:strRef>
              <c:f>HypersildGold_ref!$AD$42</c:f>
              <c:strCache>
                <c:ptCount val="1"/>
                <c:pt idx="0">
                  <c:v>Cl25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HypersildGold_ref!$AD$43:$AD$71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22.98512201957157</c:v>
                </c:pt>
                <c:pt idx="18">
                  <c:v>151.30158314211712</c:v>
                </c:pt>
                <c:pt idx="19">
                  <c:v>178.43562011180512</c:v>
                </c:pt>
                <c:pt idx="20">
                  <c:v>366.9488077693116</c:v>
                </c:pt>
                <c:pt idx="21">
                  <c:v>213.08325263315169</c:v>
                </c:pt>
                <c:pt idx="22">
                  <c:v>161.34633763900513</c:v>
                </c:pt>
                <c:pt idx="23">
                  <c:v>58.884111845334743</c:v>
                </c:pt>
                <c:pt idx="24">
                  <c:v>13.929502100483347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5-830D-45C7-AF05-9275D8021168}"/>
            </c:ext>
          </c:extLst>
        </c:ser>
        <c:ser>
          <c:idx val="22"/>
          <c:order val="22"/>
          <c:tx>
            <c:strRef>
              <c:f>HypersildGold_ref!$AE$42</c:f>
              <c:strCache>
                <c:ptCount val="1"/>
                <c:pt idx="0">
                  <c:v>Cl26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HypersildGold_ref!$AE$43:$AE$71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31.148223785312869</c:v>
                </c:pt>
                <c:pt idx="19">
                  <c:v>61.908281144116934</c:v>
                </c:pt>
                <c:pt idx="20">
                  <c:v>202.97346278742251</c:v>
                </c:pt>
                <c:pt idx="21">
                  <c:v>169.77038169831633</c:v>
                </c:pt>
                <c:pt idx="22">
                  <c:v>182.77450690452849</c:v>
                </c:pt>
                <c:pt idx="23">
                  <c:v>104.14500648472466</c:v>
                </c:pt>
                <c:pt idx="24">
                  <c:v>27.906037136925303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6-830D-45C7-AF05-9275D8021168}"/>
            </c:ext>
          </c:extLst>
        </c:ser>
        <c:ser>
          <c:idx val="23"/>
          <c:order val="23"/>
          <c:tx>
            <c:strRef>
              <c:f>HypersildGold_ref!$AF$42</c:f>
              <c:strCache>
                <c:ptCount val="1"/>
                <c:pt idx="0">
                  <c:v>Cl27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HypersildGold_ref!$AF$43:$AF$71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75.331278301383094</c:v>
                </c:pt>
                <c:pt idx="21">
                  <c:v>91.229284287841935</c:v>
                </c:pt>
                <c:pt idx="22">
                  <c:v>132.1368277422867</c:v>
                </c:pt>
                <c:pt idx="23">
                  <c:v>106.97398337441882</c:v>
                </c:pt>
                <c:pt idx="24">
                  <c:v>65.204439473697064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7-830D-45C7-AF05-9275D8021168}"/>
            </c:ext>
          </c:extLst>
        </c:ser>
        <c:ser>
          <c:idx val="24"/>
          <c:order val="24"/>
          <c:tx>
            <c:strRef>
              <c:f>HypersildGold_ref!$AG$42</c:f>
              <c:strCache>
                <c:ptCount val="1"/>
                <c:pt idx="0">
                  <c:v>Cl28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HypersildGold_ref!$AG$43:$AG$71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15.400121098459383</c:v>
                </c:pt>
                <c:pt idx="21">
                  <c:v>30.006391736341101</c:v>
                </c:pt>
                <c:pt idx="22">
                  <c:v>63.233711415721139</c:v>
                </c:pt>
                <c:pt idx="23">
                  <c:v>74.776776934945843</c:v>
                </c:pt>
                <c:pt idx="24">
                  <c:v>68.471928035741712</c:v>
                </c:pt>
                <c:pt idx="25">
                  <c:v>37.638064590360301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8-830D-45C7-AF05-9275D8021168}"/>
            </c:ext>
          </c:extLst>
        </c:ser>
        <c:ser>
          <c:idx val="25"/>
          <c:order val="25"/>
          <c:tx>
            <c:strRef>
              <c:f>HypersildGold_ref!$AH$42</c:f>
              <c:strCache>
                <c:ptCount val="1"/>
                <c:pt idx="0">
                  <c:v>Cl29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HypersildGold_ref!$AH$43:$AH$71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19.800914068486783</c:v>
                </c:pt>
                <c:pt idx="23">
                  <c:v>37.033314202011141</c:v>
                </c:pt>
                <c:pt idx="24">
                  <c:v>45.516262064406149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9-830D-45C7-AF05-9275D8021168}"/>
            </c:ext>
          </c:extLst>
        </c:ser>
        <c:ser>
          <c:idx val="26"/>
          <c:order val="26"/>
          <c:tx>
            <c:strRef>
              <c:f>HypersildGold_ref!$AI$42</c:f>
              <c:strCache>
                <c:ptCount val="1"/>
                <c:pt idx="0">
                  <c:v>Cl30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HypersildGold_ref!$AI$43:$AI$71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A-830D-45C7-AF05-9275D8021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shape val="box"/>
        <c:axId val="650780728"/>
        <c:axId val="650772200"/>
        <c:axId val="335469696"/>
      </c:bar3DChart>
      <c:catAx>
        <c:axId val="650780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50772200"/>
        <c:crosses val="autoZero"/>
        <c:auto val="1"/>
        <c:lblAlgn val="ctr"/>
        <c:lblOffset val="100"/>
        <c:noMultiLvlLbl val="0"/>
      </c:catAx>
      <c:valAx>
        <c:axId val="65077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Intensity (x10</a:t>
                </a:r>
                <a:r>
                  <a:rPr lang="en-GB" baseline="30000"/>
                  <a:t>6</a:t>
                </a:r>
                <a:r>
                  <a:rPr lang="en-GB"/>
                  <a:t>)</a:t>
                </a:r>
              </a:p>
            </c:rich>
          </c:tx>
          <c:layout>
            <c:manualLayout>
              <c:xMode val="edge"/>
              <c:yMode val="edge"/>
              <c:x val="0.12548890479599142"/>
              <c:y val="0.48060038413565653"/>
            </c:manualLayout>
          </c:layout>
          <c:overlay val="0"/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50780728"/>
        <c:crosses val="autoZero"/>
        <c:crossBetween val="between"/>
      </c:valAx>
      <c:serAx>
        <c:axId val="335469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50772200"/>
        <c:crosses val="autoZero"/>
      </c:serAx>
      <c:spPr>
        <a:noFill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fr-FR"/>
              <a:t>Sample name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9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9150151685584754E-2"/>
          <c:y val="7.5607538853561668E-2"/>
          <c:w val="0.91376752905886749"/>
          <c:h val="0.8169671648186833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HypersildGold_ref!$AL$42</c:f>
              <c:strCache>
                <c:ptCount val="1"/>
                <c:pt idx="0">
                  <c:v>Cl04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HypersildGold_ref!$AL$43:$AL$71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0.55449999302406172</c:v>
                </c:pt>
                <c:pt idx="7">
                  <c:v>0.65623626687350667</c:v>
                </c:pt>
                <c:pt idx="8">
                  <c:v>0.5988562483646539</c:v>
                </c:pt>
                <c:pt idx="9">
                  <c:v>0.24365001145032081</c:v>
                </c:pt>
                <c:pt idx="10">
                  <c:v>0</c:v>
                </c:pt>
                <c:pt idx="11">
                  <c:v>0</c:v>
                </c:pt>
                <c:pt idx="12">
                  <c:v>0.11631121576196517</c:v>
                </c:pt>
                <c:pt idx="13">
                  <c:v>0.32656543056128534</c:v>
                </c:pt>
                <c:pt idx="14">
                  <c:v>0.38892413777044949</c:v>
                </c:pt>
                <c:pt idx="15">
                  <c:v>0.31006589293484976</c:v>
                </c:pt>
                <c:pt idx="16">
                  <c:v>0.19719100056488981</c:v>
                </c:pt>
                <c:pt idx="17">
                  <c:v>0.13100346769107779</c:v>
                </c:pt>
                <c:pt idx="18">
                  <c:v>9.4982245972377477E-2</c:v>
                </c:pt>
                <c:pt idx="19">
                  <c:v>9.0899789472818307E-2</c:v>
                </c:pt>
                <c:pt idx="20">
                  <c:v>7.1372202147514288E-2</c:v>
                </c:pt>
                <c:pt idx="21">
                  <c:v>7.7195967066962967E-2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9E06-445C-9050-90B15C1F6C5F}"/>
            </c:ext>
          </c:extLst>
        </c:ser>
        <c:ser>
          <c:idx val="1"/>
          <c:order val="1"/>
          <c:tx>
            <c:strRef>
              <c:f>HypersildGold_ref!$AM$42</c:f>
              <c:strCache>
                <c:ptCount val="1"/>
                <c:pt idx="0">
                  <c:v>Cl05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HypersildGold_ref!$AM$43:$AM$71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0.40745848023129716</c:v>
                </c:pt>
                <c:pt idx="3">
                  <c:v>2.4146858607395671</c:v>
                </c:pt>
                <c:pt idx="4">
                  <c:v>2.2786399393743988</c:v>
                </c:pt>
                <c:pt idx="5">
                  <c:v>0.66086163057302627</c:v>
                </c:pt>
                <c:pt idx="6">
                  <c:v>7.2622262610255888</c:v>
                </c:pt>
                <c:pt idx="7">
                  <c:v>6.34549077818229</c:v>
                </c:pt>
                <c:pt idx="8">
                  <c:v>5.2913941449724504</c:v>
                </c:pt>
                <c:pt idx="9">
                  <c:v>2.5107085264133886</c:v>
                </c:pt>
                <c:pt idx="10">
                  <c:v>0.21529999319492765</c:v>
                </c:pt>
                <c:pt idx="11">
                  <c:v>4.5288844941962891E-2</c:v>
                </c:pt>
                <c:pt idx="12">
                  <c:v>0.41514059393355907</c:v>
                </c:pt>
                <c:pt idx="13">
                  <c:v>1.1756348916603736</c:v>
                </c:pt>
                <c:pt idx="14">
                  <c:v>1.5304384689052866</c:v>
                </c:pt>
                <c:pt idx="15">
                  <c:v>1.3567141410131058</c:v>
                </c:pt>
                <c:pt idx="16">
                  <c:v>1.0173483885443972</c:v>
                </c:pt>
                <c:pt idx="17">
                  <c:v>0.62945869467962023</c:v>
                </c:pt>
                <c:pt idx="18">
                  <c:v>0.41408916905959664</c:v>
                </c:pt>
                <c:pt idx="19">
                  <c:v>0.27606560593709667</c:v>
                </c:pt>
                <c:pt idx="20">
                  <c:v>0.2182786621407326</c:v>
                </c:pt>
                <c:pt idx="21">
                  <c:v>0.20378460236499707</c:v>
                </c:pt>
                <c:pt idx="22">
                  <c:v>0.19260038861097717</c:v>
                </c:pt>
                <c:pt idx="23">
                  <c:v>0.17688737819713027</c:v>
                </c:pt>
                <c:pt idx="24">
                  <c:v>0.15732649238651181</c:v>
                </c:pt>
                <c:pt idx="25">
                  <c:v>0.1107446488732385</c:v>
                </c:pt>
                <c:pt idx="26">
                  <c:v>5.9257088231830249E-2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1-9E06-445C-9050-90B15C1F6C5F}"/>
            </c:ext>
          </c:extLst>
        </c:ser>
        <c:ser>
          <c:idx val="2"/>
          <c:order val="2"/>
          <c:tx>
            <c:strRef>
              <c:f>HypersildGold_ref!$AN$42</c:f>
              <c:strCache>
                <c:ptCount val="1"/>
                <c:pt idx="0">
                  <c:v>Cl06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HypersildGold_ref!$AN$43:$AN$71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2.469123663299952</c:v>
                </c:pt>
                <c:pt idx="3">
                  <c:v>15.880124597431807</c:v>
                </c:pt>
                <c:pt idx="4">
                  <c:v>19.387539315060621</c:v>
                </c:pt>
                <c:pt idx="5">
                  <c:v>3.3570830864153192</c:v>
                </c:pt>
                <c:pt idx="6">
                  <c:v>10.94812508861907</c:v>
                </c:pt>
                <c:pt idx="7">
                  <c:v>11.032205236423144</c:v>
                </c:pt>
                <c:pt idx="8">
                  <c:v>10.398208827732665</c:v>
                </c:pt>
                <c:pt idx="9">
                  <c:v>5.82094460661183</c:v>
                </c:pt>
                <c:pt idx="10">
                  <c:v>0.65638616311232989</c:v>
                </c:pt>
                <c:pt idx="11">
                  <c:v>3.7500440363239615E-2</c:v>
                </c:pt>
                <c:pt idx="12">
                  <c:v>0.45003893456185667</c:v>
                </c:pt>
                <c:pt idx="13">
                  <c:v>1.8166719598490984</c:v>
                </c:pt>
                <c:pt idx="14">
                  <c:v>3.0015623861099576</c:v>
                </c:pt>
                <c:pt idx="15">
                  <c:v>3.186414880157721</c:v>
                </c:pt>
                <c:pt idx="16">
                  <c:v>2.9109459398989701</c:v>
                </c:pt>
                <c:pt idx="17">
                  <c:v>2.3589131111302728</c:v>
                </c:pt>
                <c:pt idx="18">
                  <c:v>1.6638617404659781</c:v>
                </c:pt>
                <c:pt idx="19">
                  <c:v>1.0588868639608169</c:v>
                </c:pt>
                <c:pt idx="20">
                  <c:v>0.68427750356128703</c:v>
                </c:pt>
                <c:pt idx="21">
                  <c:v>0.50471831795864097</c:v>
                </c:pt>
                <c:pt idx="22">
                  <c:v>0.37097509249823968</c:v>
                </c:pt>
                <c:pt idx="23">
                  <c:v>0.3323862107573361</c:v>
                </c:pt>
                <c:pt idx="24">
                  <c:v>0.25724654675005781</c:v>
                </c:pt>
                <c:pt idx="25">
                  <c:v>0.20458723635589288</c:v>
                </c:pt>
                <c:pt idx="26">
                  <c:v>0.13598009114560888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2-9E06-445C-9050-90B15C1F6C5F}"/>
            </c:ext>
          </c:extLst>
        </c:ser>
        <c:ser>
          <c:idx val="3"/>
          <c:order val="3"/>
          <c:tx>
            <c:strRef>
              <c:f>HypersildGold_ref!$AO$42</c:f>
              <c:strCache>
                <c:ptCount val="1"/>
                <c:pt idx="0">
                  <c:v>Cl07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HypersildGold_ref!$AO$43:$AO$71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2.067590004760262</c:v>
                </c:pt>
                <c:pt idx="3">
                  <c:v>17.427167699045825</c:v>
                </c:pt>
                <c:pt idx="4">
                  <c:v>32.965631910509693</c:v>
                </c:pt>
                <c:pt idx="5">
                  <c:v>7.6942612830425769</c:v>
                </c:pt>
                <c:pt idx="6">
                  <c:v>6.6232038403558473</c:v>
                </c:pt>
                <c:pt idx="7">
                  <c:v>7.9340049816367202</c:v>
                </c:pt>
                <c:pt idx="8">
                  <c:v>9.0319881668483806</c:v>
                </c:pt>
                <c:pt idx="9">
                  <c:v>6.1649049189450533</c:v>
                </c:pt>
                <c:pt idx="10">
                  <c:v>0.8566587316003883</c:v>
                </c:pt>
                <c:pt idx="11">
                  <c:v>0</c:v>
                </c:pt>
                <c:pt idx="12">
                  <c:v>0.2911029487775727</c:v>
                </c:pt>
                <c:pt idx="13">
                  <c:v>1.4987261306872752</c:v>
                </c:pt>
                <c:pt idx="14">
                  <c:v>3.4287424696218776</c:v>
                </c:pt>
                <c:pt idx="15">
                  <c:v>4.7250091296878161</c:v>
                </c:pt>
                <c:pt idx="16">
                  <c:v>4.7971489213342968</c:v>
                </c:pt>
                <c:pt idx="17">
                  <c:v>4.3838055378392937</c:v>
                </c:pt>
                <c:pt idx="18">
                  <c:v>3.5991025046109684</c:v>
                </c:pt>
                <c:pt idx="19">
                  <c:v>2.5871615132343195</c:v>
                </c:pt>
                <c:pt idx="20">
                  <c:v>1.5719143472963755</c:v>
                </c:pt>
                <c:pt idx="21">
                  <c:v>1.029911173704005</c:v>
                </c:pt>
                <c:pt idx="22">
                  <c:v>0.68622864095862468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0.14153180980881858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3-9E06-445C-9050-90B15C1F6C5F}"/>
            </c:ext>
          </c:extLst>
        </c:ser>
        <c:ser>
          <c:idx val="4"/>
          <c:order val="4"/>
          <c:tx>
            <c:strRef>
              <c:f>HypersildGold_ref!$AP$42</c:f>
              <c:strCache>
                <c:ptCount val="1"/>
                <c:pt idx="0">
                  <c:v>Cl08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HypersildGold_ref!$AP$43:$AP$71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2.3980005456967857</c:v>
                </c:pt>
                <c:pt idx="3">
                  <c:v>7.4546699606304925</c:v>
                </c:pt>
                <c:pt idx="4">
                  <c:v>19.519143743391989</c:v>
                </c:pt>
                <c:pt idx="5">
                  <c:v>6.9880368035816405</c:v>
                </c:pt>
                <c:pt idx="6">
                  <c:v>3.2567040114252044</c:v>
                </c:pt>
                <c:pt idx="7">
                  <c:v>3.637013991160913</c:v>
                </c:pt>
                <c:pt idx="8">
                  <c:v>4.8972161365753246</c:v>
                </c:pt>
                <c:pt idx="9">
                  <c:v>4.1344309059469646</c:v>
                </c:pt>
                <c:pt idx="10">
                  <c:v>0.72044046817406437</c:v>
                </c:pt>
                <c:pt idx="11">
                  <c:v>0</c:v>
                </c:pt>
                <c:pt idx="12">
                  <c:v>0.113505587601618</c:v>
                </c:pt>
                <c:pt idx="13">
                  <c:v>0.70885604248921819</c:v>
                </c:pt>
                <c:pt idx="14">
                  <c:v>1.9174808695555261</c:v>
                </c:pt>
                <c:pt idx="15">
                  <c:v>3.2331754219805831</c:v>
                </c:pt>
                <c:pt idx="16">
                  <c:v>3.9335273178929362</c:v>
                </c:pt>
                <c:pt idx="17">
                  <c:v>3.8847983119846896</c:v>
                </c:pt>
                <c:pt idx="18">
                  <c:v>3.5247417407374839</c:v>
                </c:pt>
                <c:pt idx="19">
                  <c:v>2.9068149806604122</c:v>
                </c:pt>
                <c:pt idx="20">
                  <c:v>2.1047851667108097</c:v>
                </c:pt>
                <c:pt idx="21">
                  <c:v>1.4488300913046261</c:v>
                </c:pt>
                <c:pt idx="22">
                  <c:v>0.89370272692721298</c:v>
                </c:pt>
                <c:pt idx="23">
                  <c:v>0.60638214081402209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4-9E06-445C-9050-90B15C1F6C5F}"/>
            </c:ext>
          </c:extLst>
        </c:ser>
        <c:ser>
          <c:idx val="5"/>
          <c:order val="5"/>
          <c:tx>
            <c:strRef>
              <c:f>HypersildGold_ref!$AQ$42</c:f>
              <c:strCache>
                <c:ptCount val="1"/>
                <c:pt idx="0">
                  <c:v>Cl09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HypersildGold_ref!$AQ$43:$AQ$71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4.9366233954906171</c:v>
                </c:pt>
                <c:pt idx="3">
                  <c:v>8.3010635948684293</c:v>
                </c:pt>
                <c:pt idx="4">
                  <c:v>7.6537562334295899</c:v>
                </c:pt>
                <c:pt idx="5">
                  <c:v>3.2169513780875638</c:v>
                </c:pt>
                <c:pt idx="6">
                  <c:v>1.4734251515075845</c:v>
                </c:pt>
                <c:pt idx="7">
                  <c:v>1.6880692712382157</c:v>
                </c:pt>
                <c:pt idx="8">
                  <c:v>2.5237485701058051</c:v>
                </c:pt>
                <c:pt idx="9">
                  <c:v>2.2344804754364489</c:v>
                </c:pt>
                <c:pt idx="10">
                  <c:v>0.38425972109170858</c:v>
                </c:pt>
                <c:pt idx="11">
                  <c:v>0</c:v>
                </c:pt>
                <c:pt idx="12">
                  <c:v>0</c:v>
                </c:pt>
                <c:pt idx="13">
                  <c:v>0.17036696898280632</c:v>
                </c:pt>
                <c:pt idx="14">
                  <c:v>0.57113657627347614</c:v>
                </c:pt>
                <c:pt idx="15">
                  <c:v>1.1536565443707825</c:v>
                </c:pt>
                <c:pt idx="16">
                  <c:v>1.7139080517431842</c:v>
                </c:pt>
                <c:pt idx="17">
                  <c:v>1.9978506260440472</c:v>
                </c:pt>
                <c:pt idx="18">
                  <c:v>2.0552928366767218</c:v>
                </c:pt>
                <c:pt idx="19">
                  <c:v>1.8825326337661237</c:v>
                </c:pt>
                <c:pt idx="20">
                  <c:v>1.6246473269765984</c:v>
                </c:pt>
                <c:pt idx="21">
                  <c:v>1.271564988869837</c:v>
                </c:pt>
                <c:pt idx="22">
                  <c:v>0.88140727655847217</c:v>
                </c:pt>
                <c:pt idx="23">
                  <c:v>0.61040715221719855</c:v>
                </c:pt>
                <c:pt idx="24">
                  <c:v>0.3720386314120252</c:v>
                </c:pt>
                <c:pt idx="25">
                  <c:v>0.25148684877194361</c:v>
                </c:pt>
                <c:pt idx="26">
                  <c:v>0.16103077185921297</c:v>
                </c:pt>
                <c:pt idx="27">
                  <c:v>0.11144977699952645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5-9E06-445C-9050-90B15C1F6C5F}"/>
            </c:ext>
          </c:extLst>
        </c:ser>
        <c:ser>
          <c:idx val="6"/>
          <c:order val="6"/>
          <c:tx>
            <c:strRef>
              <c:f>HypersildGold_ref!$AR$42</c:f>
              <c:strCache>
                <c:ptCount val="1"/>
                <c:pt idx="0">
                  <c:v>Cl10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HypersildGold_ref!$AR$43:$AR$71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3.6391055326700883</c:v>
                </c:pt>
                <c:pt idx="3">
                  <c:v>12.635599981502306</c:v>
                </c:pt>
                <c:pt idx="4">
                  <c:v>12.083973904165099</c:v>
                </c:pt>
                <c:pt idx="5">
                  <c:v>4.9898742973536381</c:v>
                </c:pt>
                <c:pt idx="6">
                  <c:v>1.0949004801516455</c:v>
                </c:pt>
                <c:pt idx="7">
                  <c:v>0.68292271969829443</c:v>
                </c:pt>
                <c:pt idx="8">
                  <c:v>1.2604814106508915</c:v>
                </c:pt>
                <c:pt idx="9">
                  <c:v>1.1539045805129362</c:v>
                </c:pt>
                <c:pt idx="10">
                  <c:v>0.17837767138903166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9.8412723179368514E-2</c:v>
                </c:pt>
                <c:pt idx="15">
                  <c:v>0.23417148106185171</c:v>
                </c:pt>
                <c:pt idx="16">
                  <c:v>0.44209733080814134</c:v>
                </c:pt>
                <c:pt idx="17">
                  <c:v>0.6257540409846104</c:v>
                </c:pt>
                <c:pt idx="18">
                  <c:v>0.77378811679828075</c:v>
                </c:pt>
                <c:pt idx="19">
                  <c:v>0.78218335732285216</c:v>
                </c:pt>
                <c:pt idx="20">
                  <c:v>0.76811097827615815</c:v>
                </c:pt>
                <c:pt idx="21">
                  <c:v>0.73717195204988806</c:v>
                </c:pt>
                <c:pt idx="22">
                  <c:v>0.52401555832008473</c:v>
                </c:pt>
                <c:pt idx="23">
                  <c:v>0.41908901118886582</c:v>
                </c:pt>
                <c:pt idx="24">
                  <c:v>0.26338565496800309</c:v>
                </c:pt>
                <c:pt idx="25">
                  <c:v>0.16448655411148544</c:v>
                </c:pt>
                <c:pt idx="26">
                  <c:v>8.274711304123647E-2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6-9E06-445C-9050-90B15C1F6C5F}"/>
            </c:ext>
          </c:extLst>
        </c:ser>
        <c:ser>
          <c:idx val="7"/>
          <c:order val="7"/>
          <c:tx>
            <c:strRef>
              <c:f>HypersildGold_ref!$AS$42</c:f>
              <c:strCache>
                <c:ptCount val="1"/>
                <c:pt idx="0">
                  <c:v>Cl11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HypersildGold_ref!$AS$43:$AS$71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0.90869152035273992</c:v>
                </c:pt>
                <c:pt idx="3">
                  <c:v>8.0420011076872235</c:v>
                </c:pt>
                <c:pt idx="4">
                  <c:v>17.63180110769833</c:v>
                </c:pt>
                <c:pt idx="5">
                  <c:v>15.434122882383544</c:v>
                </c:pt>
                <c:pt idx="6">
                  <c:v>5.2440313498564919</c:v>
                </c:pt>
                <c:pt idx="7">
                  <c:v>0</c:v>
                </c:pt>
                <c:pt idx="8">
                  <c:v>0.38228875509750104</c:v>
                </c:pt>
                <c:pt idx="9">
                  <c:v>0.44386223346429637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5.8439462554466831E-2</c:v>
                </c:pt>
                <c:pt idx="17">
                  <c:v>0.10968277989883894</c:v>
                </c:pt>
                <c:pt idx="18">
                  <c:v>0.16830931490386292</c:v>
                </c:pt>
                <c:pt idx="19">
                  <c:v>0.1972129618171562</c:v>
                </c:pt>
                <c:pt idx="20">
                  <c:v>0.21915135227073523</c:v>
                </c:pt>
                <c:pt idx="21">
                  <c:v>0.24177659679001226</c:v>
                </c:pt>
                <c:pt idx="22">
                  <c:v>0.21583431134411465</c:v>
                </c:pt>
                <c:pt idx="23">
                  <c:v>0.17669893818054239</c:v>
                </c:pt>
                <c:pt idx="24">
                  <c:v>0.11409341948028957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7-9E06-445C-9050-90B15C1F6C5F}"/>
            </c:ext>
          </c:extLst>
        </c:ser>
        <c:ser>
          <c:idx val="8"/>
          <c:order val="8"/>
          <c:tx>
            <c:strRef>
              <c:f>HypersildGold_ref!$AT$42</c:f>
              <c:strCache>
                <c:ptCount val="1"/>
                <c:pt idx="0">
                  <c:v>Cl12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HypersildGold_ref!$AT$43:$AT$71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2.1164141379672947</c:v>
                </c:pt>
                <c:pt idx="4">
                  <c:v>11.171297451699157</c:v>
                </c:pt>
                <c:pt idx="5">
                  <c:v>20.604826951599069</c:v>
                </c:pt>
                <c:pt idx="6">
                  <c:v>13.781550705339011</c:v>
                </c:pt>
                <c:pt idx="7">
                  <c:v>0.26843510151093503</c:v>
                </c:pt>
                <c:pt idx="8">
                  <c:v>0</c:v>
                </c:pt>
                <c:pt idx="9">
                  <c:v>8.19876779356008E-2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8-9E06-445C-9050-90B15C1F6C5F}"/>
            </c:ext>
          </c:extLst>
        </c:ser>
        <c:ser>
          <c:idx val="9"/>
          <c:order val="9"/>
          <c:tx>
            <c:strRef>
              <c:f>HypersildGold_ref!$AU$42</c:f>
              <c:strCache>
                <c:ptCount val="1"/>
                <c:pt idx="0">
                  <c:v>Cl13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HypersildGold_ref!$AU$43:$AU$71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0.15489861881624797</c:v>
                </c:pt>
                <c:pt idx="4">
                  <c:v>2.8192719111645017</c:v>
                </c:pt>
                <c:pt idx="5">
                  <c:v>10.979292188450684</c:v>
                </c:pt>
                <c:pt idx="6">
                  <c:v>13.878488129351707</c:v>
                </c:pt>
                <c:pt idx="7">
                  <c:v>0.55900545634043552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9-9E06-445C-9050-90B15C1F6C5F}"/>
            </c:ext>
          </c:extLst>
        </c:ser>
        <c:ser>
          <c:idx val="10"/>
          <c:order val="10"/>
          <c:tx>
            <c:strRef>
              <c:f>HypersildGold_ref!$AV$42</c:f>
              <c:strCache>
                <c:ptCount val="1"/>
                <c:pt idx="0">
                  <c:v>Cl14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HypersildGold_ref!$AV$43:$AV$71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0.20102836284485462</c:v>
                </c:pt>
                <c:pt idx="5">
                  <c:v>2.1820584271731871</c:v>
                </c:pt>
                <c:pt idx="6">
                  <c:v>5.7689442879236195</c:v>
                </c:pt>
                <c:pt idx="7">
                  <c:v>0.51886204257841029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A-9E06-445C-9050-90B15C1F6C5F}"/>
            </c:ext>
          </c:extLst>
        </c:ser>
        <c:ser>
          <c:idx val="11"/>
          <c:order val="11"/>
          <c:tx>
            <c:strRef>
              <c:f>HypersildGold_ref!$AW$42</c:f>
              <c:strCache>
                <c:ptCount val="1"/>
                <c:pt idx="0">
                  <c:v>Cl15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HypersildGold_ref!$AW$43:$AW$71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0.13298107377162086</c:v>
                </c:pt>
                <c:pt idx="6">
                  <c:v>0.98012119265824893</c:v>
                </c:pt>
                <c:pt idx="7">
                  <c:v>0.20366757269439043</c:v>
                </c:pt>
                <c:pt idx="8">
                  <c:v>0</c:v>
                </c:pt>
                <c:pt idx="9">
                  <c:v>0</c:v>
                </c:pt>
                <c:pt idx="10">
                  <c:v>0.15958276519767009</c:v>
                </c:pt>
                <c:pt idx="11">
                  <c:v>0.35653253777255683</c:v>
                </c:pt>
                <c:pt idx="12">
                  <c:v>0.18438849245233513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B-9E06-445C-9050-90B15C1F6C5F}"/>
            </c:ext>
          </c:extLst>
        </c:ser>
        <c:ser>
          <c:idx val="12"/>
          <c:order val="12"/>
          <c:tx>
            <c:strRef>
              <c:f>HypersildGold_ref!$AX$42</c:f>
              <c:strCache>
                <c:ptCount val="1"/>
                <c:pt idx="0">
                  <c:v>Cl16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HypersildGold_ref!$AX$43:$AX$71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0.24075411349820264</c:v>
                </c:pt>
                <c:pt idx="11">
                  <c:v>0.84977335718959635</c:v>
                </c:pt>
                <c:pt idx="12">
                  <c:v>0.82813476610989756</c:v>
                </c:pt>
                <c:pt idx="13">
                  <c:v>0.37346343276648453</c:v>
                </c:pt>
                <c:pt idx="14">
                  <c:v>0.13839233502091569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C-9E06-445C-9050-90B15C1F6C5F}"/>
            </c:ext>
          </c:extLst>
        </c:ser>
        <c:ser>
          <c:idx val="13"/>
          <c:order val="13"/>
          <c:tx>
            <c:strRef>
              <c:f>HypersildGold_ref!$AY$42</c:f>
              <c:strCache>
                <c:ptCount val="1"/>
                <c:pt idx="0">
                  <c:v>Cl17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HypersildGold_ref!$AY$43:$AY$71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0.95509954998652191</c:v>
                </c:pt>
                <c:pt idx="12">
                  <c:v>1.6114861012024404</c:v>
                </c:pt>
                <c:pt idx="13">
                  <c:v>1.2396544796672428</c:v>
                </c:pt>
                <c:pt idx="14">
                  <c:v>0.87668799360008687</c:v>
                </c:pt>
                <c:pt idx="15">
                  <c:v>0.36130466635806707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D-9E06-445C-9050-90B15C1F6C5F}"/>
            </c:ext>
          </c:extLst>
        </c:ser>
        <c:ser>
          <c:idx val="14"/>
          <c:order val="14"/>
          <c:tx>
            <c:strRef>
              <c:f>HypersildGold_ref!$AZ$42</c:f>
              <c:strCache>
                <c:ptCount val="1"/>
                <c:pt idx="0">
                  <c:v>Cl18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HypersildGold_ref!$AZ$43:$AZ$71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0.50949601140788103</c:v>
                </c:pt>
                <c:pt idx="12">
                  <c:v>1.5176878126931541</c:v>
                </c:pt>
                <c:pt idx="13">
                  <c:v>1.9898667580361586</c:v>
                </c:pt>
                <c:pt idx="14">
                  <c:v>2.3564413445140246</c:v>
                </c:pt>
                <c:pt idx="15">
                  <c:v>1.6387522210278109</c:v>
                </c:pt>
                <c:pt idx="16">
                  <c:v>0.65695457767954824</c:v>
                </c:pt>
                <c:pt idx="17">
                  <c:v>8.9660837890882389E-2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E-9E06-445C-9050-90B15C1F6C5F}"/>
            </c:ext>
          </c:extLst>
        </c:ser>
        <c:ser>
          <c:idx val="15"/>
          <c:order val="15"/>
          <c:tx>
            <c:strRef>
              <c:f>HypersildGold_ref!$BA$42</c:f>
              <c:strCache>
                <c:ptCount val="1"/>
                <c:pt idx="0">
                  <c:v>Cl19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HypersildGold_ref!$BA$43:$BA$71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8.1481663993211023E-2</c:v>
                </c:pt>
                <c:pt idx="12">
                  <c:v>0.73391978784232681</c:v>
                </c:pt>
                <c:pt idx="13">
                  <c:v>1.6012716825077713</c:v>
                </c:pt>
                <c:pt idx="14">
                  <c:v>3.1745275974167688</c:v>
                </c:pt>
                <c:pt idx="15">
                  <c:v>3.5792810388417542</c:v>
                </c:pt>
                <c:pt idx="16">
                  <c:v>2.3929230594565936</c:v>
                </c:pt>
                <c:pt idx="17">
                  <c:v>0.85616017211856499</c:v>
                </c:pt>
                <c:pt idx="18">
                  <c:v>0.26057095650529205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F-9E06-445C-9050-90B15C1F6C5F}"/>
            </c:ext>
          </c:extLst>
        </c:ser>
        <c:ser>
          <c:idx val="16"/>
          <c:order val="16"/>
          <c:tx>
            <c:strRef>
              <c:f>HypersildGold_ref!$BB$42</c:f>
              <c:strCache>
                <c:ptCount val="1"/>
                <c:pt idx="0">
                  <c:v>Cl20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HypersildGold_ref!$BB$43:$BB$71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0.12560926066602357</c:v>
                </c:pt>
                <c:pt idx="13">
                  <c:v>0.7164558879132864</c:v>
                </c:pt>
                <c:pt idx="14">
                  <c:v>2.4277364572865743</c:v>
                </c:pt>
                <c:pt idx="15">
                  <c:v>4.3615421654936055</c:v>
                </c:pt>
                <c:pt idx="16">
                  <c:v>4.6320610104296911</c:v>
                </c:pt>
                <c:pt idx="17">
                  <c:v>2.6240396280033575</c:v>
                </c:pt>
                <c:pt idx="18">
                  <c:v>1.4743215162112786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0-9E06-445C-9050-90B15C1F6C5F}"/>
            </c:ext>
          </c:extLst>
        </c:ser>
        <c:ser>
          <c:idx val="17"/>
          <c:order val="17"/>
          <c:tx>
            <c:strRef>
              <c:f>HypersildGold_ref!$BC$42</c:f>
              <c:strCache>
                <c:ptCount val="1"/>
                <c:pt idx="0">
                  <c:v>Cl21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HypersildGold_ref!$BC$43:$BC$71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0.12244808509656656</c:v>
                </c:pt>
                <c:pt idx="14">
                  <c:v>0.99924880383702452</c:v>
                </c:pt>
                <c:pt idx="15">
                  <c:v>3.0197886999053076</c:v>
                </c:pt>
                <c:pt idx="16">
                  <c:v>4.999634264983043</c:v>
                </c:pt>
                <c:pt idx="17">
                  <c:v>4.3293245786752168</c:v>
                </c:pt>
                <c:pt idx="18">
                  <c:v>3.9567513317456746</c:v>
                </c:pt>
                <c:pt idx="19">
                  <c:v>0.97533337878084203</c:v>
                </c:pt>
                <c:pt idx="20">
                  <c:v>0.30922465656762832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1-9E06-445C-9050-90B15C1F6C5F}"/>
            </c:ext>
          </c:extLst>
        </c:ser>
        <c:ser>
          <c:idx val="18"/>
          <c:order val="18"/>
          <c:tx>
            <c:strRef>
              <c:f>HypersildGold_ref!$BD$42</c:f>
              <c:strCache>
                <c:ptCount val="1"/>
                <c:pt idx="0">
                  <c:v>Cl22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HypersildGold_ref!$BD$43:$BD$71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0.18342842648365176</c:v>
                </c:pt>
                <c:pt idx="15">
                  <c:v>1.21099192349961</c:v>
                </c:pt>
                <c:pt idx="16">
                  <c:v>3.1265366135388915</c:v>
                </c:pt>
                <c:pt idx="17">
                  <c:v>4.3706533410675874</c:v>
                </c:pt>
                <c:pt idx="18">
                  <c:v>6.1395322091039404</c:v>
                </c:pt>
                <c:pt idx="19">
                  <c:v>2.2240092345676774</c:v>
                </c:pt>
                <c:pt idx="20">
                  <c:v>1.3068273247969495</c:v>
                </c:pt>
                <c:pt idx="21">
                  <c:v>0.20578782582869312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2-9E06-445C-9050-90B15C1F6C5F}"/>
            </c:ext>
          </c:extLst>
        </c:ser>
        <c:ser>
          <c:idx val="19"/>
          <c:order val="19"/>
          <c:tx>
            <c:strRef>
              <c:f>HypersildGold_ref!$BE$42</c:f>
              <c:strCache>
                <c:ptCount val="1"/>
                <c:pt idx="0">
                  <c:v>Cl23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HypersildGold_ref!$BE$43:$BE$71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0.2385829366849814</c:v>
                </c:pt>
                <c:pt idx="16">
                  <c:v>1.1869366760165985</c:v>
                </c:pt>
                <c:pt idx="17">
                  <c:v>2.6170289447915911</c:v>
                </c:pt>
                <c:pt idx="18">
                  <c:v>5.8625977450712234</c:v>
                </c:pt>
                <c:pt idx="19">
                  <c:v>3.1122013606061785</c:v>
                </c:pt>
                <c:pt idx="20">
                  <c:v>2.8628035227169479</c:v>
                </c:pt>
                <c:pt idx="21">
                  <c:v>0.80480151369233632</c:v>
                </c:pt>
                <c:pt idx="22">
                  <c:v>0.19969791840487078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3-9E06-445C-9050-90B15C1F6C5F}"/>
            </c:ext>
          </c:extLst>
        </c:ser>
        <c:ser>
          <c:idx val="20"/>
          <c:order val="20"/>
          <c:tx>
            <c:strRef>
              <c:f>HypersildGold_ref!$BF$42</c:f>
              <c:strCache>
                <c:ptCount val="1"/>
                <c:pt idx="0">
                  <c:v>Cl24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HypersildGold_ref!$BF$43:$BF$71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0.25706154118642871</c:v>
                </c:pt>
                <c:pt idx="17">
                  <c:v>0.99595814571051455</c:v>
                </c:pt>
                <c:pt idx="18">
                  <c:v>3.489077940302991</c:v>
                </c:pt>
                <c:pt idx="19">
                  <c:v>2.7625506877159971</c:v>
                </c:pt>
                <c:pt idx="20">
                  <c:v>3.7656223419130033</c:v>
                </c:pt>
                <c:pt idx="21">
                  <c:v>1.5827524195957594</c:v>
                </c:pt>
                <c:pt idx="22">
                  <c:v>0.77009186543309627</c:v>
                </c:pt>
                <c:pt idx="23">
                  <c:v>0.15211591221076712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4-9E06-445C-9050-90B15C1F6C5F}"/>
            </c:ext>
          </c:extLst>
        </c:ser>
        <c:ser>
          <c:idx val="21"/>
          <c:order val="21"/>
          <c:tx>
            <c:strRef>
              <c:f>HypersildGold_ref!$BG$42</c:f>
              <c:strCache>
                <c:ptCount val="1"/>
                <c:pt idx="0">
                  <c:v>Cl25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HypersildGold_ref!$BG$43:$BG$71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0.20174117850723308</c:v>
                </c:pt>
                <c:pt idx="18">
                  <c:v>1.3279790147344088</c:v>
                </c:pt>
                <c:pt idx="19">
                  <c:v>1.5661353574008778</c:v>
                </c:pt>
                <c:pt idx="20">
                  <c:v>3.2207218594780778</c:v>
                </c:pt>
                <c:pt idx="21">
                  <c:v>1.8702387774910654</c:v>
                </c:pt>
                <c:pt idx="22">
                  <c:v>1.4161421581927087</c:v>
                </c:pt>
                <c:pt idx="23">
                  <c:v>0.51682780317260979</c:v>
                </c:pt>
                <c:pt idx="24">
                  <c:v>0.12225970205325318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5-9E06-445C-9050-90B15C1F6C5F}"/>
            </c:ext>
          </c:extLst>
        </c:ser>
        <c:ser>
          <c:idx val="22"/>
          <c:order val="22"/>
          <c:tx>
            <c:strRef>
              <c:f>HypersildGold_ref!$BH$42</c:f>
              <c:strCache>
                <c:ptCount val="1"/>
                <c:pt idx="0">
                  <c:v>Cl26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HypersildGold_ref!$BH$43:$BH$71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0.27338899351960783</c:v>
                </c:pt>
                <c:pt idx="19">
                  <c:v>0.54337103743615722</c:v>
                </c:pt>
                <c:pt idx="20">
                  <c:v>1.7815048166184104</c:v>
                </c:pt>
                <c:pt idx="21">
                  <c:v>1.490080272372621</c:v>
                </c:pt>
                <c:pt idx="22">
                  <c:v>1.6042179107250738</c:v>
                </c:pt>
                <c:pt idx="23">
                  <c:v>0.91408417697246602</c:v>
                </c:pt>
                <c:pt idx="24">
                  <c:v>0.24493221374575325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6-9E06-445C-9050-90B15C1F6C5F}"/>
            </c:ext>
          </c:extLst>
        </c:ser>
        <c:ser>
          <c:idx val="23"/>
          <c:order val="23"/>
          <c:tx>
            <c:strRef>
              <c:f>HypersildGold_ref!$BI$42</c:f>
              <c:strCache>
                <c:ptCount val="1"/>
                <c:pt idx="0">
                  <c:v>Cl27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HypersildGold_ref!$BI$43:$BI$71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0.66118512879927072</c:v>
                </c:pt>
                <c:pt idx="21">
                  <c:v>0.80072245476570625</c:v>
                </c:pt>
                <c:pt idx="22">
                  <c:v>1.1597693207909736</c:v>
                </c:pt>
                <c:pt idx="23">
                  <c:v>0.93891420098585465</c:v>
                </c:pt>
                <c:pt idx="24">
                  <c:v>0.57230152844637305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7-9E06-445C-9050-90B15C1F6C5F}"/>
            </c:ext>
          </c:extLst>
        </c:ser>
        <c:ser>
          <c:idx val="24"/>
          <c:order val="24"/>
          <c:tx>
            <c:strRef>
              <c:f>HypersildGold_ref!$BJ$42</c:f>
              <c:strCache>
                <c:ptCount val="1"/>
                <c:pt idx="0">
                  <c:v>Cl28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HypersildGold_ref!$BJ$43:$BJ$71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0.13516737378691587</c:v>
                </c:pt>
                <c:pt idx="21">
                  <c:v>0.26336709574500611</c:v>
                </c:pt>
                <c:pt idx="22">
                  <c:v>0.55500438290175513</c:v>
                </c:pt>
                <c:pt idx="23">
                  <c:v>0.65631825191022608</c:v>
                </c:pt>
                <c:pt idx="24">
                  <c:v>0.60098038395579789</c:v>
                </c:pt>
                <c:pt idx="25">
                  <c:v>0.33035054156880994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8-9E06-445C-9050-90B15C1F6C5F}"/>
            </c:ext>
          </c:extLst>
        </c:ser>
        <c:ser>
          <c:idx val="25"/>
          <c:order val="25"/>
          <c:tx>
            <c:strRef>
              <c:f>HypersildGold_ref!$BK$42</c:f>
              <c:strCache>
                <c:ptCount val="1"/>
                <c:pt idx="0">
                  <c:v>Cl29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HypersildGold_ref!$BK$43:$BK$71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0.17379327968307359</c:v>
                </c:pt>
                <c:pt idx="23">
                  <c:v>0.32504262734741129</c:v>
                </c:pt>
                <c:pt idx="24">
                  <c:v>0.39949774216114947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9-9E06-445C-9050-90B15C1F6C5F}"/>
            </c:ext>
          </c:extLst>
        </c:ser>
        <c:ser>
          <c:idx val="26"/>
          <c:order val="26"/>
          <c:tx>
            <c:strRef>
              <c:f>HypersildGold_ref!$BL$42</c:f>
              <c:strCache>
                <c:ptCount val="1"/>
                <c:pt idx="0">
                  <c:v>Cl30</c:v>
                </c:pt>
              </c:strCache>
            </c:strRef>
          </c:tx>
          <c:invertIfNegative val="0"/>
          <c:cat>
            <c:strRef>
              <c:f>HypersildGold_ref!$H$43:$H$71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HypersildGold_ref!$BL$43:$BL$71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A-9E06-445C-9050-90B15C1F6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shape val="box"/>
        <c:axId val="650780728"/>
        <c:axId val="650772200"/>
        <c:axId val="335469696"/>
      </c:bar3DChart>
      <c:catAx>
        <c:axId val="650780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50772200"/>
        <c:crosses val="autoZero"/>
        <c:auto val="1"/>
        <c:lblAlgn val="ctr"/>
        <c:lblOffset val="100"/>
        <c:noMultiLvlLbl val="0"/>
      </c:catAx>
      <c:valAx>
        <c:axId val="65077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Intensity (x10</a:t>
                </a:r>
                <a:r>
                  <a:rPr lang="en-GB" baseline="30000"/>
                  <a:t>6</a:t>
                </a:r>
                <a:r>
                  <a:rPr lang="en-GB"/>
                  <a:t>)</a:t>
                </a:r>
              </a:p>
            </c:rich>
          </c:tx>
          <c:layout>
            <c:manualLayout>
              <c:xMode val="edge"/>
              <c:yMode val="edge"/>
              <c:x val="0.12548890479599142"/>
              <c:y val="0.48060038413565653"/>
            </c:manualLayout>
          </c:layout>
          <c:overlay val="0"/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50780728"/>
        <c:crosses val="autoZero"/>
        <c:crossBetween val="between"/>
      </c:valAx>
      <c:serAx>
        <c:axId val="335469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50772200"/>
        <c:crosses val="autoZero"/>
      </c:serAx>
      <c:spPr>
        <a:noFill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fr-FR"/>
              <a:t>Sample name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9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9150151685584754E-2"/>
          <c:y val="7.5607538853561668E-2"/>
          <c:w val="0.91376752905886749"/>
          <c:h val="0.8169671648186833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Zorbax_gradient10min!$I$42</c:f>
              <c:strCache>
                <c:ptCount val="1"/>
                <c:pt idx="0">
                  <c:v>Cl04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Zorbax_gradient10min!$I$43:$I$71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71.128579977932318</c:v>
                </c:pt>
                <c:pt idx="7">
                  <c:v>72.338916766486989</c:v>
                </c:pt>
                <c:pt idx="8">
                  <c:v>67.291417149742131</c:v>
                </c:pt>
                <c:pt idx="9">
                  <c:v>31.194041521457997</c:v>
                </c:pt>
                <c:pt idx="10">
                  <c:v>0</c:v>
                </c:pt>
                <c:pt idx="11">
                  <c:v>0</c:v>
                </c:pt>
                <c:pt idx="12">
                  <c:v>61.614474048792644</c:v>
                </c:pt>
                <c:pt idx="13">
                  <c:v>204.66626035352868</c:v>
                </c:pt>
                <c:pt idx="14">
                  <c:v>333.29520419415815</c:v>
                </c:pt>
                <c:pt idx="15">
                  <c:v>286.67163568705507</c:v>
                </c:pt>
                <c:pt idx="16">
                  <c:v>242.4486216150913</c:v>
                </c:pt>
                <c:pt idx="17">
                  <c:v>202.31260251078902</c:v>
                </c:pt>
                <c:pt idx="18">
                  <c:v>159.94377031737633</c:v>
                </c:pt>
                <c:pt idx="19">
                  <c:v>109.31724823326682</c:v>
                </c:pt>
                <c:pt idx="20">
                  <c:v>73.996384528663739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E844-4201-AEDF-4A59F07208D4}"/>
            </c:ext>
          </c:extLst>
        </c:ser>
        <c:ser>
          <c:idx val="1"/>
          <c:order val="1"/>
          <c:tx>
            <c:strRef>
              <c:f>Zorbax_gradient10min!$J$42</c:f>
              <c:strCache>
                <c:ptCount val="1"/>
                <c:pt idx="0">
                  <c:v>Cl05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Zorbax_gradient10min!$J$43:$J$71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139.0161213489157</c:v>
                </c:pt>
                <c:pt idx="3">
                  <c:v>777.91826302877701</c:v>
                </c:pt>
                <c:pt idx="4">
                  <c:v>663.52224531129184</c:v>
                </c:pt>
                <c:pt idx="5">
                  <c:v>156.81817507802913</c:v>
                </c:pt>
                <c:pt idx="6">
                  <c:v>1557.2613173578497</c:v>
                </c:pt>
                <c:pt idx="7">
                  <c:v>1332.689444074492</c:v>
                </c:pt>
                <c:pt idx="8">
                  <c:v>1072.6719053476413</c:v>
                </c:pt>
                <c:pt idx="9">
                  <c:v>476.47892069878839</c:v>
                </c:pt>
                <c:pt idx="10">
                  <c:v>56.895728367657959</c:v>
                </c:pt>
                <c:pt idx="11">
                  <c:v>15.810954330644442</c:v>
                </c:pt>
                <c:pt idx="12">
                  <c:v>219.72858471348988</c:v>
                </c:pt>
                <c:pt idx="13">
                  <c:v>797.66461757722209</c:v>
                </c:pt>
                <c:pt idx="14">
                  <c:v>1312.4069373513084</c:v>
                </c:pt>
                <c:pt idx="15">
                  <c:v>1371.3359320960528</c:v>
                </c:pt>
                <c:pt idx="16">
                  <c:v>1123.3308782671029</c:v>
                </c:pt>
                <c:pt idx="17">
                  <c:v>920.67653921937142</c:v>
                </c:pt>
                <c:pt idx="18">
                  <c:v>672.83193294019679</c:v>
                </c:pt>
                <c:pt idx="19">
                  <c:v>607.12813618607868</c:v>
                </c:pt>
                <c:pt idx="20">
                  <c:v>430.96291909103718</c:v>
                </c:pt>
                <c:pt idx="21">
                  <c:v>312.41971891059063</c:v>
                </c:pt>
                <c:pt idx="22">
                  <c:v>207.91605269379221</c:v>
                </c:pt>
                <c:pt idx="23">
                  <c:v>151.52352845335528</c:v>
                </c:pt>
                <c:pt idx="24">
                  <c:v>109.31840164630545</c:v>
                </c:pt>
                <c:pt idx="25">
                  <c:v>83.919024431392273</c:v>
                </c:pt>
                <c:pt idx="26">
                  <c:v>52.604643056422745</c:v>
                </c:pt>
                <c:pt idx="27">
                  <c:v>32.741994607756979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1-E844-4201-AEDF-4A59F07208D4}"/>
            </c:ext>
          </c:extLst>
        </c:ser>
        <c:ser>
          <c:idx val="2"/>
          <c:order val="2"/>
          <c:tx>
            <c:strRef>
              <c:f>Zorbax_gradient10min!$K$42</c:f>
              <c:strCache>
                <c:ptCount val="1"/>
                <c:pt idx="0">
                  <c:v>Cl06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Zorbax_gradient10min!$K$43:$K$71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842.51181394728053</c:v>
                </c:pt>
                <c:pt idx="3">
                  <c:v>5256.8421114073535</c:v>
                </c:pt>
                <c:pt idx="4">
                  <c:v>5716.5518908115309</c:v>
                </c:pt>
                <c:pt idx="5">
                  <c:v>900.29077586901667</c:v>
                </c:pt>
                <c:pt idx="6">
                  <c:v>2701.5838976046425</c:v>
                </c:pt>
                <c:pt idx="7">
                  <c:v>3149.6160540845372</c:v>
                </c:pt>
                <c:pt idx="8">
                  <c:v>2726.1474929626534</c:v>
                </c:pt>
                <c:pt idx="9">
                  <c:v>1468.7840254713938</c:v>
                </c:pt>
                <c:pt idx="10">
                  <c:v>206.98531558702524</c:v>
                </c:pt>
                <c:pt idx="11">
                  <c:v>16.082369515095237</c:v>
                </c:pt>
                <c:pt idx="12">
                  <c:v>256.02053023857161</c:v>
                </c:pt>
                <c:pt idx="13">
                  <c:v>1112.8734587575516</c:v>
                </c:pt>
                <c:pt idx="14">
                  <c:v>2150.075941591947</c:v>
                </c:pt>
                <c:pt idx="15">
                  <c:v>2782.086718094024</c:v>
                </c:pt>
                <c:pt idx="16">
                  <c:v>2669.6204953167412</c:v>
                </c:pt>
                <c:pt idx="17">
                  <c:v>2377.6035776986141</c:v>
                </c:pt>
                <c:pt idx="18">
                  <c:v>2070.6361430112688</c:v>
                </c:pt>
                <c:pt idx="19">
                  <c:v>1686.4576153105047</c:v>
                </c:pt>
                <c:pt idx="20">
                  <c:v>1257.4999267049086</c:v>
                </c:pt>
                <c:pt idx="21">
                  <c:v>921.19784610278452</c:v>
                </c:pt>
                <c:pt idx="22">
                  <c:v>594.61053826802129</c:v>
                </c:pt>
                <c:pt idx="23">
                  <c:v>416.41010844236177</c:v>
                </c:pt>
                <c:pt idx="24">
                  <c:v>268.26847987250284</c:v>
                </c:pt>
                <c:pt idx="25">
                  <c:v>175.96232080989435</c:v>
                </c:pt>
                <c:pt idx="26">
                  <c:v>126.54853920006424</c:v>
                </c:pt>
                <c:pt idx="27">
                  <c:v>80.879314900414229</c:v>
                </c:pt>
                <c:pt idx="28">
                  <c:v>51.934528682555587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2-E844-4201-AEDF-4A59F07208D4}"/>
            </c:ext>
          </c:extLst>
        </c:ser>
        <c:ser>
          <c:idx val="3"/>
          <c:order val="3"/>
          <c:tx>
            <c:strRef>
              <c:f>Zorbax_gradient10min!$L$42</c:f>
              <c:strCache>
                <c:ptCount val="1"/>
                <c:pt idx="0">
                  <c:v>Cl07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Zorbax_gradient10min!$L$43:$L$71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720.59942751611891</c:v>
                </c:pt>
                <c:pt idx="3">
                  <c:v>5642.2711031853196</c:v>
                </c:pt>
                <c:pt idx="4">
                  <c:v>9878.359277560201</c:v>
                </c:pt>
                <c:pt idx="5">
                  <c:v>2230.1857987351827</c:v>
                </c:pt>
                <c:pt idx="6">
                  <c:v>2077.1008874340118</c:v>
                </c:pt>
                <c:pt idx="7">
                  <c:v>2808.96528079572</c:v>
                </c:pt>
                <c:pt idx="8">
                  <c:v>2899.7197104930306</c:v>
                </c:pt>
                <c:pt idx="9">
                  <c:v>2092.6958827607441</c:v>
                </c:pt>
                <c:pt idx="10">
                  <c:v>351.63479673885411</c:v>
                </c:pt>
                <c:pt idx="11">
                  <c:v>0</c:v>
                </c:pt>
                <c:pt idx="12">
                  <c:v>207.97237745451</c:v>
                </c:pt>
                <c:pt idx="13">
                  <c:v>992.09919513291788</c:v>
                </c:pt>
                <c:pt idx="14">
                  <c:v>2211.33592317181</c:v>
                </c:pt>
                <c:pt idx="15">
                  <c:v>3241.2401926688576</c:v>
                </c:pt>
                <c:pt idx="16">
                  <c:v>3552.0590973480171</c:v>
                </c:pt>
                <c:pt idx="17">
                  <c:v>3370.8698710793747</c:v>
                </c:pt>
                <c:pt idx="18">
                  <c:v>2997.9154800001488</c:v>
                </c:pt>
                <c:pt idx="19">
                  <c:v>2531.7158767541682</c:v>
                </c:pt>
                <c:pt idx="20">
                  <c:v>1969.7419373346236</c:v>
                </c:pt>
                <c:pt idx="21">
                  <c:v>1497.1659192954478</c:v>
                </c:pt>
                <c:pt idx="22">
                  <c:v>994.72008802184121</c:v>
                </c:pt>
                <c:pt idx="23">
                  <c:v>684.98704790101237</c:v>
                </c:pt>
                <c:pt idx="24">
                  <c:v>423.65532894881801</c:v>
                </c:pt>
                <c:pt idx="25">
                  <c:v>290.22318119541887</c:v>
                </c:pt>
                <c:pt idx="26">
                  <c:v>181.19045440324902</c:v>
                </c:pt>
                <c:pt idx="27">
                  <c:v>120.12255510612633</c:v>
                </c:pt>
                <c:pt idx="28">
                  <c:v>74.248619753666574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3-E844-4201-AEDF-4A59F07208D4}"/>
            </c:ext>
          </c:extLst>
        </c:ser>
        <c:ser>
          <c:idx val="4"/>
          <c:order val="4"/>
          <c:tx>
            <c:strRef>
              <c:f>Zorbax_gradient10min!$M$42</c:f>
              <c:strCache>
                <c:ptCount val="1"/>
                <c:pt idx="0">
                  <c:v>Cl08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Zorbax_gradient10min!$M$43:$M$71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749.50628282965442</c:v>
                </c:pt>
                <c:pt idx="3">
                  <c:v>2310.0130449040676</c:v>
                </c:pt>
                <c:pt idx="4">
                  <c:v>6104.6769282257565</c:v>
                </c:pt>
                <c:pt idx="5">
                  <c:v>2346.3538182572338</c:v>
                </c:pt>
                <c:pt idx="6">
                  <c:v>1285.8422895893038</c:v>
                </c:pt>
                <c:pt idx="7">
                  <c:v>1417.8323416751712</c:v>
                </c:pt>
                <c:pt idx="8">
                  <c:v>1924.9801045483475</c:v>
                </c:pt>
                <c:pt idx="9">
                  <c:v>1774.246403490105</c:v>
                </c:pt>
                <c:pt idx="10">
                  <c:v>350.25437458447158</c:v>
                </c:pt>
                <c:pt idx="11">
                  <c:v>0</c:v>
                </c:pt>
                <c:pt idx="12">
                  <c:v>89.482343176122896</c:v>
                </c:pt>
                <c:pt idx="13">
                  <c:v>481.55747586987013</c:v>
                </c:pt>
                <c:pt idx="14">
                  <c:v>1216.0157138124721</c:v>
                </c:pt>
                <c:pt idx="15">
                  <c:v>2005.3175272715564</c:v>
                </c:pt>
                <c:pt idx="16">
                  <c:v>2456.6365455062323</c:v>
                </c:pt>
                <c:pt idx="17">
                  <c:v>2601.0711097828084</c:v>
                </c:pt>
                <c:pt idx="18">
                  <c:v>2520.7889775853819</c:v>
                </c:pt>
                <c:pt idx="19">
                  <c:v>2242.6368520801498</c:v>
                </c:pt>
                <c:pt idx="20">
                  <c:v>1890.8212845942703</c:v>
                </c:pt>
                <c:pt idx="21">
                  <c:v>1526.9660978563497</c:v>
                </c:pt>
                <c:pt idx="22">
                  <c:v>1072.8595123995358</c:v>
                </c:pt>
                <c:pt idx="23">
                  <c:v>758.71332826475862</c:v>
                </c:pt>
                <c:pt idx="24">
                  <c:v>505.46453973661346</c:v>
                </c:pt>
                <c:pt idx="25">
                  <c:v>338.68558392541786</c:v>
                </c:pt>
                <c:pt idx="26">
                  <c:v>201.11361796183559</c:v>
                </c:pt>
                <c:pt idx="27">
                  <c:v>133.8935539255321</c:v>
                </c:pt>
                <c:pt idx="28">
                  <c:v>83.897175852115268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4-E844-4201-AEDF-4A59F07208D4}"/>
            </c:ext>
          </c:extLst>
        </c:ser>
        <c:ser>
          <c:idx val="5"/>
          <c:order val="5"/>
          <c:tx>
            <c:strRef>
              <c:f>Zorbax_gradient10min!$N$42</c:f>
              <c:strCache>
                <c:ptCount val="1"/>
                <c:pt idx="0">
                  <c:v>Cl09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Zorbax_gradient10min!$N$43:$N$71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1355.0052037909493</c:v>
                </c:pt>
                <c:pt idx="3">
                  <c:v>2315.7560747119196</c:v>
                </c:pt>
                <c:pt idx="4">
                  <c:v>2566.9431692237608</c:v>
                </c:pt>
                <c:pt idx="5">
                  <c:v>1347.6263626303139</c:v>
                </c:pt>
                <c:pt idx="6">
                  <c:v>662.4179501339928</c:v>
                </c:pt>
                <c:pt idx="7">
                  <c:v>721.0707452830394</c:v>
                </c:pt>
                <c:pt idx="8">
                  <c:v>1154.1259638824231</c:v>
                </c:pt>
                <c:pt idx="9">
                  <c:v>1076.2592590673698</c:v>
                </c:pt>
                <c:pt idx="10">
                  <c:v>214.8570261530169</c:v>
                </c:pt>
                <c:pt idx="11">
                  <c:v>0</c:v>
                </c:pt>
                <c:pt idx="12">
                  <c:v>16.12250249739747</c:v>
                </c:pt>
                <c:pt idx="13">
                  <c:v>130.07791024079194</c:v>
                </c:pt>
                <c:pt idx="14">
                  <c:v>376.46666480601664</c:v>
                </c:pt>
                <c:pt idx="15">
                  <c:v>716.55653269099491</c:v>
                </c:pt>
                <c:pt idx="16">
                  <c:v>1025.3899057322949</c:v>
                </c:pt>
                <c:pt idx="17">
                  <c:v>1220.2587328927809</c:v>
                </c:pt>
                <c:pt idx="18">
                  <c:v>1342.8262313353521</c:v>
                </c:pt>
                <c:pt idx="19">
                  <c:v>1315.3095014698865</c:v>
                </c:pt>
                <c:pt idx="20">
                  <c:v>1189.6513373564751</c:v>
                </c:pt>
                <c:pt idx="21">
                  <c:v>1049.5752588287273</c:v>
                </c:pt>
                <c:pt idx="22">
                  <c:v>782.2163570827787</c:v>
                </c:pt>
                <c:pt idx="23">
                  <c:v>610.34275713959937</c:v>
                </c:pt>
                <c:pt idx="24">
                  <c:v>415.82873059198073</c:v>
                </c:pt>
                <c:pt idx="25">
                  <c:v>286.87467717664907</c:v>
                </c:pt>
                <c:pt idx="26">
                  <c:v>175.31656147862856</c:v>
                </c:pt>
                <c:pt idx="27">
                  <c:v>107.62222647668989</c:v>
                </c:pt>
                <c:pt idx="28">
                  <c:v>68.600136864839868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5-E844-4201-AEDF-4A59F07208D4}"/>
            </c:ext>
          </c:extLst>
        </c:ser>
        <c:ser>
          <c:idx val="6"/>
          <c:order val="6"/>
          <c:tx>
            <c:strRef>
              <c:f>Zorbax_gradient10min!$O$42</c:f>
              <c:strCache>
                <c:ptCount val="1"/>
                <c:pt idx="0">
                  <c:v>Cl10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Zorbax_gradient10min!$O$43:$O$71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951.81582124406725</c:v>
                </c:pt>
                <c:pt idx="3">
                  <c:v>3866.5624162063132</c:v>
                </c:pt>
                <c:pt idx="4">
                  <c:v>4497.9410773593645</c:v>
                </c:pt>
                <c:pt idx="5">
                  <c:v>1975.2400693729921</c:v>
                </c:pt>
                <c:pt idx="6">
                  <c:v>487.28931582534068</c:v>
                </c:pt>
                <c:pt idx="7">
                  <c:v>330.82505607951214</c:v>
                </c:pt>
                <c:pt idx="8">
                  <c:v>606.46986246857568</c:v>
                </c:pt>
                <c:pt idx="9">
                  <c:v>594.71807410158442</c:v>
                </c:pt>
                <c:pt idx="10">
                  <c:v>110.76027566617449</c:v>
                </c:pt>
                <c:pt idx="11">
                  <c:v>0</c:v>
                </c:pt>
                <c:pt idx="12">
                  <c:v>0</c:v>
                </c:pt>
                <c:pt idx="13">
                  <c:v>13.701382072036491</c:v>
                </c:pt>
                <c:pt idx="14">
                  <c:v>70.937038078309484</c:v>
                </c:pt>
                <c:pt idx="15">
                  <c:v>167.11024658396002</c:v>
                </c:pt>
                <c:pt idx="16">
                  <c:v>267.7707838891572</c:v>
                </c:pt>
                <c:pt idx="17">
                  <c:v>377.52899153702214</c:v>
                </c:pt>
                <c:pt idx="18">
                  <c:v>472.3245795021096</c:v>
                </c:pt>
                <c:pt idx="19">
                  <c:v>526.05013794492083</c:v>
                </c:pt>
                <c:pt idx="20">
                  <c:v>507.70482800544193</c:v>
                </c:pt>
                <c:pt idx="21">
                  <c:v>503.31308997298032</c:v>
                </c:pt>
                <c:pt idx="22">
                  <c:v>399.47673900895575</c:v>
                </c:pt>
                <c:pt idx="23">
                  <c:v>339.41977453220147</c:v>
                </c:pt>
                <c:pt idx="24">
                  <c:v>247.85815348374004</c:v>
                </c:pt>
                <c:pt idx="25">
                  <c:v>174.99645010167399</c:v>
                </c:pt>
                <c:pt idx="26">
                  <c:v>110.48590468943269</c:v>
                </c:pt>
                <c:pt idx="27">
                  <c:v>73.161788134630811</c:v>
                </c:pt>
                <c:pt idx="28">
                  <c:v>39.356863850547683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6-E844-4201-AEDF-4A59F07208D4}"/>
            </c:ext>
          </c:extLst>
        </c:ser>
        <c:ser>
          <c:idx val="7"/>
          <c:order val="7"/>
          <c:tx>
            <c:strRef>
              <c:f>Zorbax_gradient10min!$P$42</c:f>
              <c:strCache>
                <c:ptCount val="1"/>
                <c:pt idx="0">
                  <c:v>Cl11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Zorbax_gradient10min!$P$43:$P$71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267.91923114872435</c:v>
                </c:pt>
                <c:pt idx="3">
                  <c:v>2759.2024438197509</c:v>
                </c:pt>
                <c:pt idx="4">
                  <c:v>6362.584861135796</c:v>
                </c:pt>
                <c:pt idx="5">
                  <c:v>5976.5517709551305</c:v>
                </c:pt>
                <c:pt idx="6">
                  <c:v>2253.7791412473862</c:v>
                </c:pt>
                <c:pt idx="7">
                  <c:v>115.50361018939577</c:v>
                </c:pt>
                <c:pt idx="8">
                  <c:v>214.70789166712584</c:v>
                </c:pt>
                <c:pt idx="9">
                  <c:v>259.44129094784995</c:v>
                </c:pt>
                <c:pt idx="10">
                  <c:v>54.623501748160493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19.819135667366702</c:v>
                </c:pt>
                <c:pt idx="16">
                  <c:v>40.343449552659116</c:v>
                </c:pt>
                <c:pt idx="17">
                  <c:v>77.011447171807689</c:v>
                </c:pt>
                <c:pt idx="18">
                  <c:v>100.06421103696347</c:v>
                </c:pt>
                <c:pt idx="19">
                  <c:v>137.08484736349038</c:v>
                </c:pt>
                <c:pt idx="20">
                  <c:v>159.45981255019404</c:v>
                </c:pt>
                <c:pt idx="21">
                  <c:v>169.43463190092024</c:v>
                </c:pt>
                <c:pt idx="22">
                  <c:v>147.6193851191511</c:v>
                </c:pt>
                <c:pt idx="23">
                  <c:v>129.98527069040284</c:v>
                </c:pt>
                <c:pt idx="24">
                  <c:v>100.95616721943875</c:v>
                </c:pt>
                <c:pt idx="25">
                  <c:v>74.125969815046787</c:v>
                </c:pt>
                <c:pt idx="26">
                  <c:v>54.020246736842509</c:v>
                </c:pt>
                <c:pt idx="27">
                  <c:v>27.289124861011949</c:v>
                </c:pt>
                <c:pt idx="28">
                  <c:v>14.358968825735683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7-E844-4201-AEDF-4A59F07208D4}"/>
            </c:ext>
          </c:extLst>
        </c:ser>
        <c:ser>
          <c:idx val="8"/>
          <c:order val="8"/>
          <c:tx>
            <c:strRef>
              <c:f>Zorbax_gradient10min!$Q$42</c:f>
              <c:strCache>
                <c:ptCount val="1"/>
                <c:pt idx="0">
                  <c:v>Cl12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Zorbax_gradient10min!$Q$43:$Q$71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660.46285795613198</c:v>
                </c:pt>
                <c:pt idx="4">
                  <c:v>3975.8635544651761</c:v>
                </c:pt>
                <c:pt idx="5">
                  <c:v>8485.4997784102234</c:v>
                </c:pt>
                <c:pt idx="6">
                  <c:v>6466.3339338995902</c:v>
                </c:pt>
                <c:pt idx="7">
                  <c:v>176.94017197600061</c:v>
                </c:pt>
                <c:pt idx="8">
                  <c:v>37.80177305817228</c:v>
                </c:pt>
                <c:pt idx="9">
                  <c:v>69.771546218174421</c:v>
                </c:pt>
                <c:pt idx="10">
                  <c:v>14.066262915840277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17.948600458191351</c:v>
                </c:pt>
                <c:pt idx="20">
                  <c:v>23.36828056541632</c:v>
                </c:pt>
                <c:pt idx="21">
                  <c:v>0</c:v>
                </c:pt>
                <c:pt idx="22">
                  <c:v>34.515269293068243</c:v>
                </c:pt>
                <c:pt idx="23">
                  <c:v>29.861735227221331</c:v>
                </c:pt>
                <c:pt idx="24">
                  <c:v>23.497340176386039</c:v>
                </c:pt>
                <c:pt idx="25">
                  <c:v>0</c:v>
                </c:pt>
                <c:pt idx="26">
                  <c:v>9.5708940956951114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8-E844-4201-AEDF-4A59F07208D4}"/>
            </c:ext>
          </c:extLst>
        </c:ser>
        <c:ser>
          <c:idx val="9"/>
          <c:order val="9"/>
          <c:tx>
            <c:strRef>
              <c:f>Zorbax_gradient10min!$R$42</c:f>
              <c:strCache>
                <c:ptCount val="1"/>
                <c:pt idx="0">
                  <c:v>Cl13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Zorbax_gradient10min!$R$43:$R$71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58.823528940767446</c:v>
                </c:pt>
                <c:pt idx="4">
                  <c:v>1104.9774865300517</c:v>
                </c:pt>
                <c:pt idx="5">
                  <c:v>5221.4865738481094</c:v>
                </c:pt>
                <c:pt idx="6">
                  <c:v>7613.628821498959</c:v>
                </c:pt>
                <c:pt idx="7">
                  <c:v>368.25495551929168</c:v>
                </c:pt>
                <c:pt idx="8">
                  <c:v>11.182492253436207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9-E844-4201-AEDF-4A59F07208D4}"/>
            </c:ext>
          </c:extLst>
        </c:ser>
        <c:ser>
          <c:idx val="10"/>
          <c:order val="10"/>
          <c:tx>
            <c:strRef>
              <c:f>Zorbax_gradient10min!$S$42</c:f>
              <c:strCache>
                <c:ptCount val="1"/>
                <c:pt idx="0">
                  <c:v>Cl14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Zorbax_gradient10min!$S$43:$S$71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103.5122741755147</c:v>
                </c:pt>
                <c:pt idx="5">
                  <c:v>1276.6992703294366</c:v>
                </c:pt>
                <c:pt idx="6">
                  <c:v>3728.8480893768128</c:v>
                </c:pt>
                <c:pt idx="7">
                  <c:v>343.91156613649355</c:v>
                </c:pt>
                <c:pt idx="8">
                  <c:v>18.286438296772015</c:v>
                </c:pt>
                <c:pt idx="9">
                  <c:v>0</c:v>
                </c:pt>
                <c:pt idx="10">
                  <c:v>38.902015093005559</c:v>
                </c:pt>
                <c:pt idx="11">
                  <c:v>38.59652785153768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A-E844-4201-AEDF-4A59F07208D4}"/>
            </c:ext>
          </c:extLst>
        </c:ser>
        <c:ser>
          <c:idx val="11"/>
          <c:order val="11"/>
          <c:tx>
            <c:strRef>
              <c:f>Zorbax_gradient10min!$T$42</c:f>
              <c:strCache>
                <c:ptCount val="1"/>
                <c:pt idx="0">
                  <c:v>Cl15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Zorbax_gradient10min!$T$43:$T$71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106.88744796228782</c:v>
                </c:pt>
                <c:pt idx="6">
                  <c:v>717.12975312220044</c:v>
                </c:pt>
                <c:pt idx="7">
                  <c:v>123.90035320741816</c:v>
                </c:pt>
                <c:pt idx="8">
                  <c:v>12.757956849882296</c:v>
                </c:pt>
                <c:pt idx="9">
                  <c:v>0</c:v>
                </c:pt>
                <c:pt idx="10">
                  <c:v>118.86016623161517</c:v>
                </c:pt>
                <c:pt idx="11">
                  <c:v>229.81786619662373</c:v>
                </c:pt>
                <c:pt idx="12">
                  <c:v>116.46833058603485</c:v>
                </c:pt>
                <c:pt idx="13">
                  <c:v>20.657420746086196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B-E844-4201-AEDF-4A59F07208D4}"/>
            </c:ext>
          </c:extLst>
        </c:ser>
        <c:ser>
          <c:idx val="12"/>
          <c:order val="12"/>
          <c:tx>
            <c:strRef>
              <c:f>Zorbax_gradient10min!$U$42</c:f>
              <c:strCache>
                <c:ptCount val="1"/>
                <c:pt idx="0">
                  <c:v>Cl16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Zorbax_gradient10min!$U$43:$U$71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40.638137799609943</c:v>
                </c:pt>
                <c:pt idx="7">
                  <c:v>9.0004161106072225</c:v>
                </c:pt>
                <c:pt idx="8">
                  <c:v>0</c:v>
                </c:pt>
                <c:pt idx="9">
                  <c:v>0</c:v>
                </c:pt>
                <c:pt idx="10">
                  <c:v>151.97339740004827</c:v>
                </c:pt>
                <c:pt idx="11">
                  <c:v>512.49345347409997</c:v>
                </c:pt>
                <c:pt idx="12">
                  <c:v>476.99346917185756</c:v>
                </c:pt>
                <c:pt idx="13">
                  <c:v>212.73469789744078</c:v>
                </c:pt>
                <c:pt idx="14">
                  <c:v>75.860666954101916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C-E844-4201-AEDF-4A59F07208D4}"/>
            </c:ext>
          </c:extLst>
        </c:ser>
        <c:ser>
          <c:idx val="13"/>
          <c:order val="13"/>
          <c:tx>
            <c:strRef>
              <c:f>Zorbax_gradient10min!$V$42</c:f>
              <c:strCache>
                <c:ptCount val="1"/>
                <c:pt idx="0">
                  <c:v>Cl17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Zorbax_gradient10min!$V$43:$V$71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96.061296517596901</c:v>
                </c:pt>
                <c:pt idx="11">
                  <c:v>570.35897042323711</c:v>
                </c:pt>
                <c:pt idx="12">
                  <c:v>920.74472197453758</c:v>
                </c:pt>
                <c:pt idx="13">
                  <c:v>692.94793006866871</c:v>
                </c:pt>
                <c:pt idx="14">
                  <c:v>460.4630137949386</c:v>
                </c:pt>
                <c:pt idx="15">
                  <c:v>178.89124565096412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D-E844-4201-AEDF-4A59F07208D4}"/>
            </c:ext>
          </c:extLst>
        </c:ser>
        <c:ser>
          <c:idx val="14"/>
          <c:order val="14"/>
          <c:tx>
            <c:strRef>
              <c:f>Zorbax_gradient10min!$W$42</c:f>
              <c:strCache>
                <c:ptCount val="1"/>
                <c:pt idx="0">
                  <c:v>Cl18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Zorbax_gradient10min!$W$43:$W$71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19.381868439433909</c:v>
                </c:pt>
                <c:pt idx="11">
                  <c:v>327.32675964817315</c:v>
                </c:pt>
                <c:pt idx="12">
                  <c:v>907.36612349778306</c:v>
                </c:pt>
                <c:pt idx="13">
                  <c:v>1101.2342769136471</c:v>
                </c:pt>
                <c:pt idx="14">
                  <c:v>1229.209433270963</c:v>
                </c:pt>
                <c:pt idx="15">
                  <c:v>787.48301872343211</c:v>
                </c:pt>
                <c:pt idx="16">
                  <c:v>293.12523877134373</c:v>
                </c:pt>
                <c:pt idx="17">
                  <c:v>59.483149713865359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E-E844-4201-AEDF-4A59F07208D4}"/>
            </c:ext>
          </c:extLst>
        </c:ser>
        <c:ser>
          <c:idx val="15"/>
          <c:order val="15"/>
          <c:tx>
            <c:strRef>
              <c:f>Zorbax_gradient10min!$X$42</c:f>
              <c:strCache>
                <c:ptCount val="1"/>
                <c:pt idx="0">
                  <c:v>Cl19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Zorbax_gradient10min!$X$43:$X$71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89.381506087190644</c:v>
                </c:pt>
                <c:pt idx="12">
                  <c:v>460.6445783872793</c:v>
                </c:pt>
                <c:pt idx="13">
                  <c:v>942.82979928242014</c:v>
                </c:pt>
                <c:pt idx="14">
                  <c:v>1701.2112003523534</c:v>
                </c:pt>
                <c:pt idx="15">
                  <c:v>1768.977528190876</c:v>
                </c:pt>
                <c:pt idx="16">
                  <c:v>1043.0979049704845</c:v>
                </c:pt>
                <c:pt idx="17">
                  <c:v>363.81401402145639</c:v>
                </c:pt>
                <c:pt idx="18">
                  <c:v>110.26562150066826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F-E844-4201-AEDF-4A59F07208D4}"/>
            </c:ext>
          </c:extLst>
        </c:ser>
        <c:ser>
          <c:idx val="16"/>
          <c:order val="16"/>
          <c:tx>
            <c:strRef>
              <c:f>Zorbax_gradient10min!$Y$42</c:f>
              <c:strCache>
                <c:ptCount val="1"/>
                <c:pt idx="0">
                  <c:v>Cl20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Zorbax_gradient10min!$Y$43:$Y$71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114.70522172186527</c:v>
                </c:pt>
                <c:pt idx="13">
                  <c:v>426.98055425284542</c:v>
                </c:pt>
                <c:pt idx="14">
                  <c:v>1277.9622670136562</c:v>
                </c:pt>
                <c:pt idx="15">
                  <c:v>2146.0778135403248</c:v>
                </c:pt>
                <c:pt idx="16">
                  <c:v>2055.648876854676</c:v>
                </c:pt>
                <c:pt idx="17">
                  <c:v>1116.1621130724204</c:v>
                </c:pt>
                <c:pt idx="18">
                  <c:v>603.52736103268398</c:v>
                </c:pt>
                <c:pt idx="19">
                  <c:v>90.947014229772947</c:v>
                </c:pt>
                <c:pt idx="20">
                  <c:v>8.6649258125455066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0-E844-4201-AEDF-4A59F07208D4}"/>
            </c:ext>
          </c:extLst>
        </c:ser>
        <c:ser>
          <c:idx val="17"/>
          <c:order val="17"/>
          <c:tx>
            <c:strRef>
              <c:f>Zorbax_gradient10min!$Z$42</c:f>
              <c:strCache>
                <c:ptCount val="1"/>
                <c:pt idx="0">
                  <c:v>Cl21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Zorbax_gradient10min!$Z$43:$Z$71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103.70720075060031</c:v>
                </c:pt>
                <c:pt idx="14">
                  <c:v>581.40181080267314</c:v>
                </c:pt>
                <c:pt idx="15">
                  <c:v>1589.4721710459587</c:v>
                </c:pt>
                <c:pt idx="16">
                  <c:v>2393.7067406192496</c:v>
                </c:pt>
                <c:pt idx="17">
                  <c:v>2046.1423060527104</c:v>
                </c:pt>
                <c:pt idx="18">
                  <c:v>1741.1685995677312</c:v>
                </c:pt>
                <c:pt idx="19">
                  <c:v>416.14844301802538</c:v>
                </c:pt>
                <c:pt idx="20">
                  <c:v>146.806064263824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1-E844-4201-AEDF-4A59F07208D4}"/>
            </c:ext>
          </c:extLst>
        </c:ser>
        <c:ser>
          <c:idx val="18"/>
          <c:order val="18"/>
          <c:tx>
            <c:strRef>
              <c:f>Zorbax_gradient10min!$AA$42</c:f>
              <c:strCache>
                <c:ptCount val="1"/>
                <c:pt idx="0">
                  <c:v>Cl22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Zorbax_gradient10min!$AA$43:$AA$71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144.55190104690379</c:v>
                </c:pt>
                <c:pt idx="15">
                  <c:v>700.91107748098989</c:v>
                </c:pt>
                <c:pt idx="16">
                  <c:v>1736.4427104168062</c:v>
                </c:pt>
                <c:pt idx="17">
                  <c:v>2276.6045087352768</c:v>
                </c:pt>
                <c:pt idx="18">
                  <c:v>3086.2535409776829</c:v>
                </c:pt>
                <c:pt idx="19">
                  <c:v>1099.0187398573644</c:v>
                </c:pt>
                <c:pt idx="20">
                  <c:v>617.64295342180492</c:v>
                </c:pt>
                <c:pt idx="21">
                  <c:v>112.74673003871654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2-E844-4201-AEDF-4A59F07208D4}"/>
            </c:ext>
          </c:extLst>
        </c:ser>
        <c:ser>
          <c:idx val="19"/>
          <c:order val="19"/>
          <c:tx>
            <c:strRef>
              <c:f>Zorbax_gradient10min!$AB$42</c:f>
              <c:strCache>
                <c:ptCount val="1"/>
                <c:pt idx="0">
                  <c:v>Cl23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Zorbax_gradient10min!$AB$43:$AB$71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174.93965489855319</c:v>
                </c:pt>
                <c:pt idx="16">
                  <c:v>772.29906282041634</c:v>
                </c:pt>
                <c:pt idx="17">
                  <c:v>1635.7772253310807</c:v>
                </c:pt>
                <c:pt idx="18">
                  <c:v>3502.5582418655581</c:v>
                </c:pt>
                <c:pt idx="19">
                  <c:v>1865.9320569341901</c:v>
                </c:pt>
                <c:pt idx="20">
                  <c:v>1577.2785975944198</c:v>
                </c:pt>
                <c:pt idx="21">
                  <c:v>437.27453083911593</c:v>
                </c:pt>
                <c:pt idx="22">
                  <c:v>125.71340831558126</c:v>
                </c:pt>
                <c:pt idx="23">
                  <c:v>10.123179084856412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3-E844-4201-AEDF-4A59F07208D4}"/>
            </c:ext>
          </c:extLst>
        </c:ser>
        <c:ser>
          <c:idx val="20"/>
          <c:order val="20"/>
          <c:tx>
            <c:strRef>
              <c:f>Zorbax_gradient10min!$AC$42</c:f>
              <c:strCache>
                <c:ptCount val="1"/>
                <c:pt idx="0">
                  <c:v>Cl24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Zorbax_gradient10min!$AC$43:$AC$71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201.37415549950916</c:v>
                </c:pt>
                <c:pt idx="17">
                  <c:v>748.01836826447811</c:v>
                </c:pt>
                <c:pt idx="18">
                  <c:v>2530.5284051437702</c:v>
                </c:pt>
                <c:pt idx="19">
                  <c:v>1994.4555760321416</c:v>
                </c:pt>
                <c:pt idx="20">
                  <c:v>2498.8043157417364</c:v>
                </c:pt>
                <c:pt idx="21">
                  <c:v>1015.283047255193</c:v>
                </c:pt>
                <c:pt idx="22">
                  <c:v>461.25001876239833</c:v>
                </c:pt>
                <c:pt idx="23">
                  <c:v>118.24772588837732</c:v>
                </c:pt>
                <c:pt idx="24">
                  <c:v>15.327545676946349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4-E844-4201-AEDF-4A59F07208D4}"/>
            </c:ext>
          </c:extLst>
        </c:ser>
        <c:ser>
          <c:idx val="21"/>
          <c:order val="21"/>
          <c:tx>
            <c:strRef>
              <c:f>Zorbax_gradient10min!$AD$42</c:f>
              <c:strCache>
                <c:ptCount val="1"/>
                <c:pt idx="0">
                  <c:v>Cl25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Zorbax_gradient10min!$AD$43:$AD$71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177.81263021039337</c:v>
                </c:pt>
                <c:pt idx="18">
                  <c:v>1151.1777876207263</c:v>
                </c:pt>
                <c:pt idx="19">
                  <c:v>1304.1295738694455</c:v>
                </c:pt>
                <c:pt idx="20">
                  <c:v>2540.4094228706413</c:v>
                </c:pt>
                <c:pt idx="21">
                  <c:v>1428.8835395370811</c:v>
                </c:pt>
                <c:pt idx="22">
                  <c:v>926.26628475197117</c:v>
                </c:pt>
                <c:pt idx="23">
                  <c:v>360.72972137789327</c:v>
                </c:pt>
                <c:pt idx="24">
                  <c:v>98.180522712377908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5-E844-4201-AEDF-4A59F07208D4}"/>
            </c:ext>
          </c:extLst>
        </c:ser>
        <c:ser>
          <c:idx val="22"/>
          <c:order val="22"/>
          <c:tx>
            <c:strRef>
              <c:f>Zorbax_gradient10min!$AE$42</c:f>
              <c:strCache>
                <c:ptCount val="1"/>
                <c:pt idx="0">
                  <c:v>Cl26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Zorbax_gradient10min!$AE$43:$AE$71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307.18358432167008</c:v>
                </c:pt>
                <c:pt idx="19">
                  <c:v>538.59087113012629</c:v>
                </c:pt>
                <c:pt idx="20">
                  <c:v>1630.2101647036143</c:v>
                </c:pt>
                <c:pt idx="21">
                  <c:v>1315.3135968167221</c:v>
                </c:pt>
                <c:pt idx="22">
                  <c:v>1207.2283987912513</c:v>
                </c:pt>
                <c:pt idx="23">
                  <c:v>665.53248293990987</c:v>
                </c:pt>
                <c:pt idx="24">
                  <c:v>289.2824614223843</c:v>
                </c:pt>
                <c:pt idx="25">
                  <c:v>57.585378115522801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6-E844-4201-AEDF-4A59F07208D4}"/>
            </c:ext>
          </c:extLst>
        </c:ser>
        <c:ser>
          <c:idx val="23"/>
          <c:order val="23"/>
          <c:tx>
            <c:strRef>
              <c:f>Zorbax_gradient10min!$AF$42</c:f>
              <c:strCache>
                <c:ptCount val="1"/>
                <c:pt idx="0">
                  <c:v>Cl27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Zorbax_gradient10min!$AF$43:$AF$71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32.913410055151772</c:v>
                </c:pt>
                <c:pt idx="19">
                  <c:v>0</c:v>
                </c:pt>
                <c:pt idx="20">
                  <c:v>674.72442505956212</c:v>
                </c:pt>
                <c:pt idx="21">
                  <c:v>799.56550196395312</c:v>
                </c:pt>
                <c:pt idx="22">
                  <c:v>1026.4498114367775</c:v>
                </c:pt>
                <c:pt idx="23">
                  <c:v>815.63620571215665</c:v>
                </c:pt>
                <c:pt idx="24">
                  <c:v>493.28059541352246</c:v>
                </c:pt>
                <c:pt idx="25">
                  <c:v>201.71197745047883</c:v>
                </c:pt>
                <c:pt idx="26">
                  <c:v>46.284841555481414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7-E844-4201-AEDF-4A59F07208D4}"/>
            </c:ext>
          </c:extLst>
        </c:ser>
        <c:ser>
          <c:idx val="24"/>
          <c:order val="24"/>
          <c:tx>
            <c:strRef>
              <c:f>Zorbax_gradient10min!$AG$42</c:f>
              <c:strCache>
                <c:ptCount val="1"/>
                <c:pt idx="0">
                  <c:v>Cl28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Zorbax_gradient10min!$AG$43:$AG$71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156.38770937149786</c:v>
                </c:pt>
                <c:pt idx="21">
                  <c:v>299.28745448736299</c:v>
                </c:pt>
                <c:pt idx="22">
                  <c:v>600.15842006551145</c:v>
                </c:pt>
                <c:pt idx="23">
                  <c:v>684.3764312395308</c:v>
                </c:pt>
                <c:pt idx="24">
                  <c:v>555.66451728714844</c:v>
                </c:pt>
                <c:pt idx="25">
                  <c:v>304.69129393066373</c:v>
                </c:pt>
                <c:pt idx="26">
                  <c:v>115.95434474229958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8-E844-4201-AEDF-4A59F07208D4}"/>
            </c:ext>
          </c:extLst>
        </c:ser>
        <c:ser>
          <c:idx val="25"/>
          <c:order val="25"/>
          <c:tx>
            <c:strRef>
              <c:f>Zorbax_gradient10min!$AH$42</c:f>
              <c:strCache>
                <c:ptCount val="1"/>
                <c:pt idx="0">
                  <c:v>Cl29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Zorbax_gradient10min!$AH$43:$AH$71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13.479219589919657</c:v>
                </c:pt>
                <c:pt idx="21">
                  <c:v>57.086013297157322</c:v>
                </c:pt>
                <c:pt idx="22">
                  <c:v>209.26065797925583</c:v>
                </c:pt>
                <c:pt idx="23">
                  <c:v>369.22019845367038</c:v>
                </c:pt>
                <c:pt idx="24">
                  <c:v>415.70777839418355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9-E844-4201-AEDF-4A59F07208D4}"/>
            </c:ext>
          </c:extLst>
        </c:ser>
        <c:ser>
          <c:idx val="26"/>
          <c:order val="26"/>
          <c:tx>
            <c:strRef>
              <c:f>Zorbax_gradient10min!$AI$42</c:f>
              <c:strCache>
                <c:ptCount val="1"/>
                <c:pt idx="0">
                  <c:v>Cl30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Zorbax_gradient10min!$AI$43:$AI$71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33.486401059040077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A-E844-4201-AEDF-4A59F0720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shape val="box"/>
        <c:axId val="650780728"/>
        <c:axId val="650772200"/>
        <c:axId val="335469696"/>
      </c:bar3DChart>
      <c:catAx>
        <c:axId val="650780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50772200"/>
        <c:crosses val="autoZero"/>
        <c:auto val="1"/>
        <c:lblAlgn val="ctr"/>
        <c:lblOffset val="100"/>
        <c:noMultiLvlLbl val="0"/>
      </c:catAx>
      <c:valAx>
        <c:axId val="65077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Intensity (x10</a:t>
                </a:r>
                <a:r>
                  <a:rPr lang="en-GB" baseline="30000"/>
                  <a:t>6</a:t>
                </a:r>
                <a:r>
                  <a:rPr lang="en-GB"/>
                  <a:t>)</a:t>
                </a:r>
              </a:p>
            </c:rich>
          </c:tx>
          <c:layout>
            <c:manualLayout>
              <c:xMode val="edge"/>
              <c:yMode val="edge"/>
              <c:x val="0.12548890479599142"/>
              <c:y val="0.48060038413565653"/>
            </c:manualLayout>
          </c:layout>
          <c:overlay val="0"/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50780728"/>
        <c:crosses val="autoZero"/>
        <c:crossBetween val="between"/>
      </c:valAx>
      <c:serAx>
        <c:axId val="335469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50772200"/>
        <c:crosses val="autoZero"/>
      </c:serAx>
      <c:spPr>
        <a:noFill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fr-FR"/>
              <a:t>Sample name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15"/>
      <c:rotY val="9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9150151685584754E-2"/>
          <c:y val="7.5607538853561668E-2"/>
          <c:w val="0.91376752905886749"/>
          <c:h val="0.8169671648186833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Zorbax_gradient10min!$AL$42</c:f>
              <c:strCache>
                <c:ptCount val="1"/>
                <c:pt idx="0">
                  <c:v>Cl04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Zorbax_gradient10min!$AL$43:$AL$71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0.17569952956924262</c:v>
                </c:pt>
                <c:pt idx="7">
                  <c:v>0.17868926455952894</c:v>
                </c:pt>
                <c:pt idx="8">
                  <c:v>0.16622109341878427</c:v>
                </c:pt>
                <c:pt idx="9">
                  <c:v>7.7054517640925857E-2</c:v>
                </c:pt>
                <c:pt idx="10">
                  <c:v>0</c:v>
                </c:pt>
                <c:pt idx="11">
                  <c:v>0</c:v>
                </c:pt>
                <c:pt idx="12">
                  <c:v>0.15219809123685352</c:v>
                </c:pt>
                <c:pt idx="13">
                  <c:v>0.50556001081376367</c:v>
                </c:pt>
                <c:pt idx="14">
                  <c:v>0.82329508901719195</c:v>
                </c:pt>
                <c:pt idx="15">
                  <c:v>0.70812705028959666</c:v>
                </c:pt>
                <c:pt idx="16">
                  <c:v>0.59888878388544986</c:v>
                </c:pt>
                <c:pt idx="17">
                  <c:v>0.49974608094387712</c:v>
                </c:pt>
                <c:pt idx="18">
                  <c:v>0.39508795495443166</c:v>
                </c:pt>
                <c:pt idx="19">
                  <c:v>0.27003194910327299</c:v>
                </c:pt>
                <c:pt idx="20">
                  <c:v>0.18278348809359907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FB12-4C0E-9E39-3DE38F30A622}"/>
            </c:ext>
          </c:extLst>
        </c:ser>
        <c:ser>
          <c:idx val="1"/>
          <c:order val="1"/>
          <c:tx>
            <c:strRef>
              <c:f>Zorbax_gradient10min!$AM$42</c:f>
              <c:strCache>
                <c:ptCount val="1"/>
                <c:pt idx="0">
                  <c:v>Cl05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Zorbax_gradient10min!$AM$43:$AM$71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0.34339314985794916</c:v>
                </c:pt>
                <c:pt idx="3">
                  <c:v>1.921588662389766</c:v>
                </c:pt>
                <c:pt idx="4">
                  <c:v>1.6390113003252806</c:v>
                </c:pt>
                <c:pt idx="5">
                  <c:v>0.38736721016594372</c:v>
                </c:pt>
                <c:pt idx="6">
                  <c:v>3.8466967984042553</c:v>
                </c:pt>
                <c:pt idx="7">
                  <c:v>3.2919665830307561</c:v>
                </c:pt>
                <c:pt idx="8">
                  <c:v>2.6496796254079023</c:v>
                </c:pt>
                <c:pt idx="9">
                  <c:v>1.1769828983287853</c:v>
                </c:pt>
                <c:pt idx="10">
                  <c:v>0.14054199748959351</c:v>
                </c:pt>
                <c:pt idx="11">
                  <c:v>3.9055710641163886E-2</c:v>
                </c:pt>
                <c:pt idx="12">
                  <c:v>0.54276647978988535</c:v>
                </c:pt>
                <c:pt idx="13">
                  <c:v>1.9703654720202364</c:v>
                </c:pt>
                <c:pt idx="14">
                  <c:v>3.2418653875499244</c:v>
                </c:pt>
                <c:pt idx="15">
                  <c:v>3.38742989422013</c:v>
                </c:pt>
                <c:pt idx="16">
                  <c:v>2.774815790268383</c:v>
                </c:pt>
                <c:pt idx="17">
                  <c:v>2.274225562726949</c:v>
                </c:pt>
                <c:pt idx="18">
                  <c:v>1.6620077911499629</c:v>
                </c:pt>
                <c:pt idx="19">
                  <c:v>1.4997083865478571</c:v>
                </c:pt>
                <c:pt idx="20">
                  <c:v>1.0645507357179766</c:v>
                </c:pt>
                <c:pt idx="21">
                  <c:v>0.77172913697667045</c:v>
                </c:pt>
                <c:pt idx="22">
                  <c:v>0.51358754328466616</c:v>
                </c:pt>
                <c:pt idx="23">
                  <c:v>0.3742885444386202</c:v>
                </c:pt>
                <c:pt idx="24">
                  <c:v>0.27003479822704779</c:v>
                </c:pt>
                <c:pt idx="25">
                  <c:v>0.20729407390221904</c:v>
                </c:pt>
                <c:pt idx="26">
                  <c:v>0.12994229662730405</c:v>
                </c:pt>
                <c:pt idx="27">
                  <c:v>8.0878221546477863E-2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1-FB12-4C0E-9E39-3DE38F30A622}"/>
            </c:ext>
          </c:extLst>
        </c:ser>
        <c:ser>
          <c:idx val="2"/>
          <c:order val="2"/>
          <c:tx>
            <c:strRef>
              <c:f>Zorbax_gradient10min!$AN$42</c:f>
              <c:strCache>
                <c:ptCount val="1"/>
                <c:pt idx="0">
                  <c:v>Cl06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Zorbax_gradient10min!$AN$43:$AN$71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2.0811455734529285</c:v>
                </c:pt>
                <c:pt idx="3">
                  <c:v>12.985282235082032</c:v>
                </c:pt>
                <c:pt idx="4">
                  <c:v>14.120842540162684</c:v>
                </c:pt>
                <c:pt idx="5">
                  <c:v>2.22386930604815</c:v>
                </c:pt>
                <c:pt idx="6">
                  <c:v>6.6733656154564356</c:v>
                </c:pt>
                <c:pt idx="7">
                  <c:v>7.7800802321384133</c:v>
                </c:pt>
                <c:pt idx="8">
                  <c:v>6.7340418183311543</c:v>
                </c:pt>
                <c:pt idx="9">
                  <c:v>3.6281430389051357</c:v>
                </c:pt>
                <c:pt idx="10">
                  <c:v>0.51128846643170034</c:v>
                </c:pt>
                <c:pt idx="11">
                  <c:v>3.9726151696513917E-2</c:v>
                </c:pt>
                <c:pt idx="12">
                  <c:v>0.6324136758661707</c:v>
                </c:pt>
                <c:pt idx="13">
                  <c:v>2.7489842090825021</c:v>
                </c:pt>
                <c:pt idx="14">
                  <c:v>5.3110484082917724</c:v>
                </c:pt>
                <c:pt idx="15">
                  <c:v>6.8722210923037146</c:v>
                </c:pt>
                <c:pt idx="16">
                  <c:v>6.594410647605832</c:v>
                </c:pt>
                <c:pt idx="17">
                  <c:v>5.873079853884331</c:v>
                </c:pt>
                <c:pt idx="18">
                  <c:v>5.1148187739586977</c:v>
                </c:pt>
                <c:pt idx="19">
                  <c:v>4.1658333364795519</c:v>
                </c:pt>
                <c:pt idx="20">
                  <c:v>3.1062358565847505</c:v>
                </c:pt>
                <c:pt idx="21">
                  <c:v>2.2755132782163527</c:v>
                </c:pt>
                <c:pt idx="22">
                  <c:v>1.4687878189472956</c:v>
                </c:pt>
                <c:pt idx="23">
                  <c:v>1.0286028511169372</c:v>
                </c:pt>
                <c:pt idx="24">
                  <c:v>0.66266816695171094</c:v>
                </c:pt>
                <c:pt idx="25">
                  <c:v>0.4346564629548692</c:v>
                </c:pt>
                <c:pt idx="26">
                  <c:v>0.31259612960113103</c:v>
                </c:pt>
                <c:pt idx="27">
                  <c:v>0.19978548122701476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2-FB12-4C0E-9E39-3DE38F30A622}"/>
            </c:ext>
          </c:extLst>
        </c:ser>
        <c:ser>
          <c:idx val="3"/>
          <c:order val="3"/>
          <c:tx>
            <c:strRef>
              <c:f>Zorbax_gradient10min!$AO$42</c:f>
              <c:strCache>
                <c:ptCount val="1"/>
                <c:pt idx="0">
                  <c:v>Cl07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Zorbax_gradient10min!$AO$43:$AO$71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1.78000151924484</c:v>
                </c:pt>
                <c:pt idx="3">
                  <c:v>13.937356528688714</c:v>
                </c:pt>
                <c:pt idx="4">
                  <c:v>24.401205233139322</c:v>
                </c:pt>
                <c:pt idx="5">
                  <c:v>5.5089331997257167</c:v>
                </c:pt>
                <c:pt idx="6">
                  <c:v>5.1307877776167734</c:v>
                </c:pt>
                <c:pt idx="7">
                  <c:v>6.9386156530224934</c:v>
                </c:pt>
                <c:pt idx="8">
                  <c:v>7.1627943250709087</c:v>
                </c:pt>
                <c:pt idx="9">
                  <c:v>5.169310033275349</c:v>
                </c:pt>
                <c:pt idx="10">
                  <c:v>0.86859696041114332</c:v>
                </c:pt>
                <c:pt idx="11">
                  <c:v>0</c:v>
                </c:pt>
                <c:pt idx="12">
                  <c:v>0.51372667489623891</c:v>
                </c:pt>
                <c:pt idx="13">
                  <c:v>2.4506515092099139</c:v>
                </c:pt>
                <c:pt idx="14">
                  <c:v>5.46237084363832</c:v>
                </c:pt>
                <c:pt idx="15">
                  <c:v>8.0064072310950447</c:v>
                </c:pt>
                <c:pt idx="16">
                  <c:v>8.7741820882663628</c:v>
                </c:pt>
                <c:pt idx="17">
                  <c:v>8.3266142916325432</c:v>
                </c:pt>
                <c:pt idx="18">
                  <c:v>7.4053543552787824</c:v>
                </c:pt>
                <c:pt idx="19">
                  <c:v>6.25376309616607</c:v>
                </c:pt>
                <c:pt idx="20">
                  <c:v>4.8655931535519796</c:v>
                </c:pt>
                <c:pt idx="21">
                  <c:v>3.6982510797899337</c:v>
                </c:pt>
                <c:pt idx="22">
                  <c:v>2.4571255544921065</c:v>
                </c:pt>
                <c:pt idx="23">
                  <c:v>1.6920329650130985</c:v>
                </c:pt>
                <c:pt idx="24">
                  <c:v>1.0464997616837548</c:v>
                </c:pt>
                <c:pt idx="25">
                  <c:v>0.71689996372688003</c:v>
                </c:pt>
                <c:pt idx="26">
                  <c:v>0.44757083033240658</c:v>
                </c:pt>
                <c:pt idx="27">
                  <c:v>0.29672287046008516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3-FB12-4C0E-9E39-3DE38F30A622}"/>
            </c:ext>
          </c:extLst>
        </c:ser>
        <c:ser>
          <c:idx val="4"/>
          <c:order val="4"/>
          <c:tx>
            <c:strRef>
              <c:f>Zorbax_gradient10min!$AP$42</c:f>
              <c:strCache>
                <c:ptCount val="1"/>
                <c:pt idx="0">
                  <c:v>Cl08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Zorbax_gradient10min!$AP$43:$AP$71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1.8514063031093584</c:v>
                </c:pt>
                <c:pt idx="3">
                  <c:v>5.7061198946243437</c:v>
                </c:pt>
                <c:pt idx="4">
                  <c:v>15.079576518949848</c:v>
                </c:pt>
                <c:pt idx="5">
                  <c:v>5.7958877036304388</c:v>
                </c:pt>
                <c:pt idx="6">
                  <c:v>3.1762462494143828</c:v>
                </c:pt>
                <c:pt idx="7">
                  <c:v>3.5022838290553886</c:v>
                </c:pt>
                <c:pt idx="8">
                  <c:v>4.7550239144972171</c:v>
                </c:pt>
                <c:pt idx="9">
                  <c:v>4.3826863762758625</c:v>
                </c:pt>
                <c:pt idx="10">
                  <c:v>0.86518708602299688</c:v>
                </c:pt>
                <c:pt idx="11">
                  <c:v>0</c:v>
                </c:pt>
                <c:pt idx="12">
                  <c:v>0.22103640485548959</c:v>
                </c:pt>
                <c:pt idx="13">
                  <c:v>1.1895277819005836</c:v>
                </c:pt>
                <c:pt idx="14">
                  <c:v>3.003762888728331</c:v>
                </c:pt>
                <c:pt idx="15">
                  <c:v>4.9534708311044717</c:v>
                </c:pt>
                <c:pt idx="16">
                  <c:v>6.0683045479323177</c:v>
                </c:pt>
                <c:pt idx="17">
                  <c:v>6.4250821611618552</c:v>
                </c:pt>
                <c:pt idx="18">
                  <c:v>6.2267718214323144</c:v>
                </c:pt>
                <c:pt idx="19">
                  <c:v>5.5396893910630229</c:v>
                </c:pt>
                <c:pt idx="20">
                  <c:v>4.6706458965692077</c:v>
                </c:pt>
                <c:pt idx="21">
                  <c:v>3.7718625219957858</c:v>
                </c:pt>
                <c:pt idx="22">
                  <c:v>2.6501430463108919</c:v>
                </c:pt>
                <c:pt idx="23">
                  <c:v>1.8741492504896142</c:v>
                </c:pt>
                <c:pt idx="24">
                  <c:v>1.2485822418106765</c:v>
                </c:pt>
                <c:pt idx="25">
                  <c:v>0.83661023158401593</c:v>
                </c:pt>
                <c:pt idx="26">
                  <c:v>0.49678438789057472</c:v>
                </c:pt>
                <c:pt idx="27">
                  <c:v>0.33073954863668953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4-FB12-4C0E-9E39-3DE38F30A622}"/>
            </c:ext>
          </c:extLst>
        </c:ser>
        <c:ser>
          <c:idx val="5"/>
          <c:order val="5"/>
          <c:tx>
            <c:strRef>
              <c:f>Zorbax_gradient10min!$AQ$42</c:f>
              <c:strCache>
                <c:ptCount val="1"/>
                <c:pt idx="0">
                  <c:v>Cl09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Zorbax_gradient10min!$AQ$43:$AQ$71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3.3470902546319361</c:v>
                </c:pt>
                <c:pt idx="3">
                  <c:v>5.7203061420632055</c:v>
                </c:pt>
                <c:pt idx="4">
                  <c:v>6.3407804205218463</c:v>
                </c:pt>
                <c:pt idx="5">
                  <c:v>3.3288632786246541</c:v>
                </c:pt>
                <c:pt idx="6">
                  <c:v>1.636283505911035</c:v>
                </c:pt>
                <c:pt idx="7">
                  <c:v>1.7811657532271754</c:v>
                </c:pt>
                <c:pt idx="8">
                  <c:v>2.8508848198671037</c:v>
                </c:pt>
                <c:pt idx="9">
                  <c:v>2.6585409911367042</c:v>
                </c:pt>
                <c:pt idx="10">
                  <c:v>0.53073291258511801</c:v>
                </c:pt>
                <c:pt idx="11">
                  <c:v>0</c:v>
                </c:pt>
                <c:pt idx="12">
                  <c:v>3.982528689804473E-2</c:v>
                </c:pt>
                <c:pt idx="13">
                  <c:v>0.32131426838196364</c:v>
                </c:pt>
                <c:pt idx="14">
                  <c:v>0.92993584189984391</c:v>
                </c:pt>
                <c:pt idx="15">
                  <c:v>1.7700148905353592</c:v>
                </c:pt>
                <c:pt idx="16">
                  <c:v>2.5328851513429504</c:v>
                </c:pt>
                <c:pt idx="17">
                  <c:v>3.0142438579336055</c:v>
                </c:pt>
                <c:pt idx="18">
                  <c:v>3.3170061487528497</c:v>
                </c:pt>
                <c:pt idx="19">
                  <c:v>3.2490352080403233</c:v>
                </c:pt>
                <c:pt idx="20">
                  <c:v>2.9386384543287938</c:v>
                </c:pt>
                <c:pt idx="21">
                  <c:v>2.5926270323537559</c:v>
                </c:pt>
                <c:pt idx="22">
                  <c:v>1.9322056760229183</c:v>
                </c:pt>
                <c:pt idx="23">
                  <c:v>1.507649039790931</c:v>
                </c:pt>
                <c:pt idx="24">
                  <c:v>1.0271667502578223</c:v>
                </c:pt>
                <c:pt idx="25">
                  <c:v>0.70862859684396029</c:v>
                </c:pt>
                <c:pt idx="26">
                  <c:v>0.43306132903326477</c:v>
                </c:pt>
                <c:pt idx="27">
                  <c:v>0.265844960900604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5-FB12-4C0E-9E39-3DE38F30A622}"/>
            </c:ext>
          </c:extLst>
        </c:ser>
        <c:ser>
          <c:idx val="6"/>
          <c:order val="6"/>
          <c:tx>
            <c:strRef>
              <c:f>Zorbax_gradient10min!$AR$42</c:f>
              <c:strCache>
                <c:ptCount val="1"/>
                <c:pt idx="0">
                  <c:v>Cl10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Zorbax_gradient10min!$AR$43:$AR$71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2.3511448152209597</c:v>
                </c:pt>
                <c:pt idx="3">
                  <c:v>9.5510580667902136</c:v>
                </c:pt>
                <c:pt idx="4">
                  <c:v>11.11066931980646</c:v>
                </c:pt>
                <c:pt idx="5">
                  <c:v>4.8791744624006963</c:v>
                </c:pt>
                <c:pt idx="6">
                  <c:v>1.2036863885261455</c:v>
                </c:pt>
                <c:pt idx="7">
                  <c:v>0.81719340862593004</c:v>
                </c:pt>
                <c:pt idx="8">
                  <c:v>1.4980823399920429</c:v>
                </c:pt>
                <c:pt idx="9">
                  <c:v>1.4690534505032009</c:v>
                </c:pt>
                <c:pt idx="10">
                  <c:v>0.27359646903599266</c:v>
                </c:pt>
                <c:pt idx="11">
                  <c:v>0</c:v>
                </c:pt>
                <c:pt idx="12">
                  <c:v>0</c:v>
                </c:pt>
                <c:pt idx="13">
                  <c:v>3.3844713127299052E-2</c:v>
                </c:pt>
                <c:pt idx="14">
                  <c:v>0.17522638893200551</c:v>
                </c:pt>
                <c:pt idx="15">
                  <c:v>0.41279035403365616</c:v>
                </c:pt>
                <c:pt idx="16">
                  <c:v>0.66143877434792975</c:v>
                </c:pt>
                <c:pt idx="17">
                  <c:v>0.93255996720846668</c:v>
                </c:pt>
                <c:pt idx="18">
                  <c:v>1.1667209783782808</c:v>
                </c:pt>
                <c:pt idx="19">
                  <c:v>1.2994321241255375</c:v>
                </c:pt>
                <c:pt idx="20">
                  <c:v>1.254116129806961</c:v>
                </c:pt>
                <c:pt idx="21">
                  <c:v>1.2432677998313837</c:v>
                </c:pt>
                <c:pt idx="22">
                  <c:v>0.98677458680469177</c:v>
                </c:pt>
                <c:pt idx="23">
                  <c:v>0.83842380559696628</c:v>
                </c:pt>
                <c:pt idx="24">
                  <c:v>0.61225123544579718</c:v>
                </c:pt>
                <c:pt idx="25">
                  <c:v>0.43227060021008107</c:v>
                </c:pt>
                <c:pt idx="26">
                  <c:v>0.27291872667763339</c:v>
                </c:pt>
                <c:pt idx="27">
                  <c:v>0.18072189493572546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6-FB12-4C0E-9E39-3DE38F30A622}"/>
            </c:ext>
          </c:extLst>
        </c:ser>
        <c:ser>
          <c:idx val="7"/>
          <c:order val="7"/>
          <c:tx>
            <c:strRef>
              <c:f>Zorbax_gradient10min!$AS$42</c:f>
              <c:strCache>
                <c:ptCount val="1"/>
                <c:pt idx="0">
                  <c:v>Cl11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Zorbax_gradient10min!$AS$43:$AS$71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0.66180546399195028</c:v>
                </c:pt>
                <c:pt idx="3">
                  <c:v>6.8156930943348133</c:v>
                </c:pt>
                <c:pt idx="4">
                  <c:v>15.716652396164443</c:v>
                </c:pt>
                <c:pt idx="5">
                  <c:v>14.763085878121387</c:v>
                </c:pt>
                <c:pt idx="6">
                  <c:v>5.567212715240383</c:v>
                </c:pt>
                <c:pt idx="7">
                  <c:v>0.285313301349784</c:v>
                </c:pt>
                <c:pt idx="8">
                  <c:v>0.53036452537674494</c:v>
                </c:pt>
                <c:pt idx="9">
                  <c:v>0.6408635289009933</c:v>
                </c:pt>
                <c:pt idx="10">
                  <c:v>0.13492921640716118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4.8956591208564625E-2</c:v>
                </c:pt>
                <c:pt idx="16">
                  <c:v>9.9655090960649506E-2</c:v>
                </c:pt>
                <c:pt idx="17">
                  <c:v>0.19023119881953432</c:v>
                </c:pt>
                <c:pt idx="18">
                  <c:v>0.24717539435437186</c:v>
                </c:pt>
                <c:pt idx="19">
                  <c:v>0.33862257900142678</c:v>
                </c:pt>
                <c:pt idx="20">
                  <c:v>0.39389249805016491</c:v>
                </c:pt>
                <c:pt idx="21">
                  <c:v>0.41853197585225949</c:v>
                </c:pt>
                <c:pt idx="22">
                  <c:v>0.3646446551974265</c:v>
                </c:pt>
                <c:pt idx="23">
                  <c:v>0.32108543314543958</c:v>
                </c:pt>
                <c:pt idx="24">
                  <c:v>0.2493786758159996</c:v>
                </c:pt>
                <c:pt idx="25">
                  <c:v>0.18310358549837871</c:v>
                </c:pt>
                <c:pt idx="26">
                  <c:v>0.13343907528903759</c:v>
                </c:pt>
                <c:pt idx="27">
                  <c:v>6.7408718154132657E-2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7-FB12-4C0E-9E39-3DE38F30A622}"/>
            </c:ext>
          </c:extLst>
        </c:ser>
        <c:ser>
          <c:idx val="8"/>
          <c:order val="8"/>
          <c:tx>
            <c:strRef>
              <c:f>Zorbax_gradient10min!$AT$42</c:f>
              <c:strCache>
                <c:ptCount val="1"/>
                <c:pt idx="0">
                  <c:v>Cl12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Zorbax_gradient10min!$AT$43:$AT$71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1.6314541001219525</c:v>
                </c:pt>
                <c:pt idx="4">
                  <c:v>9.8210502215530813</c:v>
                </c:pt>
                <c:pt idx="5">
                  <c:v>20.960608516142749</c:v>
                </c:pt>
                <c:pt idx="6">
                  <c:v>15.972930017389263</c:v>
                </c:pt>
                <c:pt idx="7">
                  <c:v>0.43707191944123386</c:v>
                </c:pt>
                <c:pt idx="8">
                  <c:v>9.3376723467061301E-2</c:v>
                </c:pt>
                <c:pt idx="9">
                  <c:v>0.17234742844093365</c:v>
                </c:pt>
                <c:pt idx="10">
                  <c:v>3.4746030046954181E-2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4.4336055322753622E-2</c:v>
                </c:pt>
                <c:pt idx="20">
                  <c:v>5.7723574735493777E-2</c:v>
                </c:pt>
                <c:pt idx="21">
                  <c:v>0</c:v>
                </c:pt>
                <c:pt idx="22">
                  <c:v>8.5258507615775164E-2</c:v>
                </c:pt>
                <c:pt idx="23">
                  <c:v>7.3763497502295952E-2</c:v>
                </c:pt>
                <c:pt idx="24">
                  <c:v>5.804237363378198E-2</c:v>
                </c:pt>
                <c:pt idx="25">
                  <c:v>0</c:v>
                </c:pt>
                <c:pt idx="26">
                  <c:v>2.3641714634151149E-2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8-FB12-4C0E-9E39-3DE38F30A622}"/>
            </c:ext>
          </c:extLst>
        </c:ser>
        <c:ser>
          <c:idx val="9"/>
          <c:order val="9"/>
          <c:tx>
            <c:strRef>
              <c:f>Zorbax_gradient10min!$AU$42</c:f>
              <c:strCache>
                <c:ptCount val="1"/>
                <c:pt idx="0">
                  <c:v>Cl13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Zorbax_gradient10min!$AU$43:$AU$71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0.14530398843477671</c:v>
                </c:pt>
                <c:pt idx="4">
                  <c:v>2.7294798325534897</c:v>
                </c:pt>
                <c:pt idx="5">
                  <c:v>12.89794812383232</c:v>
                </c:pt>
                <c:pt idx="6">
                  <c:v>18.806940932424347</c:v>
                </c:pt>
                <c:pt idx="7">
                  <c:v>0.90965154184655195</c:v>
                </c:pt>
                <c:pt idx="8">
                  <c:v>2.7622632547282807E-2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9-FB12-4C0E-9E39-3DE38F30A622}"/>
            </c:ext>
          </c:extLst>
        </c:ser>
        <c:ser>
          <c:idx val="10"/>
          <c:order val="10"/>
          <c:tx>
            <c:strRef>
              <c:f>Zorbax_gradient10min!$AV$42</c:f>
              <c:strCache>
                <c:ptCount val="1"/>
                <c:pt idx="0">
                  <c:v>Cl14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Zorbax_gradient10min!$AV$43:$AV$71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0.25569268897147868</c:v>
                </c:pt>
                <c:pt idx="5">
                  <c:v>3.1536614574320381</c:v>
                </c:pt>
                <c:pt idx="6">
                  <c:v>9.2108805678665036</c:v>
                </c:pt>
                <c:pt idx="7">
                  <c:v>0.84951928468627258</c:v>
                </c:pt>
                <c:pt idx="8">
                  <c:v>4.5170571481064785E-2</c:v>
                </c:pt>
                <c:pt idx="9">
                  <c:v>0</c:v>
                </c:pt>
                <c:pt idx="10">
                  <c:v>9.6094505939205252E-2</c:v>
                </c:pt>
                <c:pt idx="11">
                  <c:v>9.5339901184942427E-2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A-FB12-4C0E-9E39-3DE38F30A622}"/>
            </c:ext>
          </c:extLst>
        </c:ser>
        <c:ser>
          <c:idx val="11"/>
          <c:order val="11"/>
          <c:tx>
            <c:strRef>
              <c:f>Zorbax_gradient10min!$AW$42</c:f>
              <c:strCache>
                <c:ptCount val="1"/>
                <c:pt idx="0">
                  <c:v>Cl15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Zorbax_gradient10min!$AW$43:$AW$71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0.26402993465717156</c:v>
                </c:pt>
                <c:pt idx="6">
                  <c:v>1.7714308412001067</c:v>
                </c:pt>
                <c:pt idx="7">
                  <c:v>0.30605466577232793</c:v>
                </c:pt>
                <c:pt idx="8">
                  <c:v>3.1514294499967004E-2</c:v>
                </c:pt>
                <c:pt idx="9">
                  <c:v>0</c:v>
                </c:pt>
                <c:pt idx="10">
                  <c:v>0.29360455808194025</c:v>
                </c:pt>
                <c:pt idx="11">
                  <c:v>0.56768869826842472</c:v>
                </c:pt>
                <c:pt idx="12">
                  <c:v>0.28769632263191736</c:v>
                </c:pt>
                <c:pt idx="13">
                  <c:v>5.1027296036660813E-2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B-FB12-4C0E-9E39-3DE38F30A622}"/>
            </c:ext>
          </c:extLst>
        </c:ser>
        <c:ser>
          <c:idx val="12"/>
          <c:order val="12"/>
          <c:tx>
            <c:strRef>
              <c:f>Zorbax_gradient10min!$AX$42</c:f>
              <c:strCache>
                <c:ptCount val="1"/>
                <c:pt idx="0">
                  <c:v>Cl16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Zorbax_gradient10min!$AX$43:$AX$71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0.10038302038613374</c:v>
                </c:pt>
                <c:pt idx="7">
                  <c:v>2.2232538271560347E-2</c:v>
                </c:pt>
                <c:pt idx="8">
                  <c:v>0</c:v>
                </c:pt>
                <c:pt idx="9">
                  <c:v>0</c:v>
                </c:pt>
                <c:pt idx="10">
                  <c:v>0.37539979623538444</c:v>
                </c:pt>
                <c:pt idx="11">
                  <c:v>1.2659448383568512</c:v>
                </c:pt>
                <c:pt idx="12">
                  <c:v>1.1782539194104218</c:v>
                </c:pt>
                <c:pt idx="13">
                  <c:v>0.52549040561798999</c:v>
                </c:pt>
                <c:pt idx="14">
                  <c:v>0.18738857855421728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C-FB12-4C0E-9E39-3DE38F30A622}"/>
            </c:ext>
          </c:extLst>
        </c:ser>
        <c:ser>
          <c:idx val="13"/>
          <c:order val="13"/>
          <c:tx>
            <c:strRef>
              <c:f>Zorbax_gradient10min!$AY$42</c:f>
              <c:strCache>
                <c:ptCount val="1"/>
                <c:pt idx="0">
                  <c:v>Cl17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Zorbax_gradient10min!$AY$43:$AY$71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0.23728752370973363</c:v>
                </c:pt>
                <c:pt idx="11">
                  <c:v>1.4088823763956919</c:v>
                </c:pt>
                <c:pt idx="12">
                  <c:v>2.2743939855748554</c:v>
                </c:pt>
                <c:pt idx="13">
                  <c:v>1.7116976799876888</c:v>
                </c:pt>
                <c:pt idx="14">
                  <c:v>1.1374209204360137</c:v>
                </c:pt>
                <c:pt idx="15">
                  <c:v>0.44189139885376222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D-FB12-4C0E-9E39-3DE38F30A622}"/>
            </c:ext>
          </c:extLst>
        </c:ser>
        <c:ser>
          <c:idx val="14"/>
          <c:order val="14"/>
          <c:tx>
            <c:strRef>
              <c:f>Zorbax_gradient10min!$AZ$42</c:f>
              <c:strCache>
                <c:ptCount val="1"/>
                <c:pt idx="0">
                  <c:v>Cl18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Zorbax_gradient10min!$AZ$43:$AZ$71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4.7876467771998416E-2</c:v>
                </c:pt>
                <c:pt idx="11">
                  <c:v>0.80855202934532699</c:v>
                </c:pt>
                <c:pt idx="12">
                  <c:v>2.2413466020984689</c:v>
                </c:pt>
                <c:pt idx="13">
                  <c:v>2.720233476603668</c:v>
                </c:pt>
                <c:pt idx="14">
                  <c:v>3.0363535900026233</c:v>
                </c:pt>
                <c:pt idx="15">
                  <c:v>1.9452152141431824</c:v>
                </c:pt>
                <c:pt idx="16">
                  <c:v>0.72406853297191542</c:v>
                </c:pt>
                <c:pt idx="17">
                  <c:v>0.14693336244397753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E-FB12-4C0E-9E39-3DE38F30A622}"/>
            </c:ext>
          </c:extLst>
        </c:ser>
        <c:ser>
          <c:idx val="15"/>
          <c:order val="15"/>
          <c:tx>
            <c:strRef>
              <c:f>Zorbax_gradient10min!$BA$42</c:f>
              <c:strCache>
                <c:ptCount val="1"/>
                <c:pt idx="0">
                  <c:v>Cl19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Zorbax_gradient10min!$BA$43:$BA$71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0.22078732032302706</c:v>
                </c:pt>
                <c:pt idx="12">
                  <c:v>1.1378694154498405</c:v>
                </c:pt>
                <c:pt idx="13">
                  <c:v>2.3289478329130029</c:v>
                </c:pt>
                <c:pt idx="14">
                  <c:v>4.202277167526324</c:v>
                </c:pt>
                <c:pt idx="15">
                  <c:v>4.3696713700474135</c:v>
                </c:pt>
                <c:pt idx="16">
                  <c:v>2.5766268812738402</c:v>
                </c:pt>
                <c:pt idx="17">
                  <c:v>0.89868167105401997</c:v>
                </c:pt>
                <c:pt idx="18">
                  <c:v>0.27237459023276234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F-FB12-4C0E-9E39-3DE38F30A622}"/>
            </c:ext>
          </c:extLst>
        </c:ser>
        <c:ser>
          <c:idx val="16"/>
          <c:order val="16"/>
          <c:tx>
            <c:strRef>
              <c:f>Zorbax_gradient10min!$BB$42</c:f>
              <c:strCache>
                <c:ptCount val="1"/>
                <c:pt idx="0">
                  <c:v>Cl20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Zorbax_gradient10min!$BB$43:$BB$71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0.28334114784690034</c:v>
                </c:pt>
                <c:pt idx="13">
                  <c:v>1.0547136262345529</c:v>
                </c:pt>
                <c:pt idx="14">
                  <c:v>3.1567812712021674</c:v>
                </c:pt>
                <c:pt idx="15">
                  <c:v>5.3011723610257429</c:v>
                </c:pt>
                <c:pt idx="16">
                  <c:v>5.0777977113414012</c:v>
                </c:pt>
                <c:pt idx="17">
                  <c:v>2.7571077371526189</c:v>
                </c:pt>
                <c:pt idx="18">
                  <c:v>1.4908138676254725</c:v>
                </c:pt>
                <c:pt idx="19">
                  <c:v>0.22465438816374406</c:v>
                </c:pt>
                <c:pt idx="20">
                  <c:v>2.1403820932302677E-2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0-FB12-4C0E-9E39-3DE38F30A622}"/>
            </c:ext>
          </c:extLst>
        </c:ser>
        <c:ser>
          <c:idx val="17"/>
          <c:order val="17"/>
          <c:tx>
            <c:strRef>
              <c:f>Zorbax_gradient10min!$BC$42</c:f>
              <c:strCache>
                <c:ptCount val="1"/>
                <c:pt idx="0">
                  <c:v>Cl21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Zorbax_gradient10min!$BC$43:$BC$71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0.25617419032513583</c:v>
                </c:pt>
                <c:pt idx="14">
                  <c:v>1.4361600453773742</c:v>
                </c:pt>
                <c:pt idx="15">
                  <c:v>3.9262630127414497</c:v>
                </c:pt>
                <c:pt idx="16">
                  <c:v>5.9128573687821442</c:v>
                </c:pt>
                <c:pt idx="17">
                  <c:v>5.0543148860377007</c:v>
                </c:pt>
                <c:pt idx="18">
                  <c:v>4.3009786493656978</c:v>
                </c:pt>
                <c:pt idx="19">
                  <c:v>1.0279564936053054</c:v>
                </c:pt>
                <c:pt idx="20">
                  <c:v>0.36263561619068457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1-FB12-4C0E-9E39-3DE38F30A622}"/>
            </c:ext>
          </c:extLst>
        </c:ser>
        <c:ser>
          <c:idx val="18"/>
          <c:order val="18"/>
          <c:tx>
            <c:strRef>
              <c:f>Zorbax_gradient10min!$BD$42</c:f>
              <c:strCache>
                <c:ptCount val="1"/>
                <c:pt idx="0">
                  <c:v>Cl22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Zorbax_gradient10min!$BD$43:$BD$71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0.35706745474407553</c:v>
                </c:pt>
                <c:pt idx="15">
                  <c:v>1.731367990496762</c:v>
                </c:pt>
                <c:pt idx="16">
                  <c:v>4.289304910049216</c:v>
                </c:pt>
                <c:pt idx="17">
                  <c:v>5.6235952035609955</c:v>
                </c:pt>
                <c:pt idx="18">
                  <c:v>7.6235641910666931</c:v>
                </c:pt>
                <c:pt idx="19">
                  <c:v>2.7147607282561981</c:v>
                </c:pt>
                <c:pt idx="20">
                  <c:v>1.5256817497500585</c:v>
                </c:pt>
                <c:pt idx="21">
                  <c:v>0.27850334470924087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2-FB12-4C0E-9E39-3DE38F30A622}"/>
            </c:ext>
          </c:extLst>
        </c:ser>
        <c:ser>
          <c:idx val="19"/>
          <c:order val="19"/>
          <c:tx>
            <c:strRef>
              <c:f>Zorbax_gradient10min!$BE$42</c:f>
              <c:strCache>
                <c:ptCount val="1"/>
                <c:pt idx="0">
                  <c:v>Cl23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Zorbax_gradient10min!$BE$43:$BE$71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0.43213030652682172</c:v>
                </c:pt>
                <c:pt idx="16">
                  <c:v>1.907708294843125</c:v>
                </c:pt>
                <c:pt idx="17">
                  <c:v>4.0406442678866847</c:v>
                </c:pt>
                <c:pt idx="18">
                  <c:v>8.6519066678342185</c:v>
                </c:pt>
                <c:pt idx="19">
                  <c:v>4.6091653272597322</c:v>
                </c:pt>
                <c:pt idx="20">
                  <c:v>3.8961428399520011</c:v>
                </c:pt>
                <c:pt idx="21">
                  <c:v>1.0801414759704209</c:v>
                </c:pt>
                <c:pt idx="22">
                  <c:v>0.31053321616214591</c:v>
                </c:pt>
                <c:pt idx="23">
                  <c:v>2.500595124359703E-2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3-FB12-4C0E-9E39-3DE38F30A622}"/>
            </c:ext>
          </c:extLst>
        </c:ser>
        <c:ser>
          <c:idx val="20"/>
          <c:order val="20"/>
          <c:tx>
            <c:strRef>
              <c:f>Zorbax_gradient10min!$BF$42</c:f>
              <c:strCache>
                <c:ptCount val="1"/>
                <c:pt idx="0">
                  <c:v>Cl24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Zorbax_gradient10min!$BF$43:$BF$71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0.49742795933286382</c:v>
                </c:pt>
                <c:pt idx="17">
                  <c:v>1.847730904426834</c:v>
                </c:pt>
                <c:pt idx="18">
                  <c:v>6.2508298420031378</c:v>
                </c:pt>
                <c:pt idx="19">
                  <c:v>4.9266399886560315</c:v>
                </c:pt>
                <c:pt idx="20">
                  <c:v>6.1724660171428747</c:v>
                </c:pt>
                <c:pt idx="21">
                  <c:v>2.5079195147394833</c:v>
                </c:pt>
                <c:pt idx="22">
                  <c:v>1.1393649547833073</c:v>
                </c:pt>
                <c:pt idx="23">
                  <c:v>0.29209172765246311</c:v>
                </c:pt>
                <c:pt idx="24">
                  <c:v>3.7861610139357058E-2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4-FB12-4C0E-9E39-3DE38F30A622}"/>
            </c:ext>
          </c:extLst>
        </c:ser>
        <c:ser>
          <c:idx val="21"/>
          <c:order val="21"/>
          <c:tx>
            <c:strRef>
              <c:f>Zorbax_gradient10min!$BG$42</c:f>
              <c:strCache>
                <c:ptCount val="1"/>
                <c:pt idx="0">
                  <c:v>Cl25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Zorbax_gradient10min!$BG$43:$BG$71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0.43922703769889032</c:v>
                </c:pt>
                <c:pt idx="18">
                  <c:v>2.8436023297284274</c:v>
                </c:pt>
                <c:pt idx="19">
                  <c:v>3.2214189106163467</c:v>
                </c:pt>
                <c:pt idx="20">
                  <c:v>6.2752376140522239</c:v>
                </c:pt>
                <c:pt idx="21">
                  <c:v>3.52958214242136</c:v>
                </c:pt>
                <c:pt idx="22">
                  <c:v>2.2880331722812834</c:v>
                </c:pt>
                <c:pt idx="23">
                  <c:v>0.89106295060865126</c:v>
                </c:pt>
                <c:pt idx="24">
                  <c:v>0.24252236806610009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5-FB12-4C0E-9E39-3DE38F30A622}"/>
            </c:ext>
          </c:extLst>
        </c:ser>
        <c:ser>
          <c:idx val="22"/>
          <c:order val="22"/>
          <c:tx>
            <c:strRef>
              <c:f>Zorbax_gradient10min!$BH$42</c:f>
              <c:strCache>
                <c:ptCount val="1"/>
                <c:pt idx="0">
                  <c:v>Cl26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Zorbax_gradient10min!$BH$43:$BH$71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0.75879500579733272</c:v>
                </c:pt>
                <c:pt idx="19">
                  <c:v>1.3304098397185888</c:v>
                </c:pt>
                <c:pt idx="20">
                  <c:v>4.026892693855082</c:v>
                </c:pt>
                <c:pt idx="21">
                  <c:v>3.2490453242343014</c:v>
                </c:pt>
                <c:pt idx="22">
                  <c:v>2.9820567459108553</c:v>
                </c:pt>
                <c:pt idx="23">
                  <c:v>1.6439769246324178</c:v>
                </c:pt>
                <c:pt idx="24">
                  <c:v>0.71457622801291043</c:v>
                </c:pt>
                <c:pt idx="25">
                  <c:v>0.14224554810602635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6-FB12-4C0E-9E39-3DE38F30A622}"/>
            </c:ext>
          </c:extLst>
        </c:ser>
        <c:ser>
          <c:idx val="23"/>
          <c:order val="23"/>
          <c:tx>
            <c:strRef>
              <c:f>Zorbax_gradient10min!$BI$42</c:f>
              <c:strCache>
                <c:ptCount val="1"/>
                <c:pt idx="0">
                  <c:v>Cl27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Zorbax_gradient10min!$BI$43:$BI$71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8.1301646469026725E-2</c:v>
                </c:pt>
                <c:pt idx="19">
                  <c:v>0</c:v>
                </c:pt>
                <c:pt idx="20">
                  <c:v>1.6666825642888214</c:v>
                </c:pt>
                <c:pt idx="21">
                  <c:v>1.9750609754679049</c:v>
                </c:pt>
                <c:pt idx="22">
                  <c:v>2.5355032963097575</c:v>
                </c:pt>
                <c:pt idx="23">
                  <c:v>2.0147583107624105</c:v>
                </c:pt>
                <c:pt idx="24">
                  <c:v>1.2184858545844857</c:v>
                </c:pt>
                <c:pt idx="25">
                  <c:v>0.49826243624610955</c:v>
                </c:pt>
                <c:pt idx="26">
                  <c:v>0.11433132631085906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7-FB12-4C0E-9E39-3DE38F30A622}"/>
            </c:ext>
          </c:extLst>
        </c:ser>
        <c:ser>
          <c:idx val="24"/>
          <c:order val="24"/>
          <c:tx>
            <c:strRef>
              <c:f>Zorbax_gradient10min!$BJ$42</c:f>
              <c:strCache>
                <c:ptCount val="1"/>
                <c:pt idx="0">
                  <c:v>Cl28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Zorbax_gradient10min!$BJ$43:$BJ$71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0.38630388762869217</c:v>
                </c:pt>
                <c:pt idx="21">
                  <c:v>0.73929023995305698</c:v>
                </c:pt>
                <c:pt idx="22">
                  <c:v>1.4824920180502046</c:v>
                </c:pt>
                <c:pt idx="23">
                  <c:v>1.6905246393836155</c:v>
                </c:pt>
                <c:pt idx="24">
                  <c:v>1.3725846110798505</c:v>
                </c:pt>
                <c:pt idx="25">
                  <c:v>0.7526386302674738</c:v>
                </c:pt>
                <c:pt idx="26">
                  <c:v>0.28642669133915777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8-FB12-4C0E-9E39-3DE38F30A622}"/>
            </c:ext>
          </c:extLst>
        </c:ser>
        <c:ser>
          <c:idx val="25"/>
          <c:order val="25"/>
          <c:tx>
            <c:strRef>
              <c:f>Zorbax_gradient10min!$BK$42</c:f>
              <c:strCache>
                <c:ptCount val="1"/>
                <c:pt idx="0">
                  <c:v>Cl29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Zorbax_gradient10min!$BK$43:$BK$71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3.3295934512458526E-2</c:v>
                </c:pt>
                <c:pt idx="21">
                  <c:v>0.14101203319967698</c:v>
                </c:pt>
                <c:pt idx="22">
                  <c:v>0.51690894399568232</c:v>
                </c:pt>
                <c:pt idx="23">
                  <c:v>0.91203585388459607</c:v>
                </c:pt>
                <c:pt idx="24">
                  <c:v>1.026867978030682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9-FB12-4C0E-9E39-3DE38F30A622}"/>
            </c:ext>
          </c:extLst>
        </c:ser>
        <c:ser>
          <c:idx val="26"/>
          <c:order val="26"/>
          <c:tx>
            <c:strRef>
              <c:f>Zorbax_gradient10min!$BL$42</c:f>
              <c:strCache>
                <c:ptCount val="1"/>
                <c:pt idx="0">
                  <c:v>Cl30</c:v>
                </c:pt>
              </c:strCache>
            </c:strRef>
          </c:tx>
          <c:invertIfNegative val="0"/>
          <c:cat>
            <c:strRef>
              <c:f>Zorbax_gradient10min!$H$43:$H$71</c:f>
              <c:strCache>
                <c:ptCount val="29"/>
                <c:pt idx="0">
                  <c:v>C08</c:v>
                </c:pt>
                <c:pt idx="1">
                  <c:v>C09</c:v>
                </c:pt>
                <c:pt idx="2">
                  <c:v>C10</c:v>
                </c:pt>
                <c:pt idx="3">
                  <c:v>C11</c:v>
                </c:pt>
                <c:pt idx="4">
                  <c:v>C12</c:v>
                </c:pt>
                <c:pt idx="5">
                  <c:v>C13</c:v>
                </c:pt>
                <c:pt idx="6">
                  <c:v>C14</c:v>
                </c:pt>
                <c:pt idx="7">
                  <c:v>C15</c:v>
                </c:pt>
                <c:pt idx="8">
                  <c:v>C16</c:v>
                </c:pt>
                <c:pt idx="9">
                  <c:v>C17</c:v>
                </c:pt>
                <c:pt idx="10">
                  <c:v>C18</c:v>
                </c:pt>
                <c:pt idx="11">
                  <c:v>C19</c:v>
                </c:pt>
                <c:pt idx="12">
                  <c:v>C20</c:v>
                </c:pt>
                <c:pt idx="13">
                  <c:v>C21</c:v>
                </c:pt>
                <c:pt idx="14">
                  <c:v>C22</c:v>
                </c:pt>
                <c:pt idx="15">
                  <c:v>C23</c:v>
                </c:pt>
                <c:pt idx="16">
                  <c:v>C24</c:v>
                </c:pt>
                <c:pt idx="17">
                  <c:v>C25</c:v>
                </c:pt>
                <c:pt idx="18">
                  <c:v>C26</c:v>
                </c:pt>
                <c:pt idx="19">
                  <c:v>C27</c:v>
                </c:pt>
                <c:pt idx="20">
                  <c:v>C28</c:v>
                </c:pt>
                <c:pt idx="21">
                  <c:v>C29</c:v>
                </c:pt>
                <c:pt idx="22">
                  <c:v>C30</c:v>
                </c:pt>
                <c:pt idx="23">
                  <c:v>C31</c:v>
                </c:pt>
                <c:pt idx="24">
                  <c:v>C32</c:v>
                </c:pt>
                <c:pt idx="25">
                  <c:v>C33</c:v>
                </c:pt>
                <c:pt idx="26">
                  <c:v>C34</c:v>
                </c:pt>
                <c:pt idx="27">
                  <c:v>C35</c:v>
                </c:pt>
                <c:pt idx="28">
                  <c:v>C36</c:v>
                </c:pt>
              </c:strCache>
            </c:strRef>
          </c:cat>
          <c:val>
            <c:numRef>
              <c:f>Zorbax_gradient10min!$BL$43:$BL$71</c:f>
              <c:numCache>
                <c:formatCode>#,##0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8.2717030409797332E-2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1A-FB12-4C0E-9E39-3DE38F30A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shape val="box"/>
        <c:axId val="650780728"/>
        <c:axId val="650772200"/>
        <c:axId val="335469696"/>
      </c:bar3DChart>
      <c:catAx>
        <c:axId val="650780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50772200"/>
        <c:crosses val="autoZero"/>
        <c:auto val="1"/>
        <c:lblAlgn val="ctr"/>
        <c:lblOffset val="100"/>
        <c:noMultiLvlLbl val="0"/>
      </c:catAx>
      <c:valAx>
        <c:axId val="65077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Intensity (x10</a:t>
                </a:r>
                <a:r>
                  <a:rPr lang="en-GB" baseline="30000"/>
                  <a:t>6</a:t>
                </a:r>
                <a:r>
                  <a:rPr lang="en-GB"/>
                  <a:t>)</a:t>
                </a:r>
              </a:p>
            </c:rich>
          </c:tx>
          <c:layout>
            <c:manualLayout>
              <c:xMode val="edge"/>
              <c:yMode val="edge"/>
              <c:x val="0.12548890479599142"/>
              <c:y val="0.48060038413565653"/>
            </c:manualLayout>
          </c:layout>
          <c:overlay val="0"/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50780728"/>
        <c:crosses val="autoZero"/>
        <c:crossBetween val="between"/>
      </c:valAx>
      <c:serAx>
        <c:axId val="335469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650772200"/>
        <c:crosses val="autoZero"/>
      </c:serAx>
      <c:spPr>
        <a:noFill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1</xdr:rowOff>
    </xdr:from>
    <xdr:to>
      <xdr:col>36</xdr:col>
      <xdr:colOff>495300</xdr:colOff>
      <xdr:row>39</xdr:row>
      <xdr:rowOff>19051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0</xdr:colOff>
      <xdr:row>3</xdr:row>
      <xdr:rowOff>0</xdr:rowOff>
    </xdr:from>
    <xdr:to>
      <xdr:col>56</xdr:col>
      <xdr:colOff>566737</xdr:colOff>
      <xdr:row>39</xdr:row>
      <xdr:rowOff>19050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11905</xdr:rowOff>
    </xdr:from>
    <xdr:to>
      <xdr:col>34</xdr:col>
      <xdr:colOff>495300</xdr:colOff>
      <xdr:row>39</xdr:row>
      <xdr:rowOff>19050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0</xdr:colOff>
      <xdr:row>3</xdr:row>
      <xdr:rowOff>0</xdr:rowOff>
    </xdr:from>
    <xdr:to>
      <xdr:col>54</xdr:col>
      <xdr:colOff>566737</xdr:colOff>
      <xdr:row>39</xdr:row>
      <xdr:rowOff>19050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11905</xdr:rowOff>
    </xdr:from>
    <xdr:to>
      <xdr:col>34</xdr:col>
      <xdr:colOff>495300</xdr:colOff>
      <xdr:row>39</xdr:row>
      <xdr:rowOff>19050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0</xdr:colOff>
      <xdr:row>3</xdr:row>
      <xdr:rowOff>0</xdr:rowOff>
    </xdr:from>
    <xdr:to>
      <xdr:col>54</xdr:col>
      <xdr:colOff>566737</xdr:colOff>
      <xdr:row>39</xdr:row>
      <xdr:rowOff>19050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0"/>
  </sheetPr>
  <dimension ref="A1:AC159"/>
  <sheetViews>
    <sheetView topLeftCell="A39" zoomScale="80" zoomScaleNormal="80" workbookViewId="0">
      <selection activeCell="Y100" sqref="Y100"/>
    </sheetView>
  </sheetViews>
  <sheetFormatPr baseColWidth="10" defaultColWidth="11.42578125" defaultRowHeight="15" x14ac:dyDescent="0.25"/>
  <cols>
    <col min="1" max="1" width="4.5703125" style="7" customWidth="1"/>
    <col min="2" max="2" width="11.85546875" style="7" bestFit="1" customWidth="1"/>
    <col min="3" max="15" width="8.28515625" style="16" customWidth="1"/>
    <col min="16" max="29" width="8.28515625" style="7" customWidth="1"/>
    <col min="30" max="16384" width="11.42578125" style="7"/>
  </cols>
  <sheetData>
    <row r="1" spans="1:29" ht="17.25" x14ac:dyDescent="0.25">
      <c r="A1" s="35" t="s">
        <v>1820</v>
      </c>
      <c r="X1" s="237" t="s">
        <v>1818</v>
      </c>
      <c r="Y1" s="153">
        <v>688.65408000000002</v>
      </c>
      <c r="Z1" s="10"/>
      <c r="AA1" s="237" t="s">
        <v>1819</v>
      </c>
      <c r="AB1" s="153">
        <v>694.72699</v>
      </c>
    </row>
    <row r="2" spans="1:29" ht="15.75" x14ac:dyDescent="0.3">
      <c r="B2" s="35" t="s">
        <v>1086</v>
      </c>
      <c r="C2" s="17" t="s">
        <v>1012</v>
      </c>
      <c r="D2" s="18" t="s">
        <v>322</v>
      </c>
      <c r="E2" s="18" t="s">
        <v>323</v>
      </c>
      <c r="F2" s="18" t="s">
        <v>324</v>
      </c>
      <c r="G2" s="18" t="s">
        <v>325</v>
      </c>
      <c r="H2" s="18" t="s">
        <v>326</v>
      </c>
      <c r="I2" s="18" t="s">
        <v>2</v>
      </c>
      <c r="J2" s="18" t="s">
        <v>3</v>
      </c>
      <c r="K2" s="18" t="s">
        <v>4</v>
      </c>
      <c r="L2" s="18" t="s">
        <v>5</v>
      </c>
      <c r="M2" s="18" t="s">
        <v>6</v>
      </c>
      <c r="N2" s="18" t="s">
        <v>7</v>
      </c>
      <c r="O2" s="18" t="s">
        <v>8</v>
      </c>
      <c r="P2" s="18" t="s">
        <v>1016</v>
      </c>
      <c r="Q2" s="18" t="s">
        <v>1017</v>
      </c>
      <c r="R2" s="18" t="s">
        <v>1018</v>
      </c>
      <c r="S2" s="18" t="s">
        <v>1074</v>
      </c>
      <c r="T2" s="18" t="s">
        <v>1075</v>
      </c>
      <c r="U2" s="18" t="s">
        <v>1076</v>
      </c>
      <c r="V2" s="18" t="s">
        <v>1077</v>
      </c>
      <c r="W2" s="18" t="s">
        <v>1078</v>
      </c>
      <c r="X2" s="18" t="s">
        <v>1079</v>
      </c>
      <c r="Y2" s="18" t="s">
        <v>1080</v>
      </c>
      <c r="Z2" s="18" t="s">
        <v>1081</v>
      </c>
      <c r="AA2" s="18" t="s">
        <v>1082</v>
      </c>
      <c r="AB2" s="18" t="s">
        <v>1083</v>
      </c>
      <c r="AC2" s="19" t="s">
        <v>1084</v>
      </c>
    </row>
    <row r="3" spans="1:29" ht="15.75" x14ac:dyDescent="0.3">
      <c r="B3" s="5" t="s">
        <v>1011</v>
      </c>
      <c r="C3" s="100">
        <v>286.95141246803303</v>
      </c>
      <c r="D3" s="100">
        <v>320.91244014619201</v>
      </c>
      <c r="E3" s="100">
        <v>354.87346782524099</v>
      </c>
      <c r="F3" s="100">
        <v>390.83154540937102</v>
      </c>
      <c r="G3" s="101">
        <v>424.792573097</v>
      </c>
      <c r="H3" s="100">
        <v>458.75360089095301</v>
      </c>
      <c r="I3" s="102">
        <v>492.71462858660402</v>
      </c>
      <c r="J3" s="103"/>
      <c r="K3" s="103"/>
      <c r="L3" s="103"/>
      <c r="M3" s="103"/>
      <c r="N3" s="103"/>
      <c r="O3" s="103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4"/>
      <c r="AB3" s="104"/>
      <c r="AC3" s="104"/>
    </row>
    <row r="4" spans="1:29" ht="15.75" x14ac:dyDescent="0.3">
      <c r="B4" s="3" t="s">
        <v>321</v>
      </c>
      <c r="C4" s="105">
        <v>300.96706253202399</v>
      </c>
      <c r="D4" s="105">
        <v>334.92809021204101</v>
      </c>
      <c r="E4" s="105">
        <v>368.88911789110898</v>
      </c>
      <c r="F4" s="105">
        <v>404.84719547250501</v>
      </c>
      <c r="G4" s="105">
        <v>438.80822322868801</v>
      </c>
      <c r="H4" s="106">
        <v>472.76925125436702</v>
      </c>
      <c r="I4" s="107">
        <v>506.73027875110603</v>
      </c>
      <c r="J4" s="108">
        <v>542.68835852527104</v>
      </c>
      <c r="K4" s="107"/>
      <c r="L4" s="107"/>
      <c r="M4" s="107"/>
      <c r="N4" s="107"/>
      <c r="O4" s="107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  <c r="AC4" s="104"/>
    </row>
    <row r="5" spans="1:29" ht="15.75" x14ac:dyDescent="0.3">
      <c r="B5" s="2" t="s">
        <v>10</v>
      </c>
      <c r="C5" s="100">
        <v>314.98271259612301</v>
      </c>
      <c r="D5" s="100">
        <v>348.94374027674598</v>
      </c>
      <c r="E5" s="107">
        <v>382.90476796849998</v>
      </c>
      <c r="F5" s="107">
        <v>418.86284557764498</v>
      </c>
      <c r="G5" s="107">
        <v>452.82387332463298</v>
      </c>
      <c r="H5" s="107">
        <v>486.78490109288902</v>
      </c>
      <c r="I5" s="101">
        <v>520.74593025309298</v>
      </c>
      <c r="J5" s="107">
        <v>556.70400781669298</v>
      </c>
      <c r="K5" s="108">
        <v>590.66503899842905</v>
      </c>
      <c r="L5" s="107"/>
      <c r="M5" s="107"/>
      <c r="N5" s="107"/>
      <c r="O5" s="107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04"/>
      <c r="AB5" s="104"/>
      <c r="AC5" s="104"/>
    </row>
    <row r="6" spans="1:29" ht="15.75" x14ac:dyDescent="0.3">
      <c r="B6" s="2" t="s">
        <v>11</v>
      </c>
      <c r="C6" s="100">
        <v>328.99836266078302</v>
      </c>
      <c r="D6" s="100">
        <v>362.95939034038798</v>
      </c>
      <c r="E6" s="107">
        <v>396.92041802492901</v>
      </c>
      <c r="F6" s="107">
        <v>432.87849589086699</v>
      </c>
      <c r="G6" s="107">
        <v>466.83952349315899</v>
      </c>
      <c r="H6" s="107">
        <v>500.80055169911299</v>
      </c>
      <c r="I6" s="107">
        <v>534.76158025784696</v>
      </c>
      <c r="J6" s="101">
        <v>570.71965996471499</v>
      </c>
      <c r="K6" s="107">
        <v>604.68069102357197</v>
      </c>
      <c r="L6" s="108">
        <v>638.64171867764298</v>
      </c>
      <c r="M6" s="107"/>
      <c r="N6" s="107"/>
      <c r="O6" s="107"/>
      <c r="P6" s="104"/>
      <c r="Q6" s="104"/>
      <c r="R6" s="104"/>
      <c r="S6" s="104"/>
      <c r="T6" s="104"/>
      <c r="U6" s="104"/>
      <c r="V6" s="104"/>
      <c r="W6" s="104"/>
      <c r="X6" s="104"/>
      <c r="Y6" s="104"/>
      <c r="Z6" s="104"/>
      <c r="AA6" s="104"/>
      <c r="AB6" s="104"/>
      <c r="AC6" s="104"/>
    </row>
    <row r="7" spans="1:29" ht="15.75" x14ac:dyDescent="0.3">
      <c r="B7" s="2" t="s">
        <v>12</v>
      </c>
      <c r="C7" s="100">
        <v>343.01401273051999</v>
      </c>
      <c r="D7" s="100">
        <v>376.97504040922098</v>
      </c>
      <c r="E7" s="107">
        <v>410.93606809136799</v>
      </c>
      <c r="F7" s="107">
        <v>446.89414609565898</v>
      </c>
      <c r="G7" s="107">
        <v>480.85517395770398</v>
      </c>
      <c r="H7" s="107">
        <v>514.81620175214198</v>
      </c>
      <c r="I7" s="107">
        <v>548.77723130780396</v>
      </c>
      <c r="J7" s="107">
        <v>584.73531338217504</v>
      </c>
      <c r="K7" s="101">
        <v>618.69634313237998</v>
      </c>
      <c r="L7" s="107">
        <v>652.65736895280702</v>
      </c>
      <c r="M7" s="108">
        <v>686.61839979978299</v>
      </c>
      <c r="N7" s="107"/>
      <c r="O7" s="107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</row>
    <row r="8" spans="1:29" ht="15.75" x14ac:dyDescent="0.3">
      <c r="B8" s="3" t="s">
        <v>13</v>
      </c>
      <c r="C8" s="105">
        <v>357.029662789626</v>
      </c>
      <c r="D8" s="105">
        <v>390.99069049222402</v>
      </c>
      <c r="E8" s="105">
        <v>424.951718228988</v>
      </c>
      <c r="F8" s="105">
        <v>460.90979596081002</v>
      </c>
      <c r="G8" s="105">
        <v>494.870824676339</v>
      </c>
      <c r="H8" s="105">
        <v>528.83185351095801</v>
      </c>
      <c r="I8" s="105">
        <v>562.79287993554306</v>
      </c>
      <c r="J8" s="105">
        <v>598.75096002389705</v>
      </c>
      <c r="K8" s="105">
        <v>632.71199117283697</v>
      </c>
      <c r="L8" s="106">
        <v>666.67302487803397</v>
      </c>
      <c r="M8" s="107">
        <v>700.63405020868095</v>
      </c>
      <c r="N8" s="108">
        <v>736.59214553361505</v>
      </c>
      <c r="O8" s="107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</row>
    <row r="9" spans="1:29" ht="15.75" x14ac:dyDescent="0.3">
      <c r="B9" s="2" t="s">
        <v>14</v>
      </c>
      <c r="C9" s="100">
        <v>371.045312857532</v>
      </c>
      <c r="D9" s="100">
        <v>405.0063406621</v>
      </c>
      <c r="E9" s="107">
        <v>438.96736841920603</v>
      </c>
      <c r="F9" s="107">
        <v>474.92544639385602</v>
      </c>
      <c r="G9" s="107">
        <v>508.88647469858103</v>
      </c>
      <c r="H9" s="107">
        <v>542.84750198340805</v>
      </c>
      <c r="I9" s="107">
        <v>576.80853312036299</v>
      </c>
      <c r="J9" s="107">
        <v>612.76661439009797</v>
      </c>
      <c r="K9" s="107">
        <v>646.727640718099</v>
      </c>
      <c r="L9" s="107">
        <v>680.68867452509096</v>
      </c>
      <c r="M9" s="101">
        <v>714.64970634628696</v>
      </c>
      <c r="N9" s="107">
        <v>750.60780111621398</v>
      </c>
      <c r="O9" s="108">
        <v>784.56888831258004</v>
      </c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</row>
    <row r="10" spans="1:29" ht="15.75" x14ac:dyDescent="0.3">
      <c r="B10" s="2" t="s">
        <v>15</v>
      </c>
      <c r="C10" s="100">
        <v>385.06096296513402</v>
      </c>
      <c r="D10" s="100">
        <v>419.02199076812298</v>
      </c>
      <c r="E10" s="107">
        <v>452.98301846368099</v>
      </c>
      <c r="F10" s="107">
        <v>488.94109639787098</v>
      </c>
      <c r="G10" s="107">
        <v>522.90212457327198</v>
      </c>
      <c r="H10" s="107">
        <v>556.86315238411498</v>
      </c>
      <c r="I10" s="107">
        <v>590.824184968336</v>
      </c>
      <c r="J10" s="107">
        <v>626.78226628490404</v>
      </c>
      <c r="K10" s="107">
        <v>660.74329421140305</v>
      </c>
      <c r="L10" s="107">
        <v>694.70433067155705</v>
      </c>
      <c r="M10" s="107">
        <v>728.66535850829405</v>
      </c>
      <c r="N10" s="101">
        <v>764.62353380157106</v>
      </c>
      <c r="O10" s="107">
        <v>798.58455301289803</v>
      </c>
      <c r="P10" s="109">
        <v>832.54557316927196</v>
      </c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</row>
    <row r="11" spans="1:29" ht="15.75" x14ac:dyDescent="0.3">
      <c r="B11" s="2" t="s">
        <v>16</v>
      </c>
      <c r="C11" s="100">
        <v>399.07661299413002</v>
      </c>
      <c r="D11" s="100">
        <v>433.03764080256502</v>
      </c>
      <c r="E11" s="107">
        <v>466.99866848476103</v>
      </c>
      <c r="F11" s="107">
        <v>502.95674645746698</v>
      </c>
      <c r="G11" s="107">
        <v>536.91777819225297</v>
      </c>
      <c r="H11" s="107">
        <v>570.87880652830302</v>
      </c>
      <c r="I11" s="107">
        <v>604.83983184352098</v>
      </c>
      <c r="J11" s="107">
        <v>640.79791204353899</v>
      </c>
      <c r="K11" s="107">
        <v>674.75894226182504</v>
      </c>
      <c r="L11" s="107">
        <v>708.71998042427094</v>
      </c>
      <c r="M11" s="107">
        <v>742.68100908194299</v>
      </c>
      <c r="N11" s="107">
        <v>778.63920054515495</v>
      </c>
      <c r="O11" s="101">
        <v>812.60021857571996</v>
      </c>
      <c r="P11" s="104">
        <v>846.561237879234</v>
      </c>
      <c r="Q11" s="109">
        <v>880.52225821936997</v>
      </c>
      <c r="R11" s="104"/>
      <c r="S11" s="104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</row>
    <row r="12" spans="1:29" ht="15.75" x14ac:dyDescent="0.3">
      <c r="B12" s="3" t="s">
        <v>17</v>
      </c>
      <c r="C12" s="105">
        <v>413.09226306243102</v>
      </c>
      <c r="D12" s="105">
        <v>447.05329093720798</v>
      </c>
      <c r="E12" s="105">
        <v>481.01431913563499</v>
      </c>
      <c r="F12" s="105">
        <v>516.97239659683305</v>
      </c>
      <c r="G12" s="105">
        <v>550.93342510549905</v>
      </c>
      <c r="H12" s="105">
        <v>584.89445578243499</v>
      </c>
      <c r="I12" s="105">
        <v>618.85548953567502</v>
      </c>
      <c r="J12" s="105">
        <v>654.81357711655505</v>
      </c>
      <c r="K12" s="105">
        <v>688.77460651758895</v>
      </c>
      <c r="L12" s="105">
        <v>722.73562733994595</v>
      </c>
      <c r="M12" s="105">
        <v>756.696667831676</v>
      </c>
      <c r="N12" s="105">
        <v>792.65486836051105</v>
      </c>
      <c r="O12" s="105">
        <v>826.61588513879406</v>
      </c>
      <c r="P12" s="110">
        <v>860.57690335332597</v>
      </c>
      <c r="Q12" s="104">
        <v>894.537922737803</v>
      </c>
      <c r="R12" s="109">
        <v>930.49603031606102</v>
      </c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29" ht="15.75" x14ac:dyDescent="0.3">
      <c r="B13" s="2" t="s">
        <v>9</v>
      </c>
      <c r="C13" s="100">
        <v>427.10791314448602</v>
      </c>
      <c r="D13" s="100">
        <v>461.06894152185203</v>
      </c>
      <c r="E13" s="107">
        <v>495.02997013278798</v>
      </c>
      <c r="F13" s="107">
        <v>530.98804679844397</v>
      </c>
      <c r="G13" s="107">
        <v>564.94907803226295</v>
      </c>
      <c r="H13" s="107">
        <v>598.91010475042799</v>
      </c>
      <c r="I13" s="107">
        <v>632.87114242011103</v>
      </c>
      <c r="J13" s="107">
        <v>668.82922865177204</v>
      </c>
      <c r="K13" s="107">
        <v>702.79025129260901</v>
      </c>
      <c r="L13" s="100">
        <v>736.75128581274305</v>
      </c>
      <c r="M13" s="100">
        <v>770.71231924978599</v>
      </c>
      <c r="N13" s="107">
        <v>806.67053723803701</v>
      </c>
      <c r="O13" s="111">
        <v>840.631552693819</v>
      </c>
      <c r="P13" s="104">
        <v>874.59256975782205</v>
      </c>
      <c r="Q13" s="112">
        <v>908.55358813225803</v>
      </c>
      <c r="R13" s="104">
        <v>944.511699433128</v>
      </c>
      <c r="S13" s="109">
        <v>978.47271690368302</v>
      </c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29" ht="15.75" x14ac:dyDescent="0.3">
      <c r="B14" s="2" t="s">
        <v>18</v>
      </c>
      <c r="C14" s="100">
        <v>441.123563496548</v>
      </c>
      <c r="D14" s="100">
        <v>475.08459116950399</v>
      </c>
      <c r="E14" s="107">
        <v>509.04561957120598</v>
      </c>
      <c r="F14" s="107">
        <v>545.00370001802605</v>
      </c>
      <c r="G14" s="107">
        <v>578.96473073139703</v>
      </c>
      <c r="H14" s="107">
        <v>612.92576073827195</v>
      </c>
      <c r="I14" s="107">
        <v>646.88678465956798</v>
      </c>
      <c r="J14" s="107">
        <v>682.844878603653</v>
      </c>
      <c r="K14" s="107">
        <v>716.80591161579798</v>
      </c>
      <c r="L14" s="100">
        <v>750.76693889865601</v>
      </c>
      <c r="M14" s="100">
        <v>784.72808287628004</v>
      </c>
      <c r="N14" s="107">
        <v>820.686207167622</v>
      </c>
      <c r="O14" s="100">
        <v>854.64722123204695</v>
      </c>
      <c r="P14" s="104">
        <v>888.60823708508099</v>
      </c>
      <c r="Q14" s="104">
        <v>922.56925439600502</v>
      </c>
      <c r="R14" s="112">
        <v>958.52736961969299</v>
      </c>
      <c r="S14" s="104">
        <v>992.48838592723303</v>
      </c>
      <c r="T14" s="109">
        <v>1026.4494034793099</v>
      </c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29" ht="15.75" x14ac:dyDescent="0.3">
      <c r="B15" s="2" t="s">
        <v>19</v>
      </c>
      <c r="C15" s="100">
        <v>455.13921400309499</v>
      </c>
      <c r="D15" s="100">
        <v>489.10024197253699</v>
      </c>
      <c r="E15" s="107">
        <v>523.06127054539297</v>
      </c>
      <c r="F15" s="107">
        <v>559.01935094422799</v>
      </c>
      <c r="G15" s="107">
        <v>592.98037872005</v>
      </c>
      <c r="H15" s="107">
        <v>626.94141318023799</v>
      </c>
      <c r="I15" s="107">
        <v>660.90244675762005</v>
      </c>
      <c r="J15" s="107">
        <v>696.86052942212302</v>
      </c>
      <c r="K15" s="107">
        <v>730.82157668395303</v>
      </c>
      <c r="L15" s="100">
        <v>764.78260652693905</v>
      </c>
      <c r="M15" s="100">
        <v>798.743748752888</v>
      </c>
      <c r="N15" s="107">
        <v>834.70187813865698</v>
      </c>
      <c r="O15" s="100">
        <v>868.66289074429403</v>
      </c>
      <c r="P15" s="104">
        <v>902.62390532707605</v>
      </c>
      <c r="Q15" s="104">
        <v>936.584921521968</v>
      </c>
      <c r="R15" s="113">
        <v>972.54304086507102</v>
      </c>
      <c r="S15" s="112">
        <v>1006.50405595317</v>
      </c>
      <c r="T15" s="104">
        <v>1040.4650724170699</v>
      </c>
      <c r="U15" s="109">
        <v>1074.4260900429499</v>
      </c>
      <c r="V15" s="104"/>
      <c r="W15" s="104"/>
      <c r="X15" s="104"/>
      <c r="Y15" s="104"/>
      <c r="Z15" s="104"/>
      <c r="AA15" s="104"/>
      <c r="AB15" s="104"/>
      <c r="AC15" s="104"/>
    </row>
    <row r="16" spans="1:29" ht="15.75" x14ac:dyDescent="0.3">
      <c r="B16" s="2" t="s">
        <v>20</v>
      </c>
      <c r="C16" s="100">
        <v>469.15486448996597</v>
      </c>
      <c r="D16" s="100">
        <v>503.11589169372201</v>
      </c>
      <c r="E16" s="107">
        <v>537.07692190929401</v>
      </c>
      <c r="F16" s="107">
        <v>573.03499982962796</v>
      </c>
      <c r="G16" s="107">
        <v>606.99603047887797</v>
      </c>
      <c r="H16" s="107">
        <v>640.95706728786297</v>
      </c>
      <c r="I16" s="107">
        <v>674.91809130724698</v>
      </c>
      <c r="J16" s="107">
        <v>710.87620315065101</v>
      </c>
      <c r="K16" s="107">
        <v>744.83721995849498</v>
      </c>
      <c r="L16" s="100">
        <v>778.798263846233</v>
      </c>
      <c r="M16" s="100">
        <v>812.75941542151304</v>
      </c>
      <c r="N16" s="107">
        <v>848.717550140051</v>
      </c>
      <c r="O16" s="100">
        <v>882.67856122095498</v>
      </c>
      <c r="P16" s="104">
        <v>916.63957447540497</v>
      </c>
      <c r="Q16" s="113">
        <v>950.60058950273799</v>
      </c>
      <c r="R16" s="104">
        <v>986.55871315808497</v>
      </c>
      <c r="S16" s="104">
        <v>1020.51972697157</v>
      </c>
      <c r="T16" s="112">
        <v>1054.48074229757</v>
      </c>
      <c r="U16" s="104">
        <v>1088.4417589014299</v>
      </c>
      <c r="V16" s="109">
        <v>1124.3998750015601</v>
      </c>
      <c r="W16" s="104"/>
      <c r="X16" s="104"/>
      <c r="Y16" s="104"/>
      <c r="Z16" s="104"/>
      <c r="AA16" s="104"/>
      <c r="AB16" s="104"/>
      <c r="AC16" s="104"/>
    </row>
    <row r="17" spans="2:29" ht="15.75" x14ac:dyDescent="0.3">
      <c r="B17" s="2" t="s">
        <v>21</v>
      </c>
      <c r="C17" s="100">
        <v>483.17051506869802</v>
      </c>
      <c r="D17" s="100">
        <v>517.13154198428197</v>
      </c>
      <c r="E17" s="107">
        <v>551.09257118928599</v>
      </c>
      <c r="F17" s="107">
        <v>587.05065104088806</v>
      </c>
      <c r="G17" s="107">
        <v>621.01168610793104</v>
      </c>
      <c r="H17" s="107">
        <v>654.97272061139199</v>
      </c>
      <c r="I17" s="107">
        <v>688.93374447731696</v>
      </c>
      <c r="J17" s="107">
        <v>724.89183496204498</v>
      </c>
      <c r="K17" s="107">
        <v>758.852896664181</v>
      </c>
      <c r="L17" s="100">
        <v>792.81392578601697</v>
      </c>
      <c r="M17" s="100">
        <v>826.77508287530395</v>
      </c>
      <c r="N17" s="107">
        <v>862.73322316024996</v>
      </c>
      <c r="O17" s="100">
        <v>896.69423265200999</v>
      </c>
      <c r="P17" s="104">
        <v>930.65524452130103</v>
      </c>
      <c r="Q17" s="113">
        <v>964.61625833057894</v>
      </c>
      <c r="R17" s="104">
        <v>1000.57438648709</v>
      </c>
      <c r="S17" s="104">
        <v>1034.53539897205</v>
      </c>
      <c r="T17" s="104">
        <v>1068.4964131115401</v>
      </c>
      <c r="U17" s="112">
        <v>1102.4574286493</v>
      </c>
      <c r="V17" s="104">
        <v>1138.4155485245401</v>
      </c>
      <c r="W17" s="109">
        <v>1172.37656316686</v>
      </c>
      <c r="X17" s="104"/>
      <c r="Y17" s="104"/>
      <c r="Z17" s="104"/>
      <c r="AA17" s="104"/>
      <c r="AB17" s="104"/>
      <c r="AC17" s="104"/>
    </row>
    <row r="18" spans="2:29" ht="15.75" x14ac:dyDescent="0.3">
      <c r="B18" s="2" t="s">
        <v>22</v>
      </c>
      <c r="C18" s="100">
        <v>497.18616418290298</v>
      </c>
      <c r="D18" s="100">
        <v>531.14719259930598</v>
      </c>
      <c r="E18" s="107">
        <v>565.10822190105296</v>
      </c>
      <c r="F18" s="107">
        <v>601.06630799400796</v>
      </c>
      <c r="G18" s="107">
        <v>635.02733433107005</v>
      </c>
      <c r="H18" s="107">
        <v>668.98837621017401</v>
      </c>
      <c r="I18" s="107">
        <v>702.94941195907404</v>
      </c>
      <c r="J18" s="107">
        <v>738.90750577346603</v>
      </c>
      <c r="K18" s="107">
        <v>772.86853196998095</v>
      </c>
      <c r="L18" s="100">
        <v>806.82957004527896</v>
      </c>
      <c r="M18" s="100">
        <v>840.79075110712802</v>
      </c>
      <c r="N18" s="107">
        <v>876.74889718724705</v>
      </c>
      <c r="O18" s="100">
        <v>910.70990502704103</v>
      </c>
      <c r="P18" s="113">
        <v>944.67091545564199</v>
      </c>
      <c r="Q18" s="104">
        <v>978.63192799743797</v>
      </c>
      <c r="R18" s="104">
        <v>1014.59006084</v>
      </c>
      <c r="S18" s="104">
        <v>1048.5510719438601</v>
      </c>
      <c r="T18" s="104">
        <v>1082.51208484933</v>
      </c>
      <c r="U18" s="104">
        <v>1116.47309927786</v>
      </c>
      <c r="V18" s="112">
        <v>1152.43122308343</v>
      </c>
      <c r="W18" s="104">
        <v>1186.39223653984</v>
      </c>
      <c r="X18" s="109">
        <v>1220.35325132093</v>
      </c>
      <c r="Y18" s="104"/>
      <c r="Z18" s="104"/>
      <c r="AA18" s="104"/>
      <c r="AB18" s="104"/>
      <c r="AC18" s="104"/>
    </row>
    <row r="19" spans="2:29" ht="15.75" x14ac:dyDescent="0.3">
      <c r="B19" s="2" t="s">
        <v>23</v>
      </c>
      <c r="C19" s="100">
        <v>511.20181505847199</v>
      </c>
      <c r="D19" s="100">
        <v>545.16284547719499</v>
      </c>
      <c r="E19" s="100">
        <v>579.123878641548</v>
      </c>
      <c r="F19" s="100">
        <v>615.08195417449701</v>
      </c>
      <c r="G19" s="100">
        <v>649.04298439123602</v>
      </c>
      <c r="H19" s="100">
        <v>683.00403077896999</v>
      </c>
      <c r="I19" s="100">
        <v>716.96507422036905</v>
      </c>
      <c r="J19" s="100">
        <v>752.92313649089499</v>
      </c>
      <c r="K19" s="100">
        <v>786.88419810063999</v>
      </c>
      <c r="L19" s="100">
        <v>820.84523884356304</v>
      </c>
      <c r="M19" s="100">
        <v>854.80642010957297</v>
      </c>
      <c r="N19" s="107">
        <v>890.764572208603</v>
      </c>
      <c r="O19" s="100">
        <v>924.72557833524797</v>
      </c>
      <c r="P19" s="113">
        <v>958.68658726896001</v>
      </c>
      <c r="Q19" s="104">
        <v>992.64759849494999</v>
      </c>
      <c r="R19" s="104">
        <v>1028.60573620425</v>
      </c>
      <c r="S19" s="104">
        <v>1062.5667458758101</v>
      </c>
      <c r="T19" s="104">
        <v>1096.52775750093</v>
      </c>
      <c r="U19" s="104">
        <v>1130.4887707780999</v>
      </c>
      <c r="V19" s="104">
        <v>1166.44689866565</v>
      </c>
      <c r="W19" s="112">
        <v>1200.4079108921101</v>
      </c>
      <c r="X19" s="104">
        <v>1234.3689245550399</v>
      </c>
      <c r="Y19" s="109">
        <v>1268.3299394630501</v>
      </c>
      <c r="Z19" s="104"/>
      <c r="AA19" s="104"/>
      <c r="AB19" s="104"/>
      <c r="AC19" s="104"/>
    </row>
    <row r="20" spans="2:29" ht="15.75" x14ac:dyDescent="0.3">
      <c r="B20" s="2" t="s">
        <v>24</v>
      </c>
      <c r="C20" s="100">
        <v>525.21746723243996</v>
      </c>
      <c r="D20" s="100">
        <v>559.17849594592997</v>
      </c>
      <c r="E20" s="107">
        <v>593.13952376308396</v>
      </c>
      <c r="F20" s="107">
        <v>629.09760208431805</v>
      </c>
      <c r="G20" s="107">
        <v>663.05863352028803</v>
      </c>
      <c r="H20" s="107">
        <v>697.01968931305498</v>
      </c>
      <c r="I20" s="107">
        <v>730.98071426723197</v>
      </c>
      <c r="J20" s="107">
        <v>766.93881997070605</v>
      </c>
      <c r="K20" s="107">
        <v>800.89984821703604</v>
      </c>
      <c r="L20" s="100">
        <v>834.86108281240297</v>
      </c>
      <c r="M20" s="100">
        <v>868.82208987495801</v>
      </c>
      <c r="N20" s="107">
        <v>904.78024821146005</v>
      </c>
      <c r="O20" s="100">
        <v>938.74125256545801</v>
      </c>
      <c r="P20" s="113">
        <v>972.70225995145802</v>
      </c>
      <c r="Q20" s="104">
        <v>1006.66326981446</v>
      </c>
      <c r="R20" s="104">
        <v>1042.6214125669101</v>
      </c>
      <c r="S20" s="104">
        <v>1076.5824207563701</v>
      </c>
      <c r="T20" s="104">
        <v>1110.5434310559599</v>
      </c>
      <c r="U20" s="104">
        <v>1144.50444314065</v>
      </c>
      <c r="V20" s="104">
        <v>1180.4625752581801</v>
      </c>
      <c r="W20" s="104">
        <v>1214.4235862118801</v>
      </c>
      <c r="X20" s="112">
        <v>1248.3845987172399</v>
      </c>
      <c r="Y20" s="104">
        <v>1282.3456125679299</v>
      </c>
      <c r="Z20" s="109">
        <v>1318.30373696478</v>
      </c>
      <c r="AA20" s="104"/>
      <c r="AB20" s="104"/>
      <c r="AC20" s="104"/>
    </row>
    <row r="21" spans="2:29" ht="15.75" x14ac:dyDescent="0.3">
      <c r="B21" s="2" t="s">
        <v>330</v>
      </c>
      <c r="C21" s="100">
        <v>539.23311503280399</v>
      </c>
      <c r="D21" s="100">
        <v>573.19414944701498</v>
      </c>
      <c r="E21" s="100">
        <v>607.15517358644502</v>
      </c>
      <c r="F21" s="100">
        <v>643.11327501383698</v>
      </c>
      <c r="G21" s="100">
        <v>677.07429637430903</v>
      </c>
      <c r="H21" s="100">
        <v>711.03532104172405</v>
      </c>
      <c r="I21" s="100">
        <v>744.99638909885198</v>
      </c>
      <c r="J21" s="100">
        <v>780.95445227069195</v>
      </c>
      <c r="K21" s="100">
        <v>814.915516377176</v>
      </c>
      <c r="L21" s="114">
        <v>848.87675496546501</v>
      </c>
      <c r="M21" s="114">
        <v>882.83776039534496</v>
      </c>
      <c r="N21" s="103">
        <v>918.79592518256402</v>
      </c>
      <c r="O21" s="114">
        <v>952.75692770614</v>
      </c>
      <c r="P21" s="104">
        <v>986.71793349301595</v>
      </c>
      <c r="Q21" s="104">
        <v>1020.678941947</v>
      </c>
      <c r="R21" s="104">
        <v>1056.6370899146</v>
      </c>
      <c r="S21" s="104">
        <v>1090.5980965735901</v>
      </c>
      <c r="T21" s="104">
        <v>1124.5591055037301</v>
      </c>
      <c r="U21" s="104">
        <v>1158.52011635586</v>
      </c>
      <c r="V21" s="104">
        <v>1194.4782528476001</v>
      </c>
      <c r="W21" s="104">
        <v>1228.4392624869499</v>
      </c>
      <c r="X21" s="104">
        <v>1262.4002737964099</v>
      </c>
      <c r="Y21" s="112">
        <v>1296.36128655434</v>
      </c>
      <c r="Z21" s="104">
        <v>1332.31941471602</v>
      </c>
      <c r="AA21" s="109">
        <v>1366.2804266023199</v>
      </c>
      <c r="AB21" s="104"/>
      <c r="AC21" s="104"/>
    </row>
    <row r="22" spans="2:29" ht="15.75" x14ac:dyDescent="0.3">
      <c r="B22" s="2" t="s">
        <v>331</v>
      </c>
      <c r="C22" s="100">
        <v>553.24876506024304</v>
      </c>
      <c r="D22" s="100">
        <v>587.20979629948704</v>
      </c>
      <c r="E22" s="107">
        <v>621.17083284984096</v>
      </c>
      <c r="F22" s="107">
        <v>657.12891635103995</v>
      </c>
      <c r="G22" s="107">
        <v>691.08994249019702</v>
      </c>
      <c r="H22" s="107">
        <v>725.05099511430603</v>
      </c>
      <c r="I22" s="107">
        <v>759.01201663956795</v>
      </c>
      <c r="J22" s="107">
        <v>794.97012162702902</v>
      </c>
      <c r="K22" s="107">
        <v>828.93116932851501</v>
      </c>
      <c r="L22" s="114">
        <v>862.89242791772199</v>
      </c>
      <c r="M22" s="114">
        <v>896.85343166253904</v>
      </c>
      <c r="N22" s="103">
        <v>932.81160349575998</v>
      </c>
      <c r="O22" s="114">
        <v>966.77260374542004</v>
      </c>
      <c r="P22" s="104">
        <v>1000.73360788321</v>
      </c>
      <c r="Q22" s="104">
        <v>1034.6946148833599</v>
      </c>
      <c r="R22" s="104">
        <v>1070.6527684708999</v>
      </c>
      <c r="S22" s="104">
        <v>1104.61377331521</v>
      </c>
      <c r="T22" s="104">
        <v>1138.5747808332101</v>
      </c>
      <c r="U22" s="104">
        <v>1172.53579041378</v>
      </c>
      <c r="V22" s="104">
        <v>1208.4939316472701</v>
      </c>
      <c r="W22" s="104">
        <v>1242.4549397047799</v>
      </c>
      <c r="X22" s="104">
        <v>1276.4159497811099</v>
      </c>
      <c r="Y22" s="104">
        <v>1310.37696141181</v>
      </c>
      <c r="Z22" s="112">
        <v>1346.3350936690599</v>
      </c>
      <c r="AA22" s="104">
        <v>1380.29610415871</v>
      </c>
      <c r="AB22" s="109">
        <v>1414.25711623035</v>
      </c>
      <c r="AC22" s="104"/>
    </row>
    <row r="23" spans="2:29" ht="15.75" x14ac:dyDescent="0.3">
      <c r="B23" s="2" t="s">
        <v>332</v>
      </c>
      <c r="C23" s="100">
        <v>567.26442550002002</v>
      </c>
      <c r="D23" s="100">
        <v>601.22544541631305</v>
      </c>
      <c r="E23" s="100">
        <v>635.18647625669701</v>
      </c>
      <c r="F23" s="100">
        <v>671.14456395230002</v>
      </c>
      <c r="G23" s="100">
        <v>705.10561571277105</v>
      </c>
      <c r="H23" s="100">
        <v>739.06664441148303</v>
      </c>
      <c r="I23" s="100">
        <v>773.027665623394</v>
      </c>
      <c r="J23" s="100">
        <v>808.98580206189797</v>
      </c>
      <c r="K23" s="100">
        <v>842.94710433482305</v>
      </c>
      <c r="L23" s="103">
        <v>876.90810180916003</v>
      </c>
      <c r="M23" s="103">
        <v>910.86910366810696</v>
      </c>
      <c r="N23" s="103">
        <v>946.82728241659095</v>
      </c>
      <c r="O23" s="114">
        <v>980.788281053471</v>
      </c>
      <c r="P23" s="104">
        <v>1014.7492831113</v>
      </c>
      <c r="Q23" s="104">
        <v>1048.7102886140201</v>
      </c>
      <c r="R23" s="104">
        <v>1084.6684477886599</v>
      </c>
      <c r="S23" s="104">
        <v>1118.6294512111001</v>
      </c>
      <c r="T23" s="104">
        <v>1152.5904572449999</v>
      </c>
      <c r="U23" s="104">
        <v>1186.55146530415</v>
      </c>
      <c r="V23" s="104">
        <v>1222.5096112301301</v>
      </c>
      <c r="W23" s="104">
        <v>1256.4706180893299</v>
      </c>
      <c r="X23" s="104">
        <v>1290.4316266595499</v>
      </c>
      <c r="Y23" s="104">
        <v>1324.3926371295399</v>
      </c>
      <c r="Z23" s="104">
        <v>1360.35077343025</v>
      </c>
      <c r="AA23" s="112">
        <v>1394.31178288106</v>
      </c>
      <c r="AB23" s="104">
        <v>1428.2727936045301</v>
      </c>
      <c r="AC23" s="109">
        <v>1462.2338058474199</v>
      </c>
    </row>
    <row r="24" spans="2:29" ht="15.75" x14ac:dyDescent="0.3">
      <c r="B24" s="2" t="s">
        <v>333</v>
      </c>
      <c r="C24" s="100">
        <v>581.28007226802004</v>
      </c>
      <c r="D24" s="100">
        <v>615.24109989922897</v>
      </c>
      <c r="E24" s="107">
        <v>649.20213842396299</v>
      </c>
      <c r="F24" s="107">
        <v>685.16023697025696</v>
      </c>
      <c r="G24" s="107">
        <v>719.12124477558598</v>
      </c>
      <c r="H24" s="107">
        <v>753.08232965680202</v>
      </c>
      <c r="I24" s="107">
        <v>787.04333280515903</v>
      </c>
      <c r="J24" s="107">
        <v>823.00147127010598</v>
      </c>
      <c r="K24" s="107">
        <v>856.96278119602596</v>
      </c>
      <c r="L24" s="103">
        <v>890.92377634319905</v>
      </c>
      <c r="M24" s="103">
        <v>924.88477640337805</v>
      </c>
      <c r="N24" s="114">
        <v>960.84296226894503</v>
      </c>
      <c r="O24" s="103">
        <v>994.80395890523403</v>
      </c>
      <c r="P24" s="104">
        <v>1028.7649594007401</v>
      </c>
      <c r="Q24" s="104">
        <v>1062.72596312924</v>
      </c>
      <c r="R24" s="104">
        <v>1098.6841282063201</v>
      </c>
      <c r="S24" s="104">
        <v>1132.6451298043401</v>
      </c>
      <c r="T24" s="104">
        <v>1166.6061343398101</v>
      </c>
      <c r="U24" s="104">
        <v>1200.5671412347599</v>
      </c>
      <c r="V24" s="104">
        <v>1236.52529177254</v>
      </c>
      <c r="W24" s="104">
        <v>1270.4862971953</v>
      </c>
      <c r="X24" s="104">
        <v>1304.4473046665801</v>
      </c>
      <c r="Y24" s="104">
        <v>1338.40831391607</v>
      </c>
      <c r="Z24" s="104">
        <v>1374.36645415982</v>
      </c>
      <c r="AA24" s="104">
        <v>1408.3274623520299</v>
      </c>
      <c r="AB24" s="112">
        <v>1442.28847211329</v>
      </c>
      <c r="AC24" s="115">
        <v>1476.24948326146</v>
      </c>
    </row>
    <row r="25" spans="2:29" ht="15.75" x14ac:dyDescent="0.3">
      <c r="B25" s="2" t="s">
        <v>334</v>
      </c>
      <c r="C25" s="103">
        <v>595.29571975223098</v>
      </c>
      <c r="D25" s="103">
        <v>629.256751492744</v>
      </c>
      <c r="E25" s="103">
        <v>663.217800834728</v>
      </c>
      <c r="F25" s="103">
        <v>699.17587210126396</v>
      </c>
      <c r="G25" s="103">
        <v>733.13693374947604</v>
      </c>
      <c r="H25" s="103">
        <v>767.09794228663702</v>
      </c>
      <c r="I25" s="103">
        <v>801.05901110183004</v>
      </c>
      <c r="J25" s="103">
        <v>837.017126744346</v>
      </c>
      <c r="K25" s="103">
        <v>870.97845868015702</v>
      </c>
      <c r="L25" s="103">
        <v>904.93945187492704</v>
      </c>
      <c r="M25" s="103">
        <v>938.90045001645103</v>
      </c>
      <c r="N25" s="114">
        <v>974.85864303844801</v>
      </c>
      <c r="O25" s="103">
        <v>1008.81963762295</v>
      </c>
      <c r="P25" s="104">
        <v>1042.7806364661801</v>
      </c>
      <c r="Q25" s="104">
        <v>1076.7416386541299</v>
      </c>
      <c r="R25" s="104">
        <v>1112.6998094195999</v>
      </c>
      <c r="S25" s="104">
        <v>1146.66080943826</v>
      </c>
      <c r="T25" s="104">
        <v>1180.6218122857099</v>
      </c>
      <c r="U25" s="104">
        <v>1214.5828177942201</v>
      </c>
      <c r="V25" s="104">
        <v>1250.5409732599901</v>
      </c>
      <c r="W25" s="104">
        <v>1284.5019772093799</v>
      </c>
      <c r="X25" s="104">
        <v>1318.4629833378499</v>
      </c>
      <c r="Y25" s="104">
        <v>1352.42399135849</v>
      </c>
      <c r="Z25" s="104">
        <v>1388.3821358432299</v>
      </c>
      <c r="AA25" s="104">
        <v>1422.34314274443</v>
      </c>
      <c r="AB25" s="104">
        <v>1456.30415131472</v>
      </c>
      <c r="AC25" s="112">
        <v>1490.26516136082</v>
      </c>
    </row>
    <row r="26" spans="2:29" ht="15.75" x14ac:dyDescent="0.3">
      <c r="B26" s="2" t="s">
        <v>335</v>
      </c>
      <c r="C26" s="103">
        <v>609.31137117826302</v>
      </c>
      <c r="D26" s="103">
        <v>643.27241017889196</v>
      </c>
      <c r="E26" s="103">
        <v>677.23343802970498</v>
      </c>
      <c r="F26" s="103">
        <v>713.19151504555703</v>
      </c>
      <c r="G26" s="103">
        <v>747.15260698095699</v>
      </c>
      <c r="H26" s="103">
        <v>781.11363558304197</v>
      </c>
      <c r="I26" s="103">
        <v>815.07468797715796</v>
      </c>
      <c r="J26" s="103">
        <v>851.03282331627599</v>
      </c>
      <c r="K26" s="103">
        <v>884.99413697997102</v>
      </c>
      <c r="L26" s="103">
        <v>918.95512797101503</v>
      </c>
      <c r="M26" s="114">
        <v>952.91612441820598</v>
      </c>
      <c r="N26" s="103">
        <v>988.87432471042598</v>
      </c>
      <c r="O26" s="103">
        <v>1022.8353171938001</v>
      </c>
      <c r="P26" s="104">
        <v>1056.79631419569</v>
      </c>
      <c r="Q26" s="104">
        <v>1090.7573148987501</v>
      </c>
      <c r="R26" s="104">
        <v>1126.71549155196</v>
      </c>
      <c r="S26" s="104">
        <v>1160.67648981304</v>
      </c>
      <c r="T26" s="104">
        <v>1194.6374912195599</v>
      </c>
      <c r="U26" s="104">
        <v>1228.5984951579101</v>
      </c>
      <c r="V26" s="104">
        <v>1264.55665582967</v>
      </c>
      <c r="W26" s="104">
        <v>1298.5176581180899</v>
      </c>
      <c r="X26" s="104">
        <v>1332.4786628706199</v>
      </c>
      <c r="Y26" s="104">
        <v>1366.43966963155</v>
      </c>
      <c r="Z26" s="104">
        <v>1402.3978184656401</v>
      </c>
      <c r="AA26" s="104">
        <v>1436.3588240445499</v>
      </c>
      <c r="AB26" s="104">
        <v>1470.31983139453</v>
      </c>
      <c r="AC26" s="116">
        <v>1504.28084031094</v>
      </c>
    </row>
    <row r="27" spans="2:29" ht="15.75" x14ac:dyDescent="0.3">
      <c r="B27" s="2" t="s">
        <v>336</v>
      </c>
      <c r="C27" s="103">
        <v>623.32702544487404</v>
      </c>
      <c r="D27" s="103">
        <v>657.28806768662105</v>
      </c>
      <c r="E27" s="103">
        <v>691.24909697665203</v>
      </c>
      <c r="F27" s="103">
        <v>727.20721415374305</v>
      </c>
      <c r="G27" s="103">
        <v>761.16820612318304</v>
      </c>
      <c r="H27" s="103">
        <v>795.12925120824104</v>
      </c>
      <c r="I27" s="103">
        <v>829.09030746849601</v>
      </c>
      <c r="J27" s="103">
        <v>865.048460890515</v>
      </c>
      <c r="K27" s="103">
        <v>899.00981608303505</v>
      </c>
      <c r="L27" s="103">
        <v>932.97080481864396</v>
      </c>
      <c r="M27" s="114">
        <v>966.931799333252</v>
      </c>
      <c r="N27" s="103">
        <v>1002.89000726991</v>
      </c>
      <c r="O27" s="103">
        <v>1036.8509976047001</v>
      </c>
      <c r="P27" s="104">
        <v>1070.8119927222899</v>
      </c>
      <c r="Q27" s="104">
        <v>1104.77299175952</v>
      </c>
      <c r="R27" s="104">
        <v>1140.7311745883401</v>
      </c>
      <c r="S27" s="104">
        <v>1174.6921710520201</v>
      </c>
      <c r="T27" s="104">
        <v>1208.6531708451901</v>
      </c>
      <c r="U27" s="104">
        <v>1242.61417346232</v>
      </c>
      <c r="V27" s="104">
        <v>1278.57233917691</v>
      </c>
      <c r="W27" s="104">
        <v>1312.5333400591001</v>
      </c>
      <c r="X27" s="104">
        <v>1346.49434325228</v>
      </c>
      <c r="Y27" s="104">
        <v>1380.4553487236601</v>
      </c>
      <c r="Z27" s="104">
        <v>1416.4135020119299</v>
      </c>
      <c r="AA27" s="104">
        <v>1450.3745062384501</v>
      </c>
      <c r="AB27" s="104">
        <v>1484.3355123397901</v>
      </c>
      <c r="AC27" s="116">
        <v>1518.2965200998301</v>
      </c>
    </row>
    <row r="28" spans="2:29" ht="15.75" x14ac:dyDescent="0.3">
      <c r="B28" s="2" t="s">
        <v>337</v>
      </c>
      <c r="C28" s="103">
        <v>637.34267219808896</v>
      </c>
      <c r="D28" s="103">
        <v>671.30370949913095</v>
      </c>
      <c r="E28" s="103">
        <v>705.26473672176905</v>
      </c>
      <c r="F28" s="103">
        <v>741.22286936437195</v>
      </c>
      <c r="G28" s="103">
        <v>775.18386328547899</v>
      </c>
      <c r="H28" s="103">
        <v>809.14498013517698</v>
      </c>
      <c r="I28" s="103">
        <v>843.10625861555002</v>
      </c>
      <c r="J28" s="103">
        <v>879.06451739622503</v>
      </c>
      <c r="K28" s="103">
        <v>913.02549597667303</v>
      </c>
      <c r="L28" s="114">
        <v>946.98648240699094</v>
      </c>
      <c r="M28" s="103">
        <v>980.94747494473802</v>
      </c>
      <c r="N28" s="103">
        <v>1016.90569070168</v>
      </c>
      <c r="O28" s="103">
        <v>1050.8666788423</v>
      </c>
      <c r="P28" s="104">
        <v>1084.8276720342101</v>
      </c>
      <c r="Q28" s="104">
        <v>1118.78866936793</v>
      </c>
      <c r="R28" s="104">
        <v>1154.7468585134</v>
      </c>
      <c r="S28" s="104">
        <v>1188.70785314146</v>
      </c>
      <c r="T28" s="104">
        <v>1222.66885128595</v>
      </c>
      <c r="U28" s="104">
        <v>1256.6298524142601</v>
      </c>
      <c r="V28" s="104">
        <v>1292.5880234244401</v>
      </c>
      <c r="W28" s="104">
        <v>1326.5490227294999</v>
      </c>
      <c r="X28" s="104">
        <v>1360.5100246211</v>
      </c>
      <c r="Y28" s="104">
        <v>1394.4710286230199</v>
      </c>
      <c r="Z28" s="104">
        <v>1430.4291866179601</v>
      </c>
      <c r="AA28" s="104">
        <v>1464.39018931189</v>
      </c>
      <c r="AB28" s="104">
        <v>1498.3511941373099</v>
      </c>
      <c r="AC28" s="116">
        <v>1532.3122007152399</v>
      </c>
    </row>
    <row r="29" spans="2:29" ht="15.75" x14ac:dyDescent="0.3">
      <c r="B29" s="2" t="s">
        <v>338</v>
      </c>
      <c r="C29" s="103">
        <v>651.35835032173804</v>
      </c>
      <c r="D29" s="103">
        <v>685.31937438208297</v>
      </c>
      <c r="E29" s="103">
        <v>719.28039287819297</v>
      </c>
      <c r="F29" s="103">
        <v>755.23849911655998</v>
      </c>
      <c r="G29" s="103">
        <v>789.19952646393801</v>
      </c>
      <c r="H29" s="103">
        <v>823.16056849923996</v>
      </c>
      <c r="I29" s="103">
        <v>857.12193155918101</v>
      </c>
      <c r="J29" s="103">
        <v>893.07976234582395</v>
      </c>
      <c r="K29" s="103">
        <v>927.04117664799003</v>
      </c>
      <c r="L29" s="114">
        <v>961.00216072502997</v>
      </c>
      <c r="M29" s="103">
        <v>994.96315124312798</v>
      </c>
      <c r="N29" s="103">
        <v>1030.9213749902401</v>
      </c>
      <c r="O29" s="103">
        <v>1064.88236089304</v>
      </c>
      <c r="P29" s="104">
        <v>1098.84335211946</v>
      </c>
      <c r="Q29" s="104">
        <v>1132.8043477133101</v>
      </c>
      <c r="R29" s="104">
        <v>1168.76254331156</v>
      </c>
      <c r="S29" s="104">
        <v>1202.7235360673501</v>
      </c>
      <c r="T29" s="104">
        <v>1236.6845325292099</v>
      </c>
      <c r="U29" s="104">
        <v>1270.64553213719</v>
      </c>
      <c r="V29" s="104">
        <v>1306.6037085565999</v>
      </c>
      <c r="W29" s="104">
        <v>1340.5647062529699</v>
      </c>
      <c r="X29" s="104">
        <v>1374.52570667544</v>
      </c>
      <c r="Y29" s="104">
        <v>1408.4867094685201</v>
      </c>
      <c r="Z29" s="104">
        <v>1444.4448719797899</v>
      </c>
      <c r="AA29" s="104">
        <v>1478.40587340209</v>
      </c>
      <c r="AB29" s="104">
        <v>1512.3668767736799</v>
      </c>
      <c r="AC29" s="116">
        <v>1546.32788214471</v>
      </c>
    </row>
    <row r="30" spans="2:29" ht="15.75" x14ac:dyDescent="0.3">
      <c r="B30" s="2" t="s">
        <v>339</v>
      </c>
      <c r="C30" s="103">
        <v>665.37399061975304</v>
      </c>
      <c r="D30" s="103">
        <v>699.335008995218</v>
      </c>
      <c r="E30" s="103">
        <v>733.29604602140603</v>
      </c>
      <c r="F30" s="103">
        <v>769.25413315539697</v>
      </c>
      <c r="G30" s="103">
        <v>803.21518666638099</v>
      </c>
      <c r="H30" s="103">
        <v>837.17624790683999</v>
      </c>
      <c r="I30" s="103">
        <v>871.13760531702098</v>
      </c>
      <c r="J30" s="103">
        <v>907.09588510822903</v>
      </c>
      <c r="K30" s="114">
        <v>941.05685808387295</v>
      </c>
      <c r="L30" s="114">
        <v>975.01783976153695</v>
      </c>
      <c r="M30" s="114">
        <v>1008.97882821871</v>
      </c>
      <c r="N30" s="114">
        <v>1044.93706011989</v>
      </c>
      <c r="O30" s="114">
        <v>1078.8980437431301</v>
      </c>
      <c r="P30" s="113">
        <v>1112.85903296585</v>
      </c>
      <c r="Q30" s="113">
        <v>1146.8200267847999</v>
      </c>
      <c r="R30" s="113">
        <v>1182.7782289669999</v>
      </c>
      <c r="S30" s="113">
        <v>1216.7392198154701</v>
      </c>
      <c r="T30" s="113">
        <v>1250.70021456212</v>
      </c>
      <c r="U30" s="113">
        <v>1284.66121261943</v>
      </c>
      <c r="V30" s="113">
        <v>1320.6193945575201</v>
      </c>
      <c r="W30" s="113">
        <v>1354.5803906149999</v>
      </c>
      <c r="X30" s="113">
        <v>1388.5413895399399</v>
      </c>
      <c r="Y30" s="113">
        <v>1422.5023909593899</v>
      </c>
      <c r="Z30" s="113">
        <v>1458.46055821901</v>
      </c>
      <c r="AA30" s="113">
        <v>1492.4215582049001</v>
      </c>
      <c r="AB30" s="113">
        <v>1526.38256038748</v>
      </c>
      <c r="AC30" s="116">
        <v>1560.3435643755399</v>
      </c>
    </row>
    <row r="31" spans="2:29" ht="15.75" x14ac:dyDescent="0.3">
      <c r="B31" s="4" t="s">
        <v>340</v>
      </c>
      <c r="C31" s="117">
        <v>679.38963407091899</v>
      </c>
      <c r="D31" s="117">
        <v>713.35068825892495</v>
      </c>
      <c r="E31" s="117">
        <v>747.31172787344894</v>
      </c>
      <c r="F31" s="117">
        <v>783.26986304183697</v>
      </c>
      <c r="G31" s="117">
        <v>817.23085555824105</v>
      </c>
      <c r="H31" s="117">
        <v>851.19196542186501</v>
      </c>
      <c r="I31" s="117">
        <v>885.15327946981097</v>
      </c>
      <c r="J31" s="117">
        <v>921.11157017274695</v>
      </c>
      <c r="K31" s="117">
        <v>955.07254027101806</v>
      </c>
      <c r="L31" s="117">
        <v>989.03351950510898</v>
      </c>
      <c r="M31" s="117">
        <v>1022.99450586161</v>
      </c>
      <c r="N31" s="117">
        <v>1058.9527460746899</v>
      </c>
      <c r="O31" s="117">
        <v>1092.91372737857</v>
      </c>
      <c r="P31" s="118">
        <v>1126.87471456099</v>
      </c>
      <c r="Q31" s="118">
        <v>1160.8357065713601</v>
      </c>
      <c r="R31" s="118">
        <v>1196.7939154636699</v>
      </c>
      <c r="S31" s="118">
        <v>1230.7549043714</v>
      </c>
      <c r="T31" s="118">
        <v>1264.71589737163</v>
      </c>
      <c r="U31" s="118">
        <v>1298.67689384916</v>
      </c>
      <c r="V31" s="118">
        <v>1334.6350814110899</v>
      </c>
      <c r="W31" s="118">
        <v>1368.59607580086</v>
      </c>
      <c r="X31" s="118">
        <v>1402.5570732010899</v>
      </c>
      <c r="Y31" s="118">
        <v>1436.51807322127</v>
      </c>
      <c r="Z31" s="118">
        <v>1472.4762453195001</v>
      </c>
      <c r="AA31" s="118">
        <v>1506.4372438436301</v>
      </c>
      <c r="AB31" s="118">
        <v>1540.3982446740799</v>
      </c>
      <c r="AC31" s="119">
        <v>1574.3592475477101</v>
      </c>
    </row>
    <row r="33" spans="1:29" ht="17.25" x14ac:dyDescent="0.25">
      <c r="A33" s="35" t="s">
        <v>1821</v>
      </c>
      <c r="X33" s="237" t="s">
        <v>1818</v>
      </c>
      <c r="Y33" s="153">
        <v>690.65207999999996</v>
      </c>
      <c r="Z33" s="10"/>
      <c r="AA33" s="237" t="s">
        <v>1819</v>
      </c>
      <c r="AB33" s="153">
        <v>696.72488999999996</v>
      </c>
    </row>
    <row r="34" spans="1:29" ht="15.75" x14ac:dyDescent="0.3">
      <c r="B34" s="168" t="s">
        <v>1793</v>
      </c>
      <c r="C34" s="17" t="s">
        <v>1012</v>
      </c>
      <c r="D34" s="18" t="s">
        <v>322</v>
      </c>
      <c r="E34" s="18" t="s">
        <v>323</v>
      </c>
      <c r="F34" s="18" t="s">
        <v>324</v>
      </c>
      <c r="G34" s="18" t="s">
        <v>325</v>
      </c>
      <c r="H34" s="18" t="s">
        <v>326</v>
      </c>
      <c r="I34" s="18" t="s">
        <v>2</v>
      </c>
      <c r="J34" s="18" t="s">
        <v>3</v>
      </c>
      <c r="K34" s="18" t="s">
        <v>4</v>
      </c>
      <c r="L34" s="18" t="s">
        <v>5</v>
      </c>
      <c r="M34" s="18" t="s">
        <v>6</v>
      </c>
      <c r="N34" s="18" t="s">
        <v>7</v>
      </c>
      <c r="O34" s="18" t="s">
        <v>8</v>
      </c>
      <c r="P34" s="18" t="s">
        <v>1016</v>
      </c>
      <c r="Q34" s="18" t="s">
        <v>1017</v>
      </c>
      <c r="R34" s="18" t="s">
        <v>1018</v>
      </c>
      <c r="S34" s="18" t="s">
        <v>1074</v>
      </c>
      <c r="T34" s="18" t="s">
        <v>1075</v>
      </c>
      <c r="U34" s="18" t="s">
        <v>1076</v>
      </c>
      <c r="V34" s="18" t="s">
        <v>1077</v>
      </c>
      <c r="W34" s="18" t="s">
        <v>1078</v>
      </c>
      <c r="X34" s="18" t="s">
        <v>1079</v>
      </c>
      <c r="Y34" s="18" t="s">
        <v>1080</v>
      </c>
      <c r="Z34" s="18" t="s">
        <v>1081</v>
      </c>
      <c r="AA34" s="18" t="s">
        <v>1082</v>
      </c>
      <c r="AB34" s="18" t="s">
        <v>1083</v>
      </c>
      <c r="AC34" s="19" t="s">
        <v>1084</v>
      </c>
    </row>
    <row r="35" spans="1:29" ht="15.75" x14ac:dyDescent="0.3">
      <c r="B35" s="5" t="s">
        <v>1011</v>
      </c>
      <c r="C35" s="120">
        <v>288.94846235803402</v>
      </c>
      <c r="D35" s="120">
        <v>322.90949003644698</v>
      </c>
      <c r="E35" s="120">
        <v>356.87051772037898</v>
      </c>
      <c r="F35" s="120">
        <v>388.83449551604002</v>
      </c>
      <c r="G35" s="121">
        <v>422.79552320114198</v>
      </c>
      <c r="H35" s="120">
        <v>460.75065083409203</v>
      </c>
      <c r="I35" s="122">
        <v>494.711678919272</v>
      </c>
      <c r="J35" s="123"/>
      <c r="K35" s="123"/>
      <c r="L35" s="123"/>
      <c r="M35" s="123"/>
      <c r="N35" s="123"/>
      <c r="O35" s="123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</row>
    <row r="36" spans="1:29" ht="15.75" x14ac:dyDescent="0.3">
      <c r="B36" s="3" t="s">
        <v>321</v>
      </c>
      <c r="C36" s="125">
        <v>302.96411242205198</v>
      </c>
      <c r="D36" s="125">
        <v>336.92514010484098</v>
      </c>
      <c r="E36" s="125">
        <v>370.88616778129102</v>
      </c>
      <c r="F36" s="125">
        <v>402.85014562143698</v>
      </c>
      <c r="G36" s="125">
        <v>436.81117328863098</v>
      </c>
      <c r="H36" s="126">
        <v>474.766301038959</v>
      </c>
      <c r="I36" s="127">
        <v>508.72732877509799</v>
      </c>
      <c r="J36" s="128">
        <v>540.69130690830298</v>
      </c>
      <c r="K36" s="127"/>
      <c r="L36" s="127"/>
      <c r="M36" s="127"/>
      <c r="N36" s="127"/>
      <c r="O36" s="127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</row>
    <row r="37" spans="1:29" ht="15.75" x14ac:dyDescent="0.3">
      <c r="B37" s="2" t="s">
        <v>10</v>
      </c>
      <c r="C37" s="120">
        <v>316.97976248607603</v>
      </c>
      <c r="D37" s="120">
        <v>350.94079016585698</v>
      </c>
      <c r="E37" s="127">
        <v>384.90181786360898</v>
      </c>
      <c r="F37" s="127">
        <v>416.86579568254598</v>
      </c>
      <c r="G37" s="127">
        <v>450.82682348072802</v>
      </c>
      <c r="H37" s="127">
        <v>488.78195157907101</v>
      </c>
      <c r="I37" s="121">
        <v>522.74297903582703</v>
      </c>
      <c r="J37" s="127">
        <v>554.70695773443902</v>
      </c>
      <c r="K37" s="128">
        <v>588.66798554554305</v>
      </c>
      <c r="L37" s="127"/>
      <c r="M37" s="127"/>
      <c r="N37" s="127"/>
      <c r="O37" s="127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</row>
    <row r="38" spans="1:29" ht="15.75" x14ac:dyDescent="0.3">
      <c r="B38" s="2" t="s">
        <v>11</v>
      </c>
      <c r="C38" s="120">
        <v>330.99541255038298</v>
      </c>
      <c r="D38" s="120">
        <v>364.95644024363298</v>
      </c>
      <c r="E38" s="127">
        <v>398.91746792065697</v>
      </c>
      <c r="F38" s="127">
        <v>430.88144583851198</v>
      </c>
      <c r="G38" s="127">
        <v>464.84247382697902</v>
      </c>
      <c r="H38" s="127">
        <v>502.79760131922899</v>
      </c>
      <c r="I38" s="127">
        <v>536.75863132657196</v>
      </c>
      <c r="J38" s="121">
        <v>568.72260881277896</v>
      </c>
      <c r="K38" s="127">
        <v>602.68363639596998</v>
      </c>
      <c r="L38" s="128">
        <v>640.63877290701805</v>
      </c>
      <c r="M38" s="127"/>
      <c r="N38" s="127"/>
      <c r="O38" s="127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</row>
    <row r="39" spans="1:29" ht="15.75" x14ac:dyDescent="0.3">
      <c r="B39" s="2" t="s">
        <v>12</v>
      </c>
      <c r="C39" s="120">
        <v>345.01106261577098</v>
      </c>
      <c r="D39" s="120">
        <v>378.97209032114301</v>
      </c>
      <c r="E39" s="127">
        <v>412.93311810758502</v>
      </c>
      <c r="F39" s="127">
        <v>444.897096020513</v>
      </c>
      <c r="G39" s="127">
        <v>478.85812399734101</v>
      </c>
      <c r="H39" s="127">
        <v>516.81325200496099</v>
      </c>
      <c r="I39" s="127">
        <v>550.77428040363998</v>
      </c>
      <c r="J39" s="127">
        <v>582.73825858492705</v>
      </c>
      <c r="K39" s="121">
        <v>616.69928676990696</v>
      </c>
      <c r="L39" s="127">
        <v>654.65442403117504</v>
      </c>
      <c r="M39" s="128">
        <v>688.61545867951497</v>
      </c>
      <c r="N39" s="127"/>
      <c r="O39" s="127"/>
      <c r="P39" s="124"/>
      <c r="Q39" s="124"/>
      <c r="R39" s="124"/>
      <c r="S39" s="124"/>
      <c r="T39" s="124"/>
      <c r="U39" s="124"/>
      <c r="V39" s="124"/>
      <c r="W39" s="124"/>
      <c r="X39" s="124"/>
      <c r="Y39" s="124"/>
      <c r="Z39" s="124"/>
      <c r="AA39" s="124"/>
      <c r="AB39" s="124"/>
      <c r="AC39" s="124"/>
    </row>
    <row r="40" spans="1:29" ht="15.75" x14ac:dyDescent="0.3">
      <c r="B40" s="3" t="s">
        <v>13</v>
      </c>
      <c r="C40" s="125">
        <v>359.026712705352</v>
      </c>
      <c r="D40" s="125">
        <v>392.98774037109501</v>
      </c>
      <c r="E40" s="125">
        <v>426.94876807685802</v>
      </c>
      <c r="F40" s="125">
        <v>458.912746012132</v>
      </c>
      <c r="G40" s="125">
        <v>492.87377379997298</v>
      </c>
      <c r="H40" s="125">
        <v>530.82890221733703</v>
      </c>
      <c r="I40" s="125">
        <v>564.78993095432998</v>
      </c>
      <c r="J40" s="125">
        <v>596.75391289630704</v>
      </c>
      <c r="K40" s="125">
        <v>630.71493761102101</v>
      </c>
      <c r="L40" s="126">
        <v>668.67006958182697</v>
      </c>
      <c r="M40" s="127">
        <v>702.63111350308395</v>
      </c>
      <c r="N40" s="128">
        <v>734.59508357390303</v>
      </c>
      <c r="O40" s="127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</row>
    <row r="41" spans="1:29" ht="15.75" x14ac:dyDescent="0.3">
      <c r="B41" s="2" t="s">
        <v>14</v>
      </c>
      <c r="C41" s="120">
        <v>373.042362793866</v>
      </c>
      <c r="D41" s="120">
        <v>407.003390442029</v>
      </c>
      <c r="E41" s="127">
        <v>440.96441822793901</v>
      </c>
      <c r="F41" s="127">
        <v>472.92839619458198</v>
      </c>
      <c r="G41" s="127">
        <v>506.88942393824198</v>
      </c>
      <c r="H41" s="127">
        <v>544.84455572270701</v>
      </c>
      <c r="I41" s="127">
        <v>578.80558200096402</v>
      </c>
      <c r="J41" s="127">
        <v>610.76956491891701</v>
      </c>
      <c r="K41" s="127">
        <v>644.73059541195096</v>
      </c>
      <c r="L41" s="127">
        <v>682.68572480611897</v>
      </c>
      <c r="M41" s="121">
        <v>716.646752400987</v>
      </c>
      <c r="N41" s="127">
        <v>748.61073725928202</v>
      </c>
      <c r="O41" s="128">
        <v>782.57181051615601</v>
      </c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</row>
    <row r="42" spans="1:29" ht="15.75" x14ac:dyDescent="0.3">
      <c r="B42" s="2" t="s">
        <v>15</v>
      </c>
      <c r="C42" s="120">
        <v>387.05801293041998</v>
      </c>
      <c r="D42" s="120">
        <v>421.01904057702302</v>
      </c>
      <c r="E42" s="127">
        <v>454.98006863305898</v>
      </c>
      <c r="F42" s="127">
        <v>486.94404703690799</v>
      </c>
      <c r="G42" s="127">
        <v>520.90507428521505</v>
      </c>
      <c r="H42" s="127">
        <v>558.86020548699798</v>
      </c>
      <c r="I42" s="127">
        <v>592.82123911464896</v>
      </c>
      <c r="J42" s="127">
        <v>624.78521233334504</v>
      </c>
      <c r="K42" s="127">
        <v>658.74623980558397</v>
      </c>
      <c r="L42" s="127">
        <v>696.70137419123796</v>
      </c>
      <c r="M42" s="127">
        <v>730.66241815921705</v>
      </c>
      <c r="N42" s="121">
        <v>762.62644860437001</v>
      </c>
      <c r="O42" s="127">
        <v>796.58747075001304</v>
      </c>
      <c r="P42" s="129">
        <v>834.54265710481002</v>
      </c>
      <c r="Q42" s="124"/>
      <c r="R42" s="124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4"/>
    </row>
    <row r="43" spans="1:29" ht="15.75" x14ac:dyDescent="0.3">
      <c r="B43" s="2" t="s">
        <v>16</v>
      </c>
      <c r="C43" s="120">
        <v>401.07366291185298</v>
      </c>
      <c r="D43" s="120">
        <v>435.03469067262699</v>
      </c>
      <c r="E43" s="127">
        <v>468.99571902583602</v>
      </c>
      <c r="F43" s="127">
        <v>500.95969712523703</v>
      </c>
      <c r="G43" s="127">
        <v>534.92072629128302</v>
      </c>
      <c r="H43" s="127">
        <v>572.87586039393295</v>
      </c>
      <c r="I43" s="127">
        <v>606.83688674424502</v>
      </c>
      <c r="J43" s="127">
        <v>638.80086445047004</v>
      </c>
      <c r="K43" s="127">
        <v>672.76189846020998</v>
      </c>
      <c r="L43" s="127">
        <v>710.71703622119401</v>
      </c>
      <c r="M43" s="127">
        <v>744.67808380939903</v>
      </c>
      <c r="N43" s="127">
        <v>776.64211032251899</v>
      </c>
      <c r="O43" s="121">
        <v>810.60313169487301</v>
      </c>
      <c r="P43" s="124">
        <v>848.55832643864903</v>
      </c>
      <c r="Q43" s="129">
        <v>882.51934371643802</v>
      </c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</row>
    <row r="44" spans="1:29" ht="15.75" x14ac:dyDescent="0.3">
      <c r="B44" s="3" t="s">
        <v>17</v>
      </c>
      <c r="C44" s="125">
        <v>415.08931332097899</v>
      </c>
      <c r="D44" s="125">
        <v>449.050340693392</v>
      </c>
      <c r="E44" s="125">
        <v>483.01136908349298</v>
      </c>
      <c r="F44" s="125">
        <v>514.97534725340597</v>
      </c>
      <c r="G44" s="125">
        <v>548.93637619922697</v>
      </c>
      <c r="H44" s="125">
        <v>586.89150731980999</v>
      </c>
      <c r="I44" s="125">
        <v>620.85254193533399</v>
      </c>
      <c r="J44" s="125">
        <v>652.81651397995495</v>
      </c>
      <c r="K44" s="125">
        <v>686.77754316828896</v>
      </c>
      <c r="L44" s="125">
        <v>724.73268621503701</v>
      </c>
      <c r="M44" s="125">
        <v>758.69374068985599</v>
      </c>
      <c r="N44" s="125">
        <v>790.65777279424594</v>
      </c>
      <c r="O44" s="125">
        <v>824.61879334587798</v>
      </c>
      <c r="P44" s="130">
        <v>862.57399700500002</v>
      </c>
      <c r="Q44" s="124">
        <v>896.53501293627698</v>
      </c>
      <c r="R44" s="129">
        <v>928.49894308791704</v>
      </c>
      <c r="S44" s="124"/>
      <c r="T44" s="124"/>
      <c r="U44" s="124"/>
      <c r="V44" s="124"/>
      <c r="W44" s="124"/>
      <c r="X44" s="124"/>
      <c r="Y44" s="124"/>
      <c r="Z44" s="124"/>
      <c r="AA44" s="124"/>
      <c r="AB44" s="124"/>
      <c r="AC44" s="124"/>
    </row>
    <row r="45" spans="1:29" ht="15.75" x14ac:dyDescent="0.3">
      <c r="B45" s="2" t="s">
        <v>9</v>
      </c>
      <c r="C45" s="120">
        <v>429.104963089862</v>
      </c>
      <c r="D45" s="120">
        <v>463.06599136961103</v>
      </c>
      <c r="E45" s="127">
        <v>497.02701956325598</v>
      </c>
      <c r="F45" s="127">
        <v>528.99099738033101</v>
      </c>
      <c r="G45" s="127">
        <v>562.95202752962405</v>
      </c>
      <c r="H45" s="127">
        <v>600.90715803816795</v>
      </c>
      <c r="I45" s="127">
        <v>634.86818837226804</v>
      </c>
      <c r="J45" s="127">
        <v>666.83217271138301</v>
      </c>
      <c r="K45" s="127">
        <v>700.79320155096696</v>
      </c>
      <c r="L45" s="120">
        <v>738.74835537086904</v>
      </c>
      <c r="M45" s="120">
        <v>772.70937557477396</v>
      </c>
      <c r="N45" s="127">
        <v>804.67343623531406</v>
      </c>
      <c r="O45" s="131">
        <v>838.63445569787302</v>
      </c>
      <c r="P45" s="124">
        <v>876.58966879130298</v>
      </c>
      <c r="Q45" s="132">
        <v>910.55068330168297</v>
      </c>
      <c r="R45" s="124">
        <v>942.51460758857604</v>
      </c>
      <c r="S45" s="129">
        <v>976.47562794845101</v>
      </c>
      <c r="T45" s="124"/>
      <c r="U45" s="124"/>
      <c r="V45" s="124"/>
      <c r="W45" s="124"/>
      <c r="X45" s="124"/>
      <c r="Y45" s="124"/>
      <c r="Z45" s="124"/>
      <c r="AA45" s="124"/>
      <c r="AB45" s="124"/>
      <c r="AC45" s="124"/>
    </row>
    <row r="46" spans="1:29" ht="15.75" x14ac:dyDescent="0.3">
      <c r="B46" s="2" t="s">
        <v>18</v>
      </c>
      <c r="C46" s="120">
        <v>443.12061414722501</v>
      </c>
      <c r="D46" s="120">
        <v>477.08164099179498</v>
      </c>
      <c r="E46" s="127">
        <v>511.04267176919302</v>
      </c>
      <c r="F46" s="127">
        <v>543.00664859341305</v>
      </c>
      <c r="G46" s="127">
        <v>576.96767832447301</v>
      </c>
      <c r="H46" s="127">
        <v>614.92280565794397</v>
      </c>
      <c r="I46" s="127">
        <v>648.88383771895894</v>
      </c>
      <c r="J46" s="127">
        <v>680.84782419589305</v>
      </c>
      <c r="K46" s="127">
        <v>714.80886203517002</v>
      </c>
      <c r="L46" s="120">
        <v>752.76400947109403</v>
      </c>
      <c r="M46" s="120">
        <v>786.72503742124798</v>
      </c>
      <c r="N46" s="127">
        <v>818.689100254663</v>
      </c>
      <c r="O46" s="120">
        <v>852.65011899089802</v>
      </c>
      <c r="P46" s="124">
        <v>890.605341784345</v>
      </c>
      <c r="Q46" s="124">
        <v>924.56635480110299</v>
      </c>
      <c r="R46" s="132">
        <v>956.53027291089097</v>
      </c>
      <c r="S46" s="124">
        <v>990.49129243154005</v>
      </c>
      <c r="T46" s="129">
        <v>1028.4464986410001</v>
      </c>
      <c r="U46" s="124"/>
      <c r="V46" s="124"/>
      <c r="W46" s="124"/>
      <c r="X46" s="124"/>
      <c r="Y46" s="124"/>
      <c r="Z46" s="124"/>
      <c r="AA46" s="124"/>
      <c r="AB46" s="124"/>
      <c r="AC46" s="124"/>
    </row>
    <row r="47" spans="1:29" ht="15.75" x14ac:dyDescent="0.3">
      <c r="B47" s="2" t="s">
        <v>19</v>
      </c>
      <c r="C47" s="120">
        <v>457.136264481588</v>
      </c>
      <c r="D47" s="120">
        <v>491.09729237955003</v>
      </c>
      <c r="E47" s="127">
        <v>525.05831930393504</v>
      </c>
      <c r="F47" s="127">
        <v>557.02230055999803</v>
      </c>
      <c r="G47" s="127">
        <v>590.98332727505704</v>
      </c>
      <c r="H47" s="127">
        <v>628.93846255924996</v>
      </c>
      <c r="I47" s="127">
        <v>662.89950181830204</v>
      </c>
      <c r="J47" s="127">
        <v>694.86347919189996</v>
      </c>
      <c r="K47" s="127">
        <v>728.82450608390297</v>
      </c>
      <c r="L47" s="120">
        <v>766.77968411450297</v>
      </c>
      <c r="M47" s="120">
        <v>800.74086799436895</v>
      </c>
      <c r="N47" s="127">
        <v>832.70476501964094</v>
      </c>
      <c r="O47" s="120">
        <v>866.66578278896702</v>
      </c>
      <c r="P47" s="124">
        <v>904.621015970283</v>
      </c>
      <c r="Q47" s="124">
        <v>938.58202742242395</v>
      </c>
      <c r="R47" s="133">
        <v>970.54593904857597</v>
      </c>
      <c r="S47" s="132">
        <v>1004.50695768796</v>
      </c>
      <c r="T47" s="124">
        <v>1042.46217250519</v>
      </c>
      <c r="U47" s="129">
        <v>1076.4231868259001</v>
      </c>
      <c r="V47" s="124"/>
      <c r="W47" s="124"/>
      <c r="X47" s="124"/>
      <c r="Y47" s="124"/>
      <c r="Z47" s="124"/>
      <c r="AA47" s="124"/>
      <c r="AB47" s="124"/>
      <c r="AC47" s="124"/>
    </row>
    <row r="48" spans="1:29" ht="15.75" x14ac:dyDescent="0.3">
      <c r="B48" s="2" t="s">
        <v>20</v>
      </c>
      <c r="C48" s="120">
        <v>471.15191487086003</v>
      </c>
      <c r="D48" s="120">
        <v>505.112941737293</v>
      </c>
      <c r="E48" s="127">
        <v>539.07397457727302</v>
      </c>
      <c r="F48" s="127">
        <v>571.03795232776304</v>
      </c>
      <c r="G48" s="127">
        <v>604.99897741805603</v>
      </c>
      <c r="H48" s="127">
        <v>642.95412685566203</v>
      </c>
      <c r="I48" s="127">
        <v>676.91515964509995</v>
      </c>
      <c r="J48" s="127">
        <v>708.87914020257699</v>
      </c>
      <c r="K48" s="127">
        <v>742.84016453457195</v>
      </c>
      <c r="L48" s="120">
        <v>780.79534449228402</v>
      </c>
      <c r="M48" s="120">
        <v>814.756541763889</v>
      </c>
      <c r="N48" s="127">
        <v>846.72043052457502</v>
      </c>
      <c r="O48" s="120">
        <v>880.68144728131995</v>
      </c>
      <c r="P48" s="124">
        <v>918.63669133466306</v>
      </c>
      <c r="Q48" s="133">
        <v>952.59770115298898</v>
      </c>
      <c r="R48" s="124">
        <v>984.56160599505199</v>
      </c>
      <c r="S48" s="124">
        <v>1018.52262371183</v>
      </c>
      <c r="T48" s="132">
        <v>1056.4778475385301</v>
      </c>
      <c r="U48" s="124">
        <v>1090.43886051186</v>
      </c>
      <c r="V48" s="129">
        <v>1122.40277659463</v>
      </c>
      <c r="W48" s="124"/>
      <c r="X48" s="124"/>
      <c r="Y48" s="124"/>
      <c r="Z48" s="124"/>
      <c r="AA48" s="124"/>
      <c r="AB48" s="124"/>
      <c r="AC48" s="124"/>
    </row>
    <row r="49" spans="2:29" ht="15.75" x14ac:dyDescent="0.3">
      <c r="B49" s="2" t="s">
        <v>21</v>
      </c>
      <c r="C49" s="120">
        <v>485.16756415234698</v>
      </c>
      <c r="D49" s="120">
        <v>519.12859287332105</v>
      </c>
      <c r="E49" s="127">
        <v>553.08962086180202</v>
      </c>
      <c r="F49" s="127">
        <v>585.05360447140697</v>
      </c>
      <c r="G49" s="127">
        <v>619.014628377897</v>
      </c>
      <c r="H49" s="127">
        <v>656.96977448032203</v>
      </c>
      <c r="I49" s="127">
        <v>690.93082391597</v>
      </c>
      <c r="J49" s="127">
        <v>722.89477631803197</v>
      </c>
      <c r="K49" s="127">
        <v>756.85582575149203</v>
      </c>
      <c r="L49" s="120">
        <v>794.81097682779705</v>
      </c>
      <c r="M49" s="120">
        <v>828.772016383135</v>
      </c>
      <c r="N49" s="127">
        <v>860.73609676353203</v>
      </c>
      <c r="O49" s="120">
        <v>894.69711246277495</v>
      </c>
      <c r="P49" s="124">
        <v>932.65236786244498</v>
      </c>
      <c r="Q49" s="133">
        <v>966.61337597961699</v>
      </c>
      <c r="R49" s="124">
        <v>998.57727374344199</v>
      </c>
      <c r="S49" s="124">
        <v>1032.5382904969999</v>
      </c>
      <c r="T49" s="124">
        <v>1070.4935237265599</v>
      </c>
      <c r="U49" s="132">
        <v>1104.45453529665</v>
      </c>
      <c r="V49" s="124">
        <v>1136.41844537937</v>
      </c>
      <c r="W49" s="129">
        <v>1170.3794631343501</v>
      </c>
      <c r="X49" s="124"/>
      <c r="Y49" s="124"/>
      <c r="Z49" s="124"/>
      <c r="AA49" s="124"/>
      <c r="AB49" s="124"/>
      <c r="AC49" s="124"/>
    </row>
    <row r="50" spans="2:29" ht="15.75" x14ac:dyDescent="0.3">
      <c r="B50" s="2" t="s">
        <v>22</v>
      </c>
      <c r="C50" s="120">
        <v>499.18321720257501</v>
      </c>
      <c r="D50" s="120">
        <v>533.14424365110699</v>
      </c>
      <c r="E50" s="127">
        <v>567.105273408833</v>
      </c>
      <c r="F50" s="127">
        <v>599.06925332748801</v>
      </c>
      <c r="G50" s="127">
        <v>633.03028684637002</v>
      </c>
      <c r="H50" s="127">
        <v>670.98543887417304</v>
      </c>
      <c r="I50" s="127">
        <v>704.94644767384705</v>
      </c>
      <c r="J50" s="127">
        <v>736.91044207839502</v>
      </c>
      <c r="K50" s="127">
        <v>770.87147577247697</v>
      </c>
      <c r="L50" s="120">
        <v>808.82662923570604</v>
      </c>
      <c r="M50" s="120">
        <v>842.78789256612004</v>
      </c>
      <c r="N50" s="127">
        <v>874.75176373033605</v>
      </c>
      <c r="O50" s="120">
        <v>908.71277832792896</v>
      </c>
      <c r="P50" s="133">
        <v>946.66804553802399</v>
      </c>
      <c r="Q50" s="124">
        <v>980.62905188862305</v>
      </c>
      <c r="R50" s="124">
        <v>1012.59294228658</v>
      </c>
      <c r="S50" s="124">
        <v>1046.5539580370601</v>
      </c>
      <c r="T50" s="124">
        <v>1084.5092010542501</v>
      </c>
      <c r="U50" s="124">
        <v>1118.4702111668</v>
      </c>
      <c r="V50" s="132">
        <v>1150.43411500549</v>
      </c>
      <c r="W50" s="124">
        <v>1184.3951318501199</v>
      </c>
      <c r="X50" s="129">
        <v>1222.35035766842</v>
      </c>
      <c r="Y50" s="124"/>
      <c r="Z50" s="124"/>
      <c r="AA50" s="124"/>
      <c r="AB50" s="124"/>
      <c r="AC50" s="124"/>
    </row>
    <row r="51" spans="2:29" ht="15.75" x14ac:dyDescent="0.3">
      <c r="B51" s="2" t="s">
        <v>23</v>
      </c>
      <c r="C51" s="120">
        <v>513.19886747355201</v>
      </c>
      <c r="D51" s="120">
        <v>547.15989434383596</v>
      </c>
      <c r="E51" s="120">
        <v>581.12092128903896</v>
      </c>
      <c r="F51" s="120">
        <v>613.08490306940803</v>
      </c>
      <c r="G51" s="120">
        <v>647.04593128921795</v>
      </c>
      <c r="H51" s="120">
        <v>685.001094038014</v>
      </c>
      <c r="I51" s="120">
        <v>718.96212773872901</v>
      </c>
      <c r="J51" s="120">
        <v>750.92608469412505</v>
      </c>
      <c r="K51" s="120">
        <v>784.88712164361004</v>
      </c>
      <c r="L51" s="120">
        <v>822.84231696335303</v>
      </c>
      <c r="M51" s="120">
        <v>856.80356957036702</v>
      </c>
      <c r="N51" s="127">
        <v>888.76743141856196</v>
      </c>
      <c r="O51" s="120">
        <v>922.72844487116197</v>
      </c>
      <c r="P51" s="133">
        <v>960.68372434525702</v>
      </c>
      <c r="Q51" s="124">
        <v>994.64472886583496</v>
      </c>
      <c r="R51" s="124">
        <v>1026.60861161704</v>
      </c>
      <c r="S51" s="124">
        <v>1060.5696263253401</v>
      </c>
      <c r="T51" s="124">
        <v>1098.52487950606</v>
      </c>
      <c r="U51" s="124">
        <v>1132.4858881083601</v>
      </c>
      <c r="V51" s="124">
        <v>1164.44978546482</v>
      </c>
      <c r="W51" s="132">
        <v>1198.4108013638399</v>
      </c>
      <c r="X51" s="124">
        <v>1236.36603585483</v>
      </c>
      <c r="Y51" s="129">
        <v>1270.32704731946</v>
      </c>
      <c r="Z51" s="124"/>
      <c r="AA51" s="124"/>
      <c r="AB51" s="124"/>
      <c r="AC51" s="124"/>
    </row>
    <row r="52" spans="2:29" ht="15.75" x14ac:dyDescent="0.3">
      <c r="B52" s="2" t="s">
        <v>24</v>
      </c>
      <c r="C52" s="120">
        <v>527.21451682504096</v>
      </c>
      <c r="D52" s="120">
        <v>561.17554997044203</v>
      </c>
      <c r="E52" s="127">
        <v>595.13657376276399</v>
      </c>
      <c r="F52" s="127">
        <v>627.10055577697995</v>
      </c>
      <c r="G52" s="127">
        <v>661.06158217288203</v>
      </c>
      <c r="H52" s="127">
        <v>699.016728650093</v>
      </c>
      <c r="I52" s="127">
        <v>732.97778327731601</v>
      </c>
      <c r="J52" s="127">
        <v>764.94177221665495</v>
      </c>
      <c r="K52" s="127">
        <v>798.90277904523805</v>
      </c>
      <c r="L52" s="120">
        <v>836.85794448220702</v>
      </c>
      <c r="M52" s="120">
        <v>870.81924762359404</v>
      </c>
      <c r="N52" s="127">
        <v>902.78309982155099</v>
      </c>
      <c r="O52" s="120">
        <v>936.74411208664401</v>
      </c>
      <c r="P52" s="133">
        <v>974.69940426748599</v>
      </c>
      <c r="Q52" s="124">
        <v>1008.66040689662</v>
      </c>
      <c r="R52" s="124">
        <v>1040.62428172709</v>
      </c>
      <c r="S52" s="124">
        <v>1074.5852953549399</v>
      </c>
      <c r="T52" s="124">
        <v>1112.54055906594</v>
      </c>
      <c r="U52" s="124">
        <v>1146.5015661069101</v>
      </c>
      <c r="V52" s="124">
        <v>1178.4654567488799</v>
      </c>
      <c r="W52" s="124">
        <v>1212.4264716677999</v>
      </c>
      <c r="X52" s="132">
        <v>1250.3817151446999</v>
      </c>
      <c r="Y52" s="124">
        <v>1284.34272527999</v>
      </c>
      <c r="Z52" s="129">
        <v>1316.3066275926401</v>
      </c>
      <c r="AA52" s="124"/>
      <c r="AB52" s="124"/>
      <c r="AC52" s="124"/>
    </row>
    <row r="53" spans="2:29" ht="15.75" x14ac:dyDescent="0.3">
      <c r="B53" s="2" t="s">
        <v>330</v>
      </c>
      <c r="C53" s="120">
        <v>541.230175118175</v>
      </c>
      <c r="D53" s="120">
        <v>575.19120776722696</v>
      </c>
      <c r="E53" s="120">
        <v>609.15222516505003</v>
      </c>
      <c r="F53" s="120">
        <v>641.11620227867002</v>
      </c>
      <c r="G53" s="120">
        <v>675.07724168931304</v>
      </c>
      <c r="H53" s="120">
        <v>713.03241540003705</v>
      </c>
      <c r="I53" s="120">
        <v>746.99344132154897</v>
      </c>
      <c r="J53" s="120">
        <v>778.95740412336795</v>
      </c>
      <c r="K53" s="120">
        <v>812.91858159678998</v>
      </c>
      <c r="L53" s="134">
        <v>850.87361926422795</v>
      </c>
      <c r="M53" s="134">
        <v>884.83492710519204</v>
      </c>
      <c r="N53" s="123">
        <v>916.79876893240998</v>
      </c>
      <c r="O53" s="134">
        <v>950.75977996834001</v>
      </c>
      <c r="P53" s="124">
        <v>988.715085559881</v>
      </c>
      <c r="Q53" s="124">
        <v>1022.67608619868</v>
      </c>
      <c r="R53" s="124">
        <v>1054.63995260877</v>
      </c>
      <c r="S53" s="124">
        <v>1088.6009651187101</v>
      </c>
      <c r="T53" s="124">
        <v>1126.5562399676201</v>
      </c>
      <c r="U53" s="124">
        <v>1160.5172451476001</v>
      </c>
      <c r="V53" s="124">
        <v>1192.4811288489</v>
      </c>
      <c r="W53" s="124">
        <v>1226.4421427540201</v>
      </c>
      <c r="X53" s="124">
        <v>1264.3973955219501</v>
      </c>
      <c r="Y53" s="132">
        <v>1298.35840428557</v>
      </c>
      <c r="Z53" s="124">
        <v>1330.3223005766699</v>
      </c>
      <c r="AA53" s="129">
        <v>1364.28331570923</v>
      </c>
      <c r="AB53" s="124"/>
      <c r="AC53" s="124"/>
    </row>
    <row r="54" spans="2:29" ht="15.75" x14ac:dyDescent="0.3">
      <c r="B54" s="2" t="s">
        <v>331</v>
      </c>
      <c r="C54" s="120">
        <v>555.24582365261097</v>
      </c>
      <c r="D54" s="120">
        <v>589.20684532345604</v>
      </c>
      <c r="E54" s="127">
        <v>623.16789020990802</v>
      </c>
      <c r="F54" s="127">
        <v>655.13187102620202</v>
      </c>
      <c r="G54" s="127">
        <v>689.09288857772697</v>
      </c>
      <c r="H54" s="127">
        <v>727.04805681281505</v>
      </c>
      <c r="I54" s="127">
        <v>761.00907806295299</v>
      </c>
      <c r="J54" s="127">
        <v>792.97307527563305</v>
      </c>
      <c r="K54" s="127">
        <v>826.93424716510594</v>
      </c>
      <c r="L54" s="134">
        <v>864.88961653556203</v>
      </c>
      <c r="M54" s="134">
        <v>898.85060726706104</v>
      </c>
      <c r="N54" s="123">
        <v>930.81443874402703</v>
      </c>
      <c r="O54" s="134">
        <v>964.77544851001198</v>
      </c>
      <c r="P54" s="124">
        <v>1002.73076770923</v>
      </c>
      <c r="Q54" s="124">
        <v>1036.69176633333</v>
      </c>
      <c r="R54" s="124">
        <v>1068.65562425384</v>
      </c>
      <c r="S54" s="124">
        <v>1102.6166356092699</v>
      </c>
      <c r="T54" s="124">
        <v>1140.5719217405299</v>
      </c>
      <c r="U54" s="124">
        <v>1174.5329254743899</v>
      </c>
      <c r="V54" s="124">
        <v>1206.4968017558599</v>
      </c>
      <c r="W54" s="124">
        <v>1240.4578146142601</v>
      </c>
      <c r="X54" s="124">
        <v>1278.41307723871</v>
      </c>
      <c r="Y54" s="124">
        <v>1312.3740845581899</v>
      </c>
      <c r="Z54" s="132">
        <v>1344.33797439975</v>
      </c>
      <c r="AA54" s="124">
        <v>1378.2989885797599</v>
      </c>
      <c r="AB54" s="129">
        <v>1416.2542336306501</v>
      </c>
      <c r="AC54" s="124"/>
    </row>
    <row r="55" spans="2:29" ht="15.75" x14ac:dyDescent="0.3">
      <c r="B55" s="2" t="s">
        <v>332</v>
      </c>
      <c r="C55" s="120">
        <v>569.26148136458903</v>
      </c>
      <c r="D55" s="120">
        <v>603.22250797026504</v>
      </c>
      <c r="E55" s="120">
        <v>637.18352595562396</v>
      </c>
      <c r="F55" s="120">
        <v>669.14751821775099</v>
      </c>
      <c r="G55" s="120">
        <v>703.10855917490301</v>
      </c>
      <c r="H55" s="120">
        <v>741.06368762778504</v>
      </c>
      <c r="I55" s="120">
        <v>775.02474719413601</v>
      </c>
      <c r="J55" s="120">
        <v>806.98873007730401</v>
      </c>
      <c r="K55" s="120">
        <v>840.94991328641197</v>
      </c>
      <c r="L55" s="123">
        <v>878.90530032890001</v>
      </c>
      <c r="M55" s="123">
        <v>912.86628843617302</v>
      </c>
      <c r="N55" s="123">
        <v>944.83010924907001</v>
      </c>
      <c r="O55" s="134">
        <v>978.79111770523502</v>
      </c>
      <c r="P55" s="124">
        <v>1016.74645109992</v>
      </c>
      <c r="Q55" s="124">
        <v>1050.7074476348701</v>
      </c>
      <c r="R55" s="124">
        <v>1082.67129665384</v>
      </c>
      <c r="S55" s="124">
        <v>1116.63230681901</v>
      </c>
      <c r="T55" s="124">
        <v>1154.5876045766299</v>
      </c>
      <c r="U55" s="124">
        <v>1188.54860659989</v>
      </c>
      <c r="V55" s="124">
        <v>1220.5124754604401</v>
      </c>
      <c r="W55" s="124">
        <v>1254.47348724003</v>
      </c>
      <c r="X55" s="124">
        <v>1292.4287597907801</v>
      </c>
      <c r="Y55" s="124">
        <v>1326.389765653</v>
      </c>
      <c r="Z55" s="124">
        <v>1358.35364905196</v>
      </c>
      <c r="AA55" s="132">
        <v>1392.3146622504</v>
      </c>
      <c r="AB55" s="124">
        <v>1430.26991595819</v>
      </c>
      <c r="AC55" s="129">
        <v>1464.23092466345</v>
      </c>
    </row>
    <row r="56" spans="2:29" ht="15.75" x14ac:dyDescent="0.3">
      <c r="B56" s="2" t="s">
        <v>333</v>
      </c>
      <c r="C56" s="120">
        <v>583.27711931489205</v>
      </c>
      <c r="D56" s="120">
        <v>617.23815377764402</v>
      </c>
      <c r="E56" s="127">
        <v>651.19918297800302</v>
      </c>
      <c r="F56" s="127">
        <v>683.16316538934302</v>
      </c>
      <c r="G56" s="127">
        <v>717.12420961502903</v>
      </c>
      <c r="H56" s="127">
        <v>755.07936232784198</v>
      </c>
      <c r="I56" s="127">
        <v>789.04045084403799</v>
      </c>
      <c r="J56" s="127">
        <v>821.00436858280602</v>
      </c>
      <c r="K56" s="127">
        <v>854.96557995575301</v>
      </c>
      <c r="L56" s="123">
        <v>892.920985180191</v>
      </c>
      <c r="M56" s="123">
        <v>926.881970596256</v>
      </c>
      <c r="N56" s="134">
        <v>958.84578043999898</v>
      </c>
      <c r="O56" s="123">
        <v>992.80678754738994</v>
      </c>
      <c r="P56" s="124">
        <v>1030.7621353841801</v>
      </c>
      <c r="Q56" s="124">
        <v>1064.72312979354</v>
      </c>
      <c r="R56" s="124">
        <v>1096.6869698000501</v>
      </c>
      <c r="S56" s="124">
        <v>1130.6479787401199</v>
      </c>
      <c r="T56" s="124">
        <v>1168.60328845853</v>
      </c>
      <c r="U56" s="124">
        <v>1202.56428872631</v>
      </c>
      <c r="V56" s="124">
        <v>1234.52814995311</v>
      </c>
      <c r="W56" s="124">
        <v>1268.4891606226299</v>
      </c>
      <c r="X56" s="124">
        <v>1306.44444338572</v>
      </c>
      <c r="Y56" s="124">
        <v>1340.4054477521099</v>
      </c>
      <c r="Z56" s="124">
        <v>1372.3693245231</v>
      </c>
      <c r="AA56" s="124">
        <v>1406.3303367117601</v>
      </c>
      <c r="AB56" s="132">
        <v>1444.28559932659</v>
      </c>
      <c r="AC56" s="135">
        <v>1478.2466067287701</v>
      </c>
    </row>
    <row r="57" spans="2:29" ht="15.75" x14ac:dyDescent="0.3">
      <c r="B57" s="2" t="s">
        <v>334</v>
      </c>
      <c r="C57" s="123">
        <v>597.29278943909401</v>
      </c>
      <c r="D57" s="123">
        <v>631.25380376884698</v>
      </c>
      <c r="E57" s="123">
        <v>665.21485296456501</v>
      </c>
      <c r="F57" s="123">
        <v>697.17882851235095</v>
      </c>
      <c r="G57" s="123">
        <v>731.13984284856599</v>
      </c>
      <c r="H57" s="123">
        <v>769.09502665785897</v>
      </c>
      <c r="I57" s="123">
        <v>803.05610066965301</v>
      </c>
      <c r="J57" s="123">
        <v>835.02024294409398</v>
      </c>
      <c r="K57" s="123">
        <v>868.98124716803102</v>
      </c>
      <c r="L57" s="123">
        <v>906.93667106998396</v>
      </c>
      <c r="M57" s="123">
        <v>940.89765373068497</v>
      </c>
      <c r="N57" s="134">
        <v>972.86145230907005</v>
      </c>
      <c r="O57" s="123">
        <v>1006.82245802968</v>
      </c>
      <c r="P57" s="124">
        <v>1044.7778207008701</v>
      </c>
      <c r="Q57" s="124">
        <v>1078.73881293306</v>
      </c>
      <c r="R57" s="124">
        <v>1110.7026436835399</v>
      </c>
      <c r="S57" s="124">
        <v>1144.6636513645601</v>
      </c>
      <c r="T57" s="124">
        <v>1182.61897353769</v>
      </c>
      <c r="U57" s="124">
        <v>1216.5799719904201</v>
      </c>
      <c r="V57" s="124">
        <v>1248.54382544904</v>
      </c>
      <c r="W57" s="124">
        <v>1282.5048347530901</v>
      </c>
      <c r="X57" s="124">
        <v>1320.46012800625</v>
      </c>
      <c r="Y57" s="124">
        <v>1354.42113083973</v>
      </c>
      <c r="Z57" s="124">
        <v>1386.3850010326501</v>
      </c>
      <c r="AA57" s="124">
        <v>1420.3460119541601</v>
      </c>
      <c r="AB57" s="124">
        <v>1458.3012837189101</v>
      </c>
      <c r="AC57" s="132">
        <v>1492.2622897854801</v>
      </c>
    </row>
    <row r="58" spans="2:29" ht="15.75" x14ac:dyDescent="0.3">
      <c r="B58" s="2" t="s">
        <v>335</v>
      </c>
      <c r="C58" s="123">
        <v>611.30843001701601</v>
      </c>
      <c r="D58" s="123">
        <v>645.26947264152898</v>
      </c>
      <c r="E58" s="123">
        <v>679.23049150159102</v>
      </c>
      <c r="F58" s="123">
        <v>711.19447292936604</v>
      </c>
      <c r="G58" s="123">
        <v>745.15552036591498</v>
      </c>
      <c r="H58" s="123">
        <v>783.11072708143797</v>
      </c>
      <c r="I58" s="123">
        <v>817.07175466616798</v>
      </c>
      <c r="J58" s="123">
        <v>849.03591222417106</v>
      </c>
      <c r="K58" s="123">
        <v>882.99691491801104</v>
      </c>
      <c r="L58" s="123">
        <v>920.95235797846601</v>
      </c>
      <c r="M58" s="134">
        <v>954.91333782250001</v>
      </c>
      <c r="N58" s="123">
        <v>986.87712500040402</v>
      </c>
      <c r="O58" s="123">
        <v>1020.83812914512</v>
      </c>
      <c r="P58" s="124">
        <v>1058.7935070312101</v>
      </c>
      <c r="Q58" s="124">
        <v>1092.7544970368101</v>
      </c>
      <c r="R58" s="124">
        <v>1124.7183185317399</v>
      </c>
      <c r="S58" s="124">
        <v>1158.6793246841</v>
      </c>
      <c r="T58" s="124">
        <v>1196.6346594735801</v>
      </c>
      <c r="U58" s="124">
        <v>1230.5956560852101</v>
      </c>
      <c r="V58" s="124">
        <v>1262.5595015240499</v>
      </c>
      <c r="W58" s="124">
        <v>1296.5205098542899</v>
      </c>
      <c r="X58" s="124">
        <v>1334.47581363474</v>
      </c>
      <c r="Y58" s="124">
        <v>1368.43681489969</v>
      </c>
      <c r="Z58" s="124">
        <v>1400.4006781481201</v>
      </c>
      <c r="AA58" s="124">
        <v>1434.3616882082499</v>
      </c>
      <c r="AB58" s="124">
        <v>1472.31696911788</v>
      </c>
      <c r="AC58" s="136">
        <v>1506.27797381758</v>
      </c>
    </row>
    <row r="59" spans="2:29" ht="15.75" x14ac:dyDescent="0.3">
      <c r="B59" s="2" t="s">
        <v>336</v>
      </c>
      <c r="C59" s="123">
        <v>625.32407780092001</v>
      </c>
      <c r="D59" s="123">
        <v>659.28512032917297</v>
      </c>
      <c r="E59" s="123">
        <v>693.24614220909098</v>
      </c>
      <c r="F59" s="123">
        <v>725.21012399271899</v>
      </c>
      <c r="G59" s="123">
        <v>759.17117108038599</v>
      </c>
      <c r="H59" s="123">
        <v>797.12631708915103</v>
      </c>
      <c r="I59" s="123">
        <v>831.08735587922502</v>
      </c>
      <c r="J59" s="123">
        <v>863.05158224041702</v>
      </c>
      <c r="K59" s="123">
        <v>897.01258320032002</v>
      </c>
      <c r="L59" s="123">
        <v>934.96804588549105</v>
      </c>
      <c r="M59" s="134">
        <v>968.92902285443199</v>
      </c>
      <c r="N59" s="123">
        <v>1000.8927982139001</v>
      </c>
      <c r="O59" s="123">
        <v>1034.8538008865701</v>
      </c>
      <c r="P59" s="124">
        <v>1072.8091943560801</v>
      </c>
      <c r="Q59" s="124">
        <v>1106.7701820878999</v>
      </c>
      <c r="R59" s="124">
        <v>1138.7339940490699</v>
      </c>
      <c r="S59" s="124">
        <v>1172.6949989289999</v>
      </c>
      <c r="T59" s="124">
        <v>1210.65034640158</v>
      </c>
      <c r="U59" s="124">
        <v>1244.61134113251</v>
      </c>
      <c r="V59" s="124">
        <v>1276.5751783609701</v>
      </c>
      <c r="W59" s="124">
        <v>1310.53618548853</v>
      </c>
      <c r="X59" s="124">
        <v>1348.4915004191</v>
      </c>
      <c r="Y59" s="124">
        <v>1382.4525000665501</v>
      </c>
      <c r="Z59" s="124">
        <v>1414.4163560547299</v>
      </c>
      <c r="AA59" s="124">
        <v>1448.37736502132</v>
      </c>
      <c r="AB59" s="124">
        <v>1486.33265550592</v>
      </c>
      <c r="AC59" s="136">
        <v>1520.29365880875</v>
      </c>
    </row>
    <row r="60" spans="2:29" ht="15.75" x14ac:dyDescent="0.3">
      <c r="B60" s="2" t="s">
        <v>337</v>
      </c>
      <c r="C60" s="123">
        <v>639.33972441472702</v>
      </c>
      <c r="D60" s="123">
        <v>673.30075689006196</v>
      </c>
      <c r="E60" s="123">
        <v>707.26180610450501</v>
      </c>
      <c r="F60" s="123">
        <v>739.22578531573004</v>
      </c>
      <c r="G60" s="123">
        <v>773.18681258911295</v>
      </c>
      <c r="H60" s="123">
        <v>811.14195969024297</v>
      </c>
      <c r="I60" s="123">
        <v>845.10301420717997</v>
      </c>
      <c r="J60" s="123">
        <v>877.06725267034403</v>
      </c>
      <c r="K60" s="123">
        <v>911.02825200945904</v>
      </c>
      <c r="L60" s="134">
        <v>948.98373477060397</v>
      </c>
      <c r="M60" s="123">
        <v>982.94470880892402</v>
      </c>
      <c r="N60" s="123">
        <v>1014.90847232746</v>
      </c>
      <c r="O60" s="123">
        <v>1048.86947324673</v>
      </c>
      <c r="P60" s="124">
        <v>1086.82488265605</v>
      </c>
      <c r="Q60" s="124">
        <v>1120.7858680691199</v>
      </c>
      <c r="R60" s="124">
        <v>1152.74967013988</v>
      </c>
      <c r="S60" s="124">
        <v>1186.71067364755</v>
      </c>
      <c r="T60" s="124">
        <v>1224.66603430295</v>
      </c>
      <c r="U60" s="124">
        <v>1258.6270271153701</v>
      </c>
      <c r="V60" s="124">
        <v>1290.59085609612</v>
      </c>
      <c r="W60" s="124">
        <v>1324.55186184631</v>
      </c>
      <c r="X60" s="124">
        <v>1362.50718802497</v>
      </c>
      <c r="Y60" s="124">
        <v>1396.46818603622</v>
      </c>
      <c r="Z60" s="124">
        <v>1428.4320347415901</v>
      </c>
      <c r="AA60" s="124">
        <v>1462.39304258931</v>
      </c>
      <c r="AB60" s="124">
        <v>1500.34834286511</v>
      </c>
      <c r="AC60" s="136">
        <v>1534.3093447424101</v>
      </c>
    </row>
    <row r="61" spans="2:29" ht="15.75" x14ac:dyDescent="0.3">
      <c r="B61" s="2" t="s">
        <v>338</v>
      </c>
      <c r="C61" s="123">
        <v>653.35537753991798</v>
      </c>
      <c r="D61" s="123">
        <v>687.31646155714498</v>
      </c>
      <c r="E61" s="123">
        <v>721.27744869262995</v>
      </c>
      <c r="F61" s="123">
        <v>753.241431996561</v>
      </c>
      <c r="G61" s="123">
        <v>787.20246282103994</v>
      </c>
      <c r="H61" s="123">
        <v>825.15766091901105</v>
      </c>
      <c r="I61" s="123">
        <v>859.11870357693601</v>
      </c>
      <c r="J61" s="123">
        <v>891.08292365986301</v>
      </c>
      <c r="K61" s="123">
        <v>925.04392133980002</v>
      </c>
      <c r="L61" s="134">
        <v>962.99942461307296</v>
      </c>
      <c r="M61" s="123">
        <v>996.96039566815296</v>
      </c>
      <c r="N61" s="123">
        <v>1028.92414687374</v>
      </c>
      <c r="O61" s="123">
        <v>1062.88514663008</v>
      </c>
      <c r="P61" s="124">
        <v>1100.8405719114501</v>
      </c>
      <c r="Q61" s="124">
        <v>1134.8015549630099</v>
      </c>
      <c r="R61" s="124">
        <v>1166.76534693436</v>
      </c>
      <c r="S61" s="124">
        <v>1200.72634920065</v>
      </c>
      <c r="T61" s="124">
        <v>1238.6817231586699</v>
      </c>
      <c r="U61" s="124">
        <v>1272.6427140165799</v>
      </c>
      <c r="V61" s="124">
        <v>1304.60653443867</v>
      </c>
      <c r="W61" s="124">
        <v>1338.5675389180899</v>
      </c>
      <c r="X61" s="124">
        <v>1376.52287658462</v>
      </c>
      <c r="Y61" s="124">
        <v>1410.48387292857</v>
      </c>
      <c r="Z61" s="124">
        <v>1442.4477141976099</v>
      </c>
      <c r="AA61" s="124">
        <v>1476.4087209019499</v>
      </c>
      <c r="AB61" s="124">
        <v>1514.3640313400999</v>
      </c>
      <c r="AC61" s="136">
        <v>1548.32503175082</v>
      </c>
    </row>
    <row r="62" spans="2:29" ht="15.75" x14ac:dyDescent="0.3">
      <c r="B62" s="2" t="s">
        <v>339</v>
      </c>
      <c r="C62" s="123">
        <v>667.37104573518195</v>
      </c>
      <c r="D62" s="123">
        <v>701.33209687987903</v>
      </c>
      <c r="E62" s="123">
        <v>735.29312148644101</v>
      </c>
      <c r="F62" s="123">
        <v>767.25708832668602</v>
      </c>
      <c r="G62" s="123">
        <v>801.21814971457695</v>
      </c>
      <c r="H62" s="123">
        <v>839.17328824232095</v>
      </c>
      <c r="I62" s="123">
        <v>873.13439177621399</v>
      </c>
      <c r="J62" s="123">
        <v>905.09859520221096</v>
      </c>
      <c r="K62" s="134">
        <v>939.05959136362901</v>
      </c>
      <c r="L62" s="134">
        <v>977.01511539191597</v>
      </c>
      <c r="M62" s="134">
        <v>1010.97608341405</v>
      </c>
      <c r="N62" s="134">
        <v>1042.9398220601399</v>
      </c>
      <c r="O62" s="134">
        <v>1076.90082024872</v>
      </c>
      <c r="P62" s="133">
        <v>1114.8562621023</v>
      </c>
      <c r="Q62" s="133">
        <v>1148.81724275186</v>
      </c>
      <c r="R62" s="133">
        <v>1180.7810244227801</v>
      </c>
      <c r="S62" s="133">
        <v>1214.7420252684001</v>
      </c>
      <c r="T62" s="133">
        <v>1252.6974129494499</v>
      </c>
      <c r="U62" s="133">
        <v>1286.65840181868</v>
      </c>
      <c r="V62" s="133">
        <v>1318.62221351228</v>
      </c>
      <c r="W62" s="133">
        <v>1352.58321685227</v>
      </c>
      <c r="X62" s="133">
        <v>1390.5385660792599</v>
      </c>
      <c r="Y62" s="133">
        <v>1424.49956072635</v>
      </c>
      <c r="Z62" s="133">
        <v>1456.46339456234</v>
      </c>
      <c r="AA62" s="133">
        <v>1490.4243999487601</v>
      </c>
      <c r="AB62" s="133">
        <v>1528.3797206020899</v>
      </c>
      <c r="AC62" s="136">
        <v>1562.3407195330101</v>
      </c>
    </row>
    <row r="63" spans="2:29" ht="15.75" x14ac:dyDescent="0.3">
      <c r="B63" s="4" t="s">
        <v>340</v>
      </c>
      <c r="C63" s="137">
        <v>681.38670928926899</v>
      </c>
      <c r="D63" s="137">
        <v>715.34772795004096</v>
      </c>
      <c r="E63" s="137">
        <v>749.30877174466502</v>
      </c>
      <c r="F63" s="137">
        <v>781.27276005048498</v>
      </c>
      <c r="G63" s="137">
        <v>815.23378006324697</v>
      </c>
      <c r="H63" s="137">
        <v>853.18899410411598</v>
      </c>
      <c r="I63" s="137">
        <v>887.15061206074097</v>
      </c>
      <c r="J63" s="137">
        <v>919.11426729049901</v>
      </c>
      <c r="K63" s="137">
        <v>953.07526173051895</v>
      </c>
      <c r="L63" s="137">
        <v>991.03080708592495</v>
      </c>
      <c r="M63" s="137">
        <v>1024.9917720283299</v>
      </c>
      <c r="N63" s="137">
        <v>1056.95549787801</v>
      </c>
      <c r="O63" s="137">
        <v>1090.9164944664301</v>
      </c>
      <c r="P63" s="138">
        <v>1128.8719532084499</v>
      </c>
      <c r="Q63" s="138">
        <v>1162.8329314177399</v>
      </c>
      <c r="R63" s="138">
        <v>1194.79670259523</v>
      </c>
      <c r="S63" s="138">
        <v>1228.75770199156</v>
      </c>
      <c r="T63" s="138">
        <v>1266.7131036557901</v>
      </c>
      <c r="U63" s="138">
        <v>1300.6740905039801</v>
      </c>
      <c r="V63" s="138">
        <v>1332.6378933061501</v>
      </c>
      <c r="W63" s="138">
        <v>1366.5988953354599</v>
      </c>
      <c r="X63" s="138">
        <v>1404.5542564898501</v>
      </c>
      <c r="Y63" s="138">
        <v>1438.51524941204</v>
      </c>
      <c r="Z63" s="138">
        <v>1470.47907553557</v>
      </c>
      <c r="AA63" s="138">
        <v>1504.4400798700501</v>
      </c>
      <c r="AB63" s="138">
        <v>1542.39541078051</v>
      </c>
      <c r="AC63" s="139">
        <v>1576.3564082068899</v>
      </c>
    </row>
    <row r="65" spans="1:29" x14ac:dyDescent="0.25">
      <c r="A65" s="35" t="s">
        <v>1013</v>
      </c>
      <c r="X65" s="237" t="s">
        <v>1818</v>
      </c>
      <c r="Y65" s="238">
        <v>84.43</v>
      </c>
      <c r="Z65" s="10"/>
      <c r="AA65" s="237" t="s">
        <v>1819</v>
      </c>
      <c r="AB65" s="238">
        <v>84.75</v>
      </c>
    </row>
    <row r="66" spans="1:29" ht="15.75" x14ac:dyDescent="0.3">
      <c r="B66" s="35" t="s">
        <v>1085</v>
      </c>
      <c r="C66" s="17" t="s">
        <v>1012</v>
      </c>
      <c r="D66" s="18" t="s">
        <v>322</v>
      </c>
      <c r="E66" s="18" t="s">
        <v>323</v>
      </c>
      <c r="F66" s="18" t="s">
        <v>324</v>
      </c>
      <c r="G66" s="18" t="s">
        <v>325</v>
      </c>
      <c r="H66" s="18" t="s">
        <v>326</v>
      </c>
      <c r="I66" s="18" t="s">
        <v>2</v>
      </c>
      <c r="J66" s="18" t="s">
        <v>3</v>
      </c>
      <c r="K66" s="18" t="s">
        <v>4</v>
      </c>
      <c r="L66" s="18" t="s">
        <v>5</v>
      </c>
      <c r="M66" s="18" t="s">
        <v>6</v>
      </c>
      <c r="N66" s="18" t="s">
        <v>7</v>
      </c>
      <c r="O66" s="18" t="s">
        <v>8</v>
      </c>
      <c r="P66" s="18" t="s">
        <v>1016</v>
      </c>
      <c r="Q66" s="18" t="s">
        <v>1017</v>
      </c>
      <c r="R66" s="18" t="s">
        <v>1018</v>
      </c>
      <c r="S66" s="18" t="s">
        <v>1074</v>
      </c>
      <c r="T66" s="18" t="s">
        <v>1075</v>
      </c>
      <c r="U66" s="18" t="s">
        <v>1076</v>
      </c>
      <c r="V66" s="18" t="s">
        <v>1077</v>
      </c>
      <c r="W66" s="18" t="s">
        <v>1078</v>
      </c>
      <c r="X66" s="18" t="s">
        <v>1079</v>
      </c>
      <c r="Y66" s="18" t="s">
        <v>1080</v>
      </c>
      <c r="Z66" s="18" t="s">
        <v>1081</v>
      </c>
      <c r="AA66" s="18" t="s">
        <v>1082</v>
      </c>
      <c r="AB66" s="18" t="s">
        <v>1083</v>
      </c>
      <c r="AC66" s="19" t="s">
        <v>1084</v>
      </c>
    </row>
    <row r="67" spans="1:29" ht="15.75" x14ac:dyDescent="0.3">
      <c r="B67" s="5" t="s">
        <v>1011</v>
      </c>
      <c r="C67" s="20">
        <v>64.436904007699894</v>
      </c>
      <c r="D67" s="20">
        <v>80.487218876476405</v>
      </c>
      <c r="E67" s="20">
        <v>96.527555501583805</v>
      </c>
      <c r="F67" s="20">
        <v>88.841240900856306</v>
      </c>
      <c r="G67" s="21">
        <v>77.768249584769293</v>
      </c>
      <c r="H67" s="20">
        <v>85.693609182304399</v>
      </c>
      <c r="I67" s="73">
        <v>96.382423482997297</v>
      </c>
      <c r="J67" s="22"/>
      <c r="K67" s="22"/>
      <c r="L67" s="22"/>
      <c r="M67" s="22"/>
      <c r="N67" s="22"/>
      <c r="O67" s="22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</row>
    <row r="68" spans="1:29" ht="15.75" x14ac:dyDescent="0.3">
      <c r="B68" s="3" t="s">
        <v>321</v>
      </c>
      <c r="C68" s="23">
        <v>64.416164347808305</v>
      </c>
      <c r="D68" s="23">
        <v>80.466408394980704</v>
      </c>
      <c r="E68" s="23">
        <v>96.506889852123706</v>
      </c>
      <c r="F68" s="23">
        <v>88.8577122610142</v>
      </c>
      <c r="G68" s="23">
        <v>77.779440207534094</v>
      </c>
      <c r="H68" s="24">
        <v>85.680556913334897</v>
      </c>
      <c r="I68" s="25">
        <v>96.365644054714906</v>
      </c>
      <c r="J68" s="69">
        <v>93.399234546914997</v>
      </c>
      <c r="K68" s="25"/>
      <c r="L68" s="25"/>
      <c r="M68" s="25"/>
      <c r="N68" s="25"/>
      <c r="O68" s="25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</row>
    <row r="69" spans="1:29" ht="15.75" x14ac:dyDescent="0.3">
      <c r="B69" s="2" t="s">
        <v>10</v>
      </c>
      <c r="C69" s="20">
        <v>64.397265218843998</v>
      </c>
      <c r="D69" s="20">
        <v>80.447192482979702</v>
      </c>
      <c r="E69" s="25">
        <v>96.487945577291796</v>
      </c>
      <c r="F69" s="25">
        <v>88.871968356909207</v>
      </c>
      <c r="G69" s="25">
        <v>77.791930707504207</v>
      </c>
      <c r="H69" s="25">
        <v>85.678992023772395</v>
      </c>
      <c r="I69" s="21">
        <v>96.337905888583407</v>
      </c>
      <c r="J69" s="25">
        <v>93.427139145611505</v>
      </c>
      <c r="K69" s="69">
        <v>84.916625408299197</v>
      </c>
      <c r="L69" s="25"/>
      <c r="M69" s="25"/>
      <c r="N69" s="25"/>
      <c r="O69" s="25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</row>
    <row r="70" spans="1:29" ht="15.75" x14ac:dyDescent="0.3">
      <c r="B70" s="2" t="s">
        <v>11</v>
      </c>
      <c r="C70" s="20">
        <v>64.379970494865006</v>
      </c>
      <c r="D70" s="20">
        <v>80.429688789550994</v>
      </c>
      <c r="E70" s="25">
        <v>96.470089765739999</v>
      </c>
      <c r="F70" s="25">
        <v>88.884173327411702</v>
      </c>
      <c r="G70" s="25">
        <v>77.804011645825597</v>
      </c>
      <c r="H70" s="25">
        <v>85.655599350152301</v>
      </c>
      <c r="I70" s="25">
        <v>96.356901255063804</v>
      </c>
      <c r="J70" s="21">
        <v>93.423313504840706</v>
      </c>
      <c r="K70" s="25">
        <v>84.913247557570301</v>
      </c>
      <c r="L70" s="69">
        <v>88.302194024230701</v>
      </c>
      <c r="M70" s="25"/>
      <c r="N70" s="25"/>
      <c r="O70" s="25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</row>
    <row r="71" spans="1:29" ht="15.75" x14ac:dyDescent="0.3">
      <c r="B71" s="2" t="s">
        <v>12</v>
      </c>
      <c r="C71" s="20">
        <v>64.364058524407</v>
      </c>
      <c r="D71" s="20">
        <v>80.413391688682296</v>
      </c>
      <c r="E71" s="25">
        <v>96.455591529257504</v>
      </c>
      <c r="F71" s="25">
        <v>88.896965920168498</v>
      </c>
      <c r="G71" s="25">
        <v>77.810923433097201</v>
      </c>
      <c r="H71" s="25">
        <v>85.654939661622507</v>
      </c>
      <c r="I71" s="25">
        <v>96.322347928436798</v>
      </c>
      <c r="J71" s="25">
        <v>93.392300722292106</v>
      </c>
      <c r="K71" s="21">
        <v>84.901294726559698</v>
      </c>
      <c r="L71" s="25">
        <v>88.305899470008399</v>
      </c>
      <c r="M71" s="69">
        <v>96.356085433691106</v>
      </c>
      <c r="N71" s="25"/>
      <c r="O71" s="25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</row>
    <row r="72" spans="1:29" ht="15.75" x14ac:dyDescent="0.3">
      <c r="B72" s="3" t="s">
        <v>13</v>
      </c>
      <c r="C72" s="23">
        <v>64.349697065680303</v>
      </c>
      <c r="D72" s="23">
        <v>80.397513963213996</v>
      </c>
      <c r="E72" s="23">
        <v>96.436415781910497</v>
      </c>
      <c r="F72" s="23">
        <v>88.911231787004397</v>
      </c>
      <c r="G72" s="23">
        <v>77.811275081625496</v>
      </c>
      <c r="H72" s="23">
        <v>85.626630488878902</v>
      </c>
      <c r="I72" s="23">
        <v>96.339889934774305</v>
      </c>
      <c r="J72" s="23">
        <v>93.487738974014206</v>
      </c>
      <c r="K72" s="23">
        <v>84.934322121439394</v>
      </c>
      <c r="L72" s="24">
        <v>88.1805555782732</v>
      </c>
      <c r="M72" s="25">
        <v>96.399656856659902</v>
      </c>
      <c r="N72" s="69">
        <v>95.787102392271294</v>
      </c>
      <c r="O72" s="25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</row>
    <row r="73" spans="1:29" ht="15.75" x14ac:dyDescent="0.3">
      <c r="B73" s="2" t="s">
        <v>14</v>
      </c>
      <c r="C73" s="20">
        <v>64.336326028764702</v>
      </c>
      <c r="D73" s="20">
        <v>80.381991332794399</v>
      </c>
      <c r="E73" s="25">
        <v>96.421562861479401</v>
      </c>
      <c r="F73" s="25">
        <v>88.919716985387197</v>
      </c>
      <c r="G73" s="25">
        <v>77.820788606624603</v>
      </c>
      <c r="H73" s="25">
        <v>85.679133199790897</v>
      </c>
      <c r="I73" s="25">
        <v>96.298846296571597</v>
      </c>
      <c r="J73" s="25">
        <v>93.465061874217895</v>
      </c>
      <c r="K73" s="25">
        <v>85.031174661640094</v>
      </c>
      <c r="L73" s="25">
        <v>88.238221425599207</v>
      </c>
      <c r="M73" s="21">
        <v>96.187468429942697</v>
      </c>
      <c r="N73" s="25">
        <v>95.773150160182794</v>
      </c>
      <c r="O73" s="69">
        <v>88.812876456884993</v>
      </c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</row>
    <row r="74" spans="1:29" ht="15.75" x14ac:dyDescent="0.3">
      <c r="B74" s="2" t="s">
        <v>15</v>
      </c>
      <c r="C74" s="20">
        <v>64.323901110940994</v>
      </c>
      <c r="D74" s="20">
        <v>80.369206753751499</v>
      </c>
      <c r="E74" s="25">
        <v>96.413108106296505</v>
      </c>
      <c r="F74" s="25">
        <v>88.941434712104495</v>
      </c>
      <c r="G74" s="25">
        <v>77.836715836612598</v>
      </c>
      <c r="H74" s="25">
        <v>85.665907669944801</v>
      </c>
      <c r="I74" s="25">
        <v>96.352486240029606</v>
      </c>
      <c r="J74" s="25">
        <v>93.425249480332994</v>
      </c>
      <c r="K74" s="25">
        <v>84.939822755978696</v>
      </c>
      <c r="L74" s="25">
        <v>88.150795082939695</v>
      </c>
      <c r="M74" s="25">
        <v>96.347007544883496</v>
      </c>
      <c r="N74" s="21">
        <v>95.5656395556788</v>
      </c>
      <c r="O74" s="25">
        <v>88.776385833916194</v>
      </c>
      <c r="P74" s="70">
        <v>90.120333849622398</v>
      </c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</row>
    <row r="75" spans="1:29" ht="15.75" x14ac:dyDescent="0.3">
      <c r="B75" s="2" t="s">
        <v>16</v>
      </c>
      <c r="C75" s="20">
        <v>64.311867017087096</v>
      </c>
      <c r="D75" s="20">
        <v>80.356721453984605</v>
      </c>
      <c r="E75" s="25">
        <v>96.406086056366803</v>
      </c>
      <c r="F75" s="25">
        <v>88.956223895467105</v>
      </c>
      <c r="G75" s="25">
        <v>77.829778751139798</v>
      </c>
      <c r="H75" s="25">
        <v>85.6545796378239</v>
      </c>
      <c r="I75" s="25">
        <v>96.365545922818299</v>
      </c>
      <c r="J75" s="25">
        <v>93.525039206072904</v>
      </c>
      <c r="K75" s="25">
        <v>85.0743698056</v>
      </c>
      <c r="L75" s="25">
        <v>88.285625602225707</v>
      </c>
      <c r="M75" s="25">
        <v>96.502185503499504</v>
      </c>
      <c r="N75" s="25">
        <v>95.5202214672575</v>
      </c>
      <c r="O75" s="21">
        <v>88.737648160912102</v>
      </c>
      <c r="P75" s="49">
        <v>90.1612171457177</v>
      </c>
      <c r="Q75" s="70">
        <v>96.561663211873196</v>
      </c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</row>
    <row r="76" spans="1:29" ht="15.75" x14ac:dyDescent="0.3">
      <c r="B76" s="3" t="s">
        <v>17</v>
      </c>
      <c r="C76" s="23">
        <v>64.304135451113297</v>
      </c>
      <c r="D76" s="23">
        <v>80.341178087032006</v>
      </c>
      <c r="E76" s="23">
        <v>96.383570369154</v>
      </c>
      <c r="F76" s="23">
        <v>88.9704132612313</v>
      </c>
      <c r="G76" s="23">
        <v>77.873692100573706</v>
      </c>
      <c r="H76" s="23">
        <v>85.622996760354397</v>
      </c>
      <c r="I76" s="23">
        <v>96.317470750610894</v>
      </c>
      <c r="J76" s="23">
        <v>93.338254448183307</v>
      </c>
      <c r="K76" s="23">
        <v>84.861285396280906</v>
      </c>
      <c r="L76" s="23">
        <v>88.317984284247203</v>
      </c>
      <c r="M76" s="23">
        <v>96.471140071610293</v>
      </c>
      <c r="N76" s="23">
        <v>95.471414232090197</v>
      </c>
      <c r="O76" s="23">
        <v>88.696015502399902</v>
      </c>
      <c r="P76" s="60">
        <v>90.205962003082504</v>
      </c>
      <c r="Q76" s="49">
        <v>96.605830864101904</v>
      </c>
      <c r="R76" s="70">
        <v>97.081871079563598</v>
      </c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</row>
    <row r="77" spans="1:29" ht="15.75" x14ac:dyDescent="0.3">
      <c r="B77" s="2" t="s">
        <v>9</v>
      </c>
      <c r="C77" s="20">
        <v>64.290510065267497</v>
      </c>
      <c r="D77" s="20">
        <v>80.334086134374601</v>
      </c>
      <c r="E77" s="25">
        <v>96.365761372306494</v>
      </c>
      <c r="F77" s="25">
        <v>88.983340128322695</v>
      </c>
      <c r="G77" s="25">
        <v>77.859240067939496</v>
      </c>
      <c r="H77" s="25">
        <v>85.639674446028394</v>
      </c>
      <c r="I77" s="25">
        <v>96.2276118765717</v>
      </c>
      <c r="J77" s="25">
        <v>93.428630677554594</v>
      </c>
      <c r="K77" s="25">
        <v>85.018053610266804</v>
      </c>
      <c r="L77" s="20">
        <v>88.414692131142104</v>
      </c>
      <c r="M77" s="20">
        <v>96.287595611885493</v>
      </c>
      <c r="N77" s="25">
        <v>95.420351432644495</v>
      </c>
      <c r="O77" s="59">
        <v>88.651513029710898</v>
      </c>
      <c r="P77" s="49">
        <v>90.2537283869829</v>
      </c>
      <c r="Q77" s="56">
        <v>96.652988056212706</v>
      </c>
      <c r="R77" s="49">
        <v>97.037949129384003</v>
      </c>
      <c r="S77" s="70">
        <v>91.364167768923394</v>
      </c>
      <c r="T77" s="49"/>
      <c r="U77" s="49"/>
      <c r="V77" s="49"/>
      <c r="W77" s="49"/>
      <c r="X77" s="49"/>
      <c r="Y77" s="49"/>
      <c r="Z77" s="49"/>
      <c r="AA77" s="49"/>
      <c r="AB77" s="49"/>
      <c r="AC77" s="49"/>
    </row>
    <row r="78" spans="1:29" ht="15.75" x14ac:dyDescent="0.3">
      <c r="B78" s="2" t="s">
        <v>18</v>
      </c>
      <c r="C78" s="20">
        <v>64.2862403699597</v>
      </c>
      <c r="D78" s="20">
        <v>80.318127548074798</v>
      </c>
      <c r="E78" s="25">
        <v>96.387552423549394</v>
      </c>
      <c r="F78" s="25">
        <v>88.959562694223607</v>
      </c>
      <c r="G78" s="25">
        <v>77.849168519099806</v>
      </c>
      <c r="H78" s="25">
        <v>85.507162794186698</v>
      </c>
      <c r="I78" s="25">
        <v>96.306371470199494</v>
      </c>
      <c r="J78" s="25">
        <v>93.453622944230801</v>
      </c>
      <c r="K78" s="25">
        <v>85.0150888903392</v>
      </c>
      <c r="L78" s="20">
        <v>88.421791247100103</v>
      </c>
      <c r="M78" s="20">
        <v>95.248399783943896</v>
      </c>
      <c r="N78" s="25">
        <v>95.365153554598606</v>
      </c>
      <c r="O78" s="20">
        <v>88.605299620670394</v>
      </c>
      <c r="P78" s="49">
        <v>90.304489178634498</v>
      </c>
      <c r="Q78" s="49">
        <v>96.703109693070104</v>
      </c>
      <c r="R78" s="56">
        <v>96.991303548664106</v>
      </c>
      <c r="S78" s="49">
        <v>91.323229993611207</v>
      </c>
      <c r="T78" s="70">
        <v>91.261695415829195</v>
      </c>
      <c r="U78" s="49"/>
      <c r="V78" s="49"/>
      <c r="W78" s="49"/>
      <c r="X78" s="49"/>
      <c r="Y78" s="49"/>
      <c r="Z78" s="49"/>
      <c r="AA78" s="49"/>
      <c r="AB78" s="49"/>
      <c r="AC78" s="49"/>
    </row>
    <row r="79" spans="1:29" ht="15.75" x14ac:dyDescent="0.3">
      <c r="B79" s="2" t="s">
        <v>19</v>
      </c>
      <c r="C79" s="20">
        <v>64.275803719576601</v>
      </c>
      <c r="D79" s="20">
        <v>80.318100370275104</v>
      </c>
      <c r="E79" s="25">
        <v>96.319131073557202</v>
      </c>
      <c r="F79" s="25">
        <v>88.980786398913395</v>
      </c>
      <c r="G79" s="25">
        <v>77.870191729624807</v>
      </c>
      <c r="H79" s="25">
        <v>85.570292963190695</v>
      </c>
      <c r="I79" s="25">
        <v>96.321382497451694</v>
      </c>
      <c r="J79" s="25">
        <v>93.509578763007696</v>
      </c>
      <c r="K79" s="25">
        <v>84.820930040650694</v>
      </c>
      <c r="L79" s="20">
        <v>88.471062884034296</v>
      </c>
      <c r="M79" s="20">
        <v>96.925588740876805</v>
      </c>
      <c r="N79" s="25">
        <v>95.306718143117706</v>
      </c>
      <c r="O79" s="20">
        <v>88.555415850185199</v>
      </c>
      <c r="P79" s="49">
        <v>90.358216507687601</v>
      </c>
      <c r="Q79" s="49">
        <v>96.756169959122801</v>
      </c>
      <c r="R79" s="72">
        <v>96.9419648164817</v>
      </c>
      <c r="S79" s="56">
        <v>91.279920564472903</v>
      </c>
      <c r="T79" s="49">
        <v>91.306959961128698</v>
      </c>
      <c r="U79" s="70">
        <v>96.638366016562898</v>
      </c>
      <c r="V79" s="49"/>
      <c r="W79" s="49"/>
      <c r="X79" s="49"/>
      <c r="Y79" s="49"/>
      <c r="Z79" s="49"/>
      <c r="AA79" s="49"/>
      <c r="AB79" s="49"/>
      <c r="AC79" s="49"/>
    </row>
    <row r="80" spans="1:29" ht="15.75" x14ac:dyDescent="0.3">
      <c r="B80" s="2" t="s">
        <v>20</v>
      </c>
      <c r="C80" s="20">
        <v>64.266274042780196</v>
      </c>
      <c r="D80" s="20">
        <v>80.299672778467794</v>
      </c>
      <c r="E80" s="25">
        <v>96.369561123575096</v>
      </c>
      <c r="F80" s="25">
        <v>89.030220193636396</v>
      </c>
      <c r="G80" s="25">
        <v>77.859198633466804</v>
      </c>
      <c r="H80" s="25">
        <v>85.671634581275597</v>
      </c>
      <c r="I80" s="25">
        <v>96.473474332231305</v>
      </c>
      <c r="J80" s="25">
        <v>93.377098674381301</v>
      </c>
      <c r="K80" s="25">
        <v>84.975500212305406</v>
      </c>
      <c r="L80" s="20">
        <v>88.495584129336606</v>
      </c>
      <c r="M80" s="20">
        <v>96.994354855664696</v>
      </c>
      <c r="N80" s="25">
        <v>95.245085315681706</v>
      </c>
      <c r="O80" s="20">
        <v>88.502789808675601</v>
      </c>
      <c r="P80" s="49">
        <v>90.414881755898406</v>
      </c>
      <c r="Q80" s="72">
        <v>96.812142320219706</v>
      </c>
      <c r="R80" s="49">
        <v>96.889964411465201</v>
      </c>
      <c r="S80" s="49">
        <v>91.234265500421998</v>
      </c>
      <c r="T80" s="56">
        <v>91.354670511386701</v>
      </c>
      <c r="U80" s="49">
        <v>96.685574481790894</v>
      </c>
      <c r="V80" s="70">
        <v>98.023097263830195</v>
      </c>
      <c r="W80" s="49"/>
      <c r="X80" s="49"/>
      <c r="Y80" s="49"/>
      <c r="Z80" s="49"/>
      <c r="AA80" s="49"/>
      <c r="AB80" s="49"/>
      <c r="AC80" s="49"/>
    </row>
    <row r="81" spans="2:29" ht="15.75" x14ac:dyDescent="0.3">
      <c r="B81" s="2" t="s">
        <v>21</v>
      </c>
      <c r="C81" s="20">
        <v>64.244194715788893</v>
      </c>
      <c r="D81" s="20">
        <v>80.302844063704796</v>
      </c>
      <c r="E81" s="25">
        <v>96.309322233239897</v>
      </c>
      <c r="F81" s="25">
        <v>89.050622687230899</v>
      </c>
      <c r="G81" s="25">
        <v>77.816878927049203</v>
      </c>
      <c r="H81" s="25">
        <v>85.606444102201195</v>
      </c>
      <c r="I81" s="25">
        <v>96.582573157855705</v>
      </c>
      <c r="J81" s="25">
        <v>93.430685893648402</v>
      </c>
      <c r="K81" s="25">
        <v>84.833477225115999</v>
      </c>
      <c r="L81" s="20">
        <v>88.203868795713802</v>
      </c>
      <c r="M81" s="20">
        <v>95.023515046656598</v>
      </c>
      <c r="N81" s="25">
        <v>95.180296173668594</v>
      </c>
      <c r="O81" s="20">
        <v>88.447454149471994</v>
      </c>
      <c r="P81" s="49">
        <v>90.474455561297205</v>
      </c>
      <c r="Q81" s="72">
        <v>96.870999529059404</v>
      </c>
      <c r="R81" s="49">
        <v>96.835334787997297</v>
      </c>
      <c r="S81" s="49">
        <v>91.186291648843493</v>
      </c>
      <c r="T81" s="49">
        <v>91.404802871421595</v>
      </c>
      <c r="U81" s="56">
        <v>96.735187859425196</v>
      </c>
      <c r="V81" s="49">
        <v>97.975897745567806</v>
      </c>
      <c r="W81" s="70">
        <v>93.112529233546894</v>
      </c>
      <c r="X81" s="49"/>
      <c r="Y81" s="49"/>
      <c r="Z81" s="49"/>
      <c r="AA81" s="49"/>
      <c r="AB81" s="49"/>
      <c r="AC81" s="49"/>
    </row>
    <row r="82" spans="2:29" ht="15.75" x14ac:dyDescent="0.3">
      <c r="B82" s="2" t="s">
        <v>22</v>
      </c>
      <c r="C82" s="20">
        <v>64.2724935041837</v>
      </c>
      <c r="D82" s="20">
        <v>80.293153855995399</v>
      </c>
      <c r="E82" s="25">
        <v>96.329926363414003</v>
      </c>
      <c r="F82" s="25">
        <v>88.963391078100798</v>
      </c>
      <c r="G82" s="25">
        <v>77.933917347832704</v>
      </c>
      <c r="H82" s="25">
        <v>85.686929497620397</v>
      </c>
      <c r="I82" s="25">
        <v>96.037275991539602</v>
      </c>
      <c r="J82" s="25">
        <v>93.382429690656096</v>
      </c>
      <c r="K82" s="25">
        <v>84.980520426790306</v>
      </c>
      <c r="L82" s="20">
        <v>88.2738437523996</v>
      </c>
      <c r="M82" s="20">
        <v>97.142662341075606</v>
      </c>
      <c r="N82" s="25">
        <v>95.112392787933501</v>
      </c>
      <c r="O82" s="20">
        <v>88.389442330803703</v>
      </c>
      <c r="P82" s="72">
        <v>90.536907826951406</v>
      </c>
      <c r="Q82" s="49">
        <v>96.932713632951604</v>
      </c>
      <c r="R82" s="49">
        <v>96.778109349473397</v>
      </c>
      <c r="S82" s="49">
        <v>91.136026665802106</v>
      </c>
      <c r="T82" s="49">
        <v>91.457332113078195</v>
      </c>
      <c r="U82" s="49">
        <v>96.787182734168894</v>
      </c>
      <c r="V82" s="56">
        <v>97.926473486553604</v>
      </c>
      <c r="W82" s="49">
        <v>93.068266290387399</v>
      </c>
      <c r="X82" s="70">
        <v>92.111719234292906</v>
      </c>
      <c r="Y82" s="49"/>
      <c r="Z82" s="49"/>
      <c r="AA82" s="49"/>
      <c r="AB82" s="49"/>
      <c r="AC82" s="49"/>
    </row>
    <row r="83" spans="2:29" ht="15.75" x14ac:dyDescent="0.3">
      <c r="B83" s="2" t="s">
        <v>23</v>
      </c>
      <c r="C83" s="20">
        <v>64.258083347856797</v>
      </c>
      <c r="D83" s="20">
        <v>80.254662129720998</v>
      </c>
      <c r="E83" s="20">
        <v>96.182446781089396</v>
      </c>
      <c r="F83" s="20">
        <v>89.024155438935594</v>
      </c>
      <c r="G83" s="20">
        <v>77.893117683805301</v>
      </c>
      <c r="H83" s="20">
        <v>85.685957720256695</v>
      </c>
      <c r="I83" s="20">
        <v>96.279907930791694</v>
      </c>
      <c r="J83" s="20">
        <v>93.548023485372596</v>
      </c>
      <c r="K83" s="20">
        <v>84.784362465366996</v>
      </c>
      <c r="L83" s="20">
        <v>88.461483941032299</v>
      </c>
      <c r="M83" s="20">
        <v>97.222133352517602</v>
      </c>
      <c r="N83" s="25">
        <v>95.041418179482406</v>
      </c>
      <c r="O83" s="20">
        <v>88.328788602217799</v>
      </c>
      <c r="P83" s="72">
        <v>90.602207732417398</v>
      </c>
      <c r="Q83" s="49">
        <v>96.997255983702402</v>
      </c>
      <c r="R83" s="49">
        <v>96.718322419822897</v>
      </c>
      <c r="S83" s="49">
        <v>91.083498992734206</v>
      </c>
      <c r="T83" s="49">
        <v>91.512232595660507</v>
      </c>
      <c r="U83" s="49">
        <v>96.841535004533597</v>
      </c>
      <c r="V83" s="49">
        <v>97.874853056154706</v>
      </c>
      <c r="W83" s="56">
        <v>93.022026937294598</v>
      </c>
      <c r="X83" s="49">
        <v>92.159079545435205</v>
      </c>
      <c r="Y83" s="70">
        <v>96.727176210947206</v>
      </c>
      <c r="Z83" s="49"/>
      <c r="AA83" s="49"/>
      <c r="AB83" s="49"/>
      <c r="AC83" s="49"/>
    </row>
    <row r="84" spans="2:29" ht="15.75" x14ac:dyDescent="0.3">
      <c r="B84" s="2" t="s">
        <v>24</v>
      </c>
      <c r="C84" s="20">
        <v>64.222724200624498</v>
      </c>
      <c r="D84" s="20">
        <v>80.305239399567796</v>
      </c>
      <c r="E84" s="25">
        <v>96.270829151797699</v>
      </c>
      <c r="F84" s="25">
        <v>89.118754630995994</v>
      </c>
      <c r="G84" s="25">
        <v>77.933191953664704</v>
      </c>
      <c r="H84" s="25">
        <v>85.421014866056098</v>
      </c>
      <c r="I84" s="25">
        <v>96.437812767987594</v>
      </c>
      <c r="J84" s="25">
        <v>93.551937984748704</v>
      </c>
      <c r="K84" s="25">
        <v>84.864138577307898</v>
      </c>
      <c r="L84" s="20">
        <v>86.422722801235395</v>
      </c>
      <c r="M84" s="20">
        <v>97.305101310747403</v>
      </c>
      <c r="N84" s="25">
        <v>94.967416296313203</v>
      </c>
      <c r="O84" s="20">
        <v>88.265527986592502</v>
      </c>
      <c r="P84" s="72">
        <v>90.670323747374397</v>
      </c>
      <c r="Q84" s="49">
        <v>97.064597249774494</v>
      </c>
      <c r="R84" s="49">
        <v>96.656009211225395</v>
      </c>
      <c r="S84" s="49">
        <v>91.028737831849099</v>
      </c>
      <c r="T84" s="49">
        <v>91.569477984904097</v>
      </c>
      <c r="U84" s="49">
        <v>96.898219900631503</v>
      </c>
      <c r="V84" s="49">
        <v>97.821065839577699</v>
      </c>
      <c r="W84" s="49">
        <v>92.973836238780393</v>
      </c>
      <c r="X84" s="56">
        <v>92.208448575580604</v>
      </c>
      <c r="Y84" s="49">
        <v>96.776120378162901</v>
      </c>
      <c r="Z84" s="70">
        <v>98.673697319274495</v>
      </c>
      <c r="AA84" s="49"/>
      <c r="AB84" s="49"/>
      <c r="AC84" s="49"/>
    </row>
    <row r="85" spans="2:29" ht="15.75" x14ac:dyDescent="0.3">
      <c r="B85" s="2" t="s">
        <v>330</v>
      </c>
      <c r="C85" s="20">
        <v>64.309748952274205</v>
      </c>
      <c r="D85" s="20">
        <v>80.335579531140695</v>
      </c>
      <c r="E85" s="20">
        <v>96.282687285026299</v>
      </c>
      <c r="F85" s="20">
        <v>88.778987326416399</v>
      </c>
      <c r="G85" s="20">
        <v>77.888375475285898</v>
      </c>
      <c r="H85" s="20">
        <v>86.009345509764202</v>
      </c>
      <c r="I85" s="20">
        <v>96.252706148201199</v>
      </c>
      <c r="J85" s="20">
        <v>93.599485856670398</v>
      </c>
      <c r="K85" s="20">
        <v>86.086716585328602</v>
      </c>
      <c r="L85" s="26">
        <v>86.459589242192294</v>
      </c>
      <c r="M85" s="26">
        <v>97.393598889264695</v>
      </c>
      <c r="N85" s="22">
        <v>94.890431986312393</v>
      </c>
      <c r="O85" s="26">
        <v>88.199696260068805</v>
      </c>
      <c r="P85" s="49">
        <v>90.742355643296307</v>
      </c>
      <c r="Q85" s="49">
        <v>97.135742007575004</v>
      </c>
      <c r="R85" s="49">
        <v>96.591205793903399</v>
      </c>
      <c r="S85" s="49">
        <v>90.971773120287594</v>
      </c>
      <c r="T85" s="49">
        <v>91.630091408750502</v>
      </c>
      <c r="U85" s="49">
        <v>96.957212004090394</v>
      </c>
      <c r="V85" s="49">
        <v>97.765142004911596</v>
      </c>
      <c r="W85" s="49">
        <v>92.923719944735595</v>
      </c>
      <c r="X85" s="49">
        <v>92.259803057678198</v>
      </c>
      <c r="Y85" s="56">
        <v>96.827042031557397</v>
      </c>
      <c r="Z85" s="49">
        <v>98.624528140672794</v>
      </c>
      <c r="AA85" s="70">
        <v>94.372930606137103</v>
      </c>
      <c r="AB85" s="49"/>
      <c r="AC85" s="49"/>
    </row>
    <row r="86" spans="2:29" ht="15.75" x14ac:dyDescent="0.3">
      <c r="B86" s="2" t="s">
        <v>331</v>
      </c>
      <c r="C86" s="20">
        <v>64.2985181706878</v>
      </c>
      <c r="D86" s="20">
        <v>80.203890670025203</v>
      </c>
      <c r="E86" s="25">
        <v>96.359284181686604</v>
      </c>
      <c r="F86" s="25">
        <v>89.100977701243707</v>
      </c>
      <c r="G86" s="25">
        <v>77.918182206823204</v>
      </c>
      <c r="H86" s="25">
        <v>85.647777027828297</v>
      </c>
      <c r="I86" s="25">
        <v>96.327192788510501</v>
      </c>
      <c r="J86" s="25">
        <v>93.600440858508094</v>
      </c>
      <c r="K86" s="25">
        <v>86.212178598563298</v>
      </c>
      <c r="L86" s="26">
        <v>89.493507786407804</v>
      </c>
      <c r="M86" s="26">
        <v>97.483742004412704</v>
      </c>
      <c r="N86" s="22">
        <v>94.8085372098855</v>
      </c>
      <c r="O86" s="26">
        <v>88.131329929041996</v>
      </c>
      <c r="P86" s="49">
        <v>90.816213397608095</v>
      </c>
      <c r="Q86" s="49">
        <v>97.208781452917194</v>
      </c>
      <c r="R86" s="49">
        <v>96.522900716848298</v>
      </c>
      <c r="S86" s="49">
        <v>90.912635503227406</v>
      </c>
      <c r="T86" s="49">
        <v>91.692144454210094</v>
      </c>
      <c r="U86" s="49">
        <v>97.019637447085898</v>
      </c>
      <c r="V86" s="49">
        <v>97.706096571045606</v>
      </c>
      <c r="W86" s="49">
        <v>92.871704464439006</v>
      </c>
      <c r="X86" s="49">
        <v>92.314256321358101</v>
      </c>
      <c r="Y86" s="49">
        <v>96.880970730988196</v>
      </c>
      <c r="Z86" s="56">
        <v>98.572567916005497</v>
      </c>
      <c r="AA86" s="49">
        <v>94.326549578927697</v>
      </c>
      <c r="AB86" s="70">
        <v>92.778751080138207</v>
      </c>
      <c r="AC86" s="49"/>
    </row>
    <row r="87" spans="2:29" ht="15.75" x14ac:dyDescent="0.3">
      <c r="B87" s="2" t="s">
        <v>332</v>
      </c>
      <c r="C87" s="20">
        <v>64.252833005589693</v>
      </c>
      <c r="D87" s="20">
        <v>80.380547544313302</v>
      </c>
      <c r="E87" s="20">
        <v>96.205760762160196</v>
      </c>
      <c r="F87" s="20">
        <v>89.132796732809595</v>
      </c>
      <c r="G87" s="20">
        <v>77.874275501610995</v>
      </c>
      <c r="H87" s="20">
        <v>85.408408160984806</v>
      </c>
      <c r="I87" s="20">
        <v>96.576423646936206</v>
      </c>
      <c r="J87" s="20">
        <v>93.325233557158896</v>
      </c>
      <c r="K87" s="20">
        <v>83.7854163815108</v>
      </c>
      <c r="L87" s="22">
        <v>89.587399554331796</v>
      </c>
      <c r="M87" s="22">
        <v>97.577298711310306</v>
      </c>
      <c r="N87" s="22">
        <v>94.725459911097005</v>
      </c>
      <c r="O87" s="26">
        <v>88.0586603839226</v>
      </c>
      <c r="P87" s="49">
        <v>90.8938619373547</v>
      </c>
      <c r="Q87" s="49">
        <v>97.285550628606003</v>
      </c>
      <c r="R87" s="49">
        <v>96.453043788630296</v>
      </c>
      <c r="S87" s="49">
        <v>90.850347945402305</v>
      </c>
      <c r="T87" s="49">
        <v>91.755596529364396</v>
      </c>
      <c r="U87" s="49">
        <v>97.083375788504398</v>
      </c>
      <c r="V87" s="49">
        <v>97.645806609106103</v>
      </c>
      <c r="W87" s="49">
        <v>92.816810202239395</v>
      </c>
      <c r="X87" s="49">
        <v>92.369724297785098</v>
      </c>
      <c r="Y87" s="49">
        <v>96.9359802151384</v>
      </c>
      <c r="Z87" s="49">
        <v>98.519554893383699</v>
      </c>
      <c r="AA87" s="56">
        <v>94.277545887061905</v>
      </c>
      <c r="AB87" s="49">
        <v>92.827494233056896</v>
      </c>
      <c r="AC87" s="70">
        <v>96.8232392988551</v>
      </c>
    </row>
    <row r="88" spans="2:29" ht="15.75" x14ac:dyDescent="0.3">
      <c r="B88" s="2" t="s">
        <v>333</v>
      </c>
      <c r="C88" s="20">
        <v>64.146813736759299</v>
      </c>
      <c r="D88" s="20">
        <v>80.254031785919807</v>
      </c>
      <c r="E88" s="25">
        <v>96.148614435844394</v>
      </c>
      <c r="F88" s="25">
        <v>88.838787881961807</v>
      </c>
      <c r="G88" s="25">
        <v>78.1352927937034</v>
      </c>
      <c r="H88" s="25">
        <v>85.347688334347296</v>
      </c>
      <c r="I88" s="25">
        <v>96.944903864323095</v>
      </c>
      <c r="J88" s="25">
        <v>93.003299911922895</v>
      </c>
      <c r="K88" s="25">
        <v>83.697917275435699</v>
      </c>
      <c r="L88" s="22">
        <v>89.685487399264005</v>
      </c>
      <c r="M88" s="22">
        <v>97.674232312701406</v>
      </c>
      <c r="N88" s="26">
        <v>94.639515494758399</v>
      </c>
      <c r="O88" s="22">
        <v>87.9851006331794</v>
      </c>
      <c r="P88" s="49">
        <v>90.972302263325005</v>
      </c>
      <c r="Q88" s="49">
        <v>97.364124186289601</v>
      </c>
      <c r="R88" s="49">
        <v>96.379812883970502</v>
      </c>
      <c r="S88" s="49">
        <v>90.786787987709204</v>
      </c>
      <c r="T88" s="49">
        <v>91.822045341565996</v>
      </c>
      <c r="U88" s="49">
        <v>97.148398097345606</v>
      </c>
      <c r="V88" s="49">
        <v>97.583451382707096</v>
      </c>
      <c r="W88" s="49">
        <v>92.760900234793795</v>
      </c>
      <c r="X88" s="49">
        <v>92.426086977556295</v>
      </c>
      <c r="Y88" s="49">
        <v>96.991949114341296</v>
      </c>
      <c r="Z88" s="49">
        <v>98.464728852037993</v>
      </c>
      <c r="AA88" s="49">
        <v>94.227686895743602</v>
      </c>
      <c r="AB88" s="56">
        <v>92.876934339437994</v>
      </c>
      <c r="AC88" s="74">
        <v>96.872380522933298</v>
      </c>
    </row>
    <row r="89" spans="2:29" ht="15.75" x14ac:dyDescent="0.3">
      <c r="B89" s="2" t="s">
        <v>334</v>
      </c>
      <c r="C89" s="22">
        <v>64.354749244136599</v>
      </c>
      <c r="D89" s="22">
        <v>80.214827747620006</v>
      </c>
      <c r="E89" s="22">
        <v>96.273765194191299</v>
      </c>
      <c r="F89" s="22">
        <v>89.175634707957997</v>
      </c>
      <c r="G89" s="22">
        <v>77.5640329163746</v>
      </c>
      <c r="H89" s="22">
        <v>85.874741958806894</v>
      </c>
      <c r="I89" s="22">
        <v>96.627043900261199</v>
      </c>
      <c r="J89" s="22">
        <v>95.210925486365795</v>
      </c>
      <c r="K89" s="22">
        <v>83.6082985685956</v>
      </c>
      <c r="L89" s="22">
        <v>89.785984739742005</v>
      </c>
      <c r="M89" s="22">
        <v>97.773491965588704</v>
      </c>
      <c r="N89" s="26">
        <v>94.550750743542807</v>
      </c>
      <c r="O89" s="22">
        <v>87.909098956643703</v>
      </c>
      <c r="P89" s="49">
        <v>91.053293299514607</v>
      </c>
      <c r="Q89" s="49">
        <v>97.444324901008301</v>
      </c>
      <c r="R89" s="49">
        <v>96.305099767948704</v>
      </c>
      <c r="S89" s="49">
        <v>90.720224958923595</v>
      </c>
      <c r="T89" s="49">
        <v>91.891748653130094</v>
      </c>
      <c r="U89" s="49">
        <v>97.217447170907107</v>
      </c>
      <c r="V89" s="49">
        <v>97.520066085891699</v>
      </c>
      <c r="W89" s="49">
        <v>92.703152353731298</v>
      </c>
      <c r="X89" s="49">
        <v>92.485232049026095</v>
      </c>
      <c r="Y89" s="49">
        <v>97.050635506444095</v>
      </c>
      <c r="Z89" s="49">
        <v>98.409152450959496</v>
      </c>
      <c r="AA89" s="49">
        <v>94.176192578418096</v>
      </c>
      <c r="AB89" s="49">
        <v>92.928875189820999</v>
      </c>
      <c r="AC89" s="56">
        <v>96.923961676986806</v>
      </c>
    </row>
    <row r="90" spans="2:29" ht="15.75" x14ac:dyDescent="0.3">
      <c r="B90" s="2" t="s">
        <v>335</v>
      </c>
      <c r="C90" s="22">
        <v>64.253320614670699</v>
      </c>
      <c r="D90" s="22">
        <v>80.328648578368401</v>
      </c>
      <c r="E90" s="22">
        <v>96.236708693643806</v>
      </c>
      <c r="F90" s="22">
        <v>89.264007570557894</v>
      </c>
      <c r="G90" s="22">
        <v>77.634981120126</v>
      </c>
      <c r="H90" s="22">
        <v>85.915824031220396</v>
      </c>
      <c r="I90" s="22">
        <v>96.384189323711993</v>
      </c>
      <c r="J90" s="22">
        <v>94.931892915668698</v>
      </c>
      <c r="K90" s="22">
        <v>83.515821927114104</v>
      </c>
      <c r="L90" s="22">
        <v>89.890585035509702</v>
      </c>
      <c r="M90" s="26">
        <v>97.875991158934099</v>
      </c>
      <c r="N90" s="22">
        <v>94.460161415464896</v>
      </c>
      <c r="O90" s="22">
        <v>87.830693400598406</v>
      </c>
      <c r="P90" s="49">
        <v>91.137783193395904</v>
      </c>
      <c r="Q90" s="49">
        <v>97.527056514444993</v>
      </c>
      <c r="R90" s="49">
        <v>96.229100690517001</v>
      </c>
      <c r="S90" s="49">
        <v>90.652416960657604</v>
      </c>
      <c r="T90" s="49">
        <v>91.961791683152896</v>
      </c>
      <c r="U90" s="49">
        <v>97.287788307198099</v>
      </c>
      <c r="V90" s="49">
        <v>97.452846807264507</v>
      </c>
      <c r="W90" s="49">
        <v>92.644577665010303</v>
      </c>
      <c r="X90" s="49">
        <v>92.546248498519503</v>
      </c>
      <c r="Y90" s="49">
        <v>97.111190863388899</v>
      </c>
      <c r="Z90" s="49">
        <v>98.350953202694399</v>
      </c>
      <c r="AA90" s="49">
        <v>94.124123758735394</v>
      </c>
      <c r="AB90" s="49">
        <v>92.982451811045493</v>
      </c>
      <c r="AC90" s="58">
        <v>96.977176773825803</v>
      </c>
    </row>
    <row r="91" spans="2:29" ht="15.75" x14ac:dyDescent="0.3">
      <c r="B91" s="2" t="s">
        <v>336</v>
      </c>
      <c r="C91" s="22">
        <v>64.167631344720803</v>
      </c>
      <c r="D91" s="22">
        <v>80.213782612675601</v>
      </c>
      <c r="E91" s="22">
        <v>96.103762996484306</v>
      </c>
      <c r="F91" s="22">
        <v>88.668913195032005</v>
      </c>
      <c r="G91" s="22">
        <v>78.177593136668307</v>
      </c>
      <c r="H91" s="22">
        <v>85.635382797677494</v>
      </c>
      <c r="I91" s="22">
        <v>96.101866095906999</v>
      </c>
      <c r="J91" s="22">
        <v>95.265951313179301</v>
      </c>
      <c r="K91" s="22">
        <v>83.420534612191105</v>
      </c>
      <c r="L91" s="22">
        <v>89.9984350119569</v>
      </c>
      <c r="M91" s="26">
        <v>97.9825967743067</v>
      </c>
      <c r="N91" s="22">
        <v>94.365975402271403</v>
      </c>
      <c r="O91" s="22">
        <v>87.749922581435001</v>
      </c>
      <c r="P91" s="49">
        <v>91.224866963527504</v>
      </c>
      <c r="Q91" s="49">
        <v>97.613294726647098</v>
      </c>
      <c r="R91" s="49">
        <v>96.150893748003298</v>
      </c>
      <c r="S91" s="49">
        <v>90.583562062844294</v>
      </c>
      <c r="T91" s="49">
        <v>92.034819505035799</v>
      </c>
      <c r="U91" s="49">
        <v>97.359333855988496</v>
      </c>
      <c r="V91" s="49">
        <v>97.3845684136963</v>
      </c>
      <c r="W91" s="49">
        <v>92.582452383585604</v>
      </c>
      <c r="X91" s="49">
        <v>92.610141582468202</v>
      </c>
      <c r="Y91" s="49">
        <v>97.174573659555705</v>
      </c>
      <c r="Z91" s="49">
        <v>98.291042118473399</v>
      </c>
      <c r="AA91" s="49">
        <v>94.069597157002207</v>
      </c>
      <c r="AB91" s="49">
        <v>93.037641403501596</v>
      </c>
      <c r="AC91" s="58">
        <v>97.032003974284194</v>
      </c>
    </row>
    <row r="92" spans="2:29" ht="15.75" x14ac:dyDescent="0.3">
      <c r="B92" s="2" t="s">
        <v>337</v>
      </c>
      <c r="C92" s="22">
        <v>64.142737497552901</v>
      </c>
      <c r="D92" s="22">
        <v>80.087539204322397</v>
      </c>
      <c r="E92" s="22">
        <v>96.440739928469</v>
      </c>
      <c r="F92" s="22">
        <v>88.747514088238702</v>
      </c>
      <c r="G92" s="22">
        <v>78.033327015385396</v>
      </c>
      <c r="H92" s="22">
        <v>84.701589788510304</v>
      </c>
      <c r="I92" s="22">
        <v>93.129448158429597</v>
      </c>
      <c r="J92" s="22">
        <v>91.438691745322203</v>
      </c>
      <c r="K92" s="22">
        <v>83.322484421927001</v>
      </c>
      <c r="L92" s="26">
        <v>90.109491676813903</v>
      </c>
      <c r="M92" s="22">
        <v>98.092409035977099</v>
      </c>
      <c r="N92" s="22">
        <v>94.270177477425193</v>
      </c>
      <c r="O92" s="22">
        <v>87.666825655539398</v>
      </c>
      <c r="P92" s="49">
        <v>91.314509071783306</v>
      </c>
      <c r="Q92" s="49">
        <v>97.702091210694803</v>
      </c>
      <c r="R92" s="49">
        <v>96.069566381115905</v>
      </c>
      <c r="S92" s="49">
        <v>90.511856575694594</v>
      </c>
      <c r="T92" s="49">
        <v>92.109974394804297</v>
      </c>
      <c r="U92" s="49">
        <v>97.433877490663093</v>
      </c>
      <c r="V92" s="49">
        <v>97.315316547767097</v>
      </c>
      <c r="W92" s="49">
        <v>92.519436480745995</v>
      </c>
      <c r="X92" s="49">
        <v>92.673988410254395</v>
      </c>
      <c r="Y92" s="49">
        <v>97.238891433341493</v>
      </c>
      <c r="Z92" s="49">
        <v>98.228452372378896</v>
      </c>
      <c r="AA92" s="49">
        <v>94.0135261419709</v>
      </c>
      <c r="AB92" s="49">
        <v>93.094420763743202</v>
      </c>
      <c r="AC92" s="58">
        <v>97.088421039068606</v>
      </c>
    </row>
    <row r="93" spans="2:29" ht="15.75" x14ac:dyDescent="0.3">
      <c r="B93" s="2" t="s">
        <v>338</v>
      </c>
      <c r="C93" s="22">
        <v>63.907379405331703</v>
      </c>
      <c r="D93" s="22">
        <v>80.536221992719504</v>
      </c>
      <c r="E93" s="22">
        <v>96.204560688238303</v>
      </c>
      <c r="F93" s="22">
        <v>88.953185234293798</v>
      </c>
      <c r="G93" s="22">
        <v>77.8947820375558</v>
      </c>
      <c r="H93" s="22">
        <v>85.926011112811494</v>
      </c>
      <c r="I93" s="22">
        <v>93.360008655910704</v>
      </c>
      <c r="J93" s="22">
        <v>95.698867077962603</v>
      </c>
      <c r="K93" s="22">
        <v>83.221719664827702</v>
      </c>
      <c r="L93" s="26">
        <v>90.223711534315697</v>
      </c>
      <c r="M93" s="22">
        <v>98.205387779265607</v>
      </c>
      <c r="N93" s="22">
        <v>94.170836235526096</v>
      </c>
      <c r="O93" s="22">
        <v>87.583400873708598</v>
      </c>
      <c r="P93" s="49">
        <v>91.406673486762401</v>
      </c>
      <c r="Q93" s="49">
        <v>97.793412215043702</v>
      </c>
      <c r="R93" s="49">
        <v>95.9860493273777</v>
      </c>
      <c r="S93" s="49">
        <v>90.439167192775301</v>
      </c>
      <c r="T93" s="49">
        <v>92.187225676787705</v>
      </c>
      <c r="U93" s="49">
        <v>97.510519172522507</v>
      </c>
      <c r="V93" s="49">
        <v>97.243312363666405</v>
      </c>
      <c r="W93" s="49">
        <v>92.454708309659907</v>
      </c>
      <c r="X93" s="49">
        <v>92.740479900809902</v>
      </c>
      <c r="Y93" s="49">
        <v>97.304026355333207</v>
      </c>
      <c r="Z93" s="49">
        <v>98.165110327979306</v>
      </c>
      <c r="AA93" s="49">
        <v>93.954980753240804</v>
      </c>
      <c r="AB93" s="49">
        <v>93.153789171896705</v>
      </c>
      <c r="AC93" s="58">
        <v>97.147380614388695</v>
      </c>
    </row>
    <row r="94" spans="2:29" ht="15.75" x14ac:dyDescent="0.3">
      <c r="B94" s="2" t="s">
        <v>339</v>
      </c>
      <c r="C94" s="22">
        <v>64.165195353947098</v>
      </c>
      <c r="D94" s="22">
        <v>80.575811128605494</v>
      </c>
      <c r="E94" s="22">
        <v>96.484251579064704</v>
      </c>
      <c r="F94" s="22">
        <v>89.286700072724102</v>
      </c>
      <c r="G94" s="22">
        <v>78.142754326698594</v>
      </c>
      <c r="H94" s="22">
        <v>85.304963693513798</v>
      </c>
      <c r="I94" s="22">
        <v>93.536052777337204</v>
      </c>
      <c r="J94" s="22">
        <v>91.190665008912006</v>
      </c>
      <c r="K94" s="26">
        <v>83.119266038713207</v>
      </c>
      <c r="L94" s="26">
        <v>90.341050607626698</v>
      </c>
      <c r="M94" s="26">
        <v>98.321492358043002</v>
      </c>
      <c r="N94" s="26">
        <v>94.068934084052501</v>
      </c>
      <c r="O94" s="26">
        <v>87.495968873694594</v>
      </c>
      <c r="P94" s="72">
        <v>91.501323709198303</v>
      </c>
      <c r="Q94" s="72">
        <v>97.887223521891997</v>
      </c>
      <c r="R94" s="72">
        <v>95.900383968701107</v>
      </c>
      <c r="S94" s="72">
        <v>90.363661132956594</v>
      </c>
      <c r="T94" s="72">
        <v>92.266542243211802</v>
      </c>
      <c r="U94" s="72">
        <v>97.589229442202196</v>
      </c>
      <c r="V94" s="72">
        <v>97.169459043221806</v>
      </c>
      <c r="W94" s="72">
        <v>92.3892715852446</v>
      </c>
      <c r="X94" s="72">
        <v>92.808737578567801</v>
      </c>
      <c r="Y94" s="72">
        <v>97.371825270070204</v>
      </c>
      <c r="Z94" s="72">
        <v>98.101131532985605</v>
      </c>
      <c r="AA94" s="72">
        <v>93.895809930702001</v>
      </c>
      <c r="AB94" s="72">
        <v>93.212824014294597</v>
      </c>
      <c r="AC94" s="58">
        <v>97.207006759716407</v>
      </c>
    </row>
    <row r="95" spans="2:29" ht="15.75" x14ac:dyDescent="0.3">
      <c r="B95" s="4" t="s">
        <v>340</v>
      </c>
      <c r="C95" s="27">
        <v>64.3451714627559</v>
      </c>
      <c r="D95" s="27">
        <v>79.996058027293699</v>
      </c>
      <c r="E95" s="27">
        <v>96.061931721938194</v>
      </c>
      <c r="F95" s="27">
        <v>88.578956715477005</v>
      </c>
      <c r="G95" s="27">
        <v>77.783613603439903</v>
      </c>
      <c r="H95" s="27">
        <v>85.277261745378894</v>
      </c>
      <c r="I95" s="27">
        <v>99.171656250888503</v>
      </c>
      <c r="J95" s="27">
        <v>91.061962259124002</v>
      </c>
      <c r="K95" s="27">
        <v>83.013282183027201</v>
      </c>
      <c r="L95" s="27">
        <v>90.461464462999302</v>
      </c>
      <c r="M95" s="27">
        <v>98.4406816655477</v>
      </c>
      <c r="N95" s="27">
        <v>93.964522068038093</v>
      </c>
      <c r="O95" s="27">
        <v>87.406344781151702</v>
      </c>
      <c r="P95" s="71">
        <v>91.598422801753898</v>
      </c>
      <c r="Q95" s="71">
        <v>97.983490472407894</v>
      </c>
      <c r="R95" s="71">
        <v>95.812612149508297</v>
      </c>
      <c r="S95" s="71">
        <v>90.286271503958304</v>
      </c>
      <c r="T95" s="71">
        <v>92.347892582429594</v>
      </c>
      <c r="U95" s="71">
        <v>97.669978435867606</v>
      </c>
      <c r="V95" s="71">
        <v>97.0937919996381</v>
      </c>
      <c r="W95" s="71">
        <v>92.3212893670445</v>
      </c>
      <c r="X95" s="71">
        <v>92.878733996627702</v>
      </c>
      <c r="Y95" s="71">
        <v>97.441366723222302</v>
      </c>
      <c r="Z95" s="71">
        <v>98.034654714457005</v>
      </c>
      <c r="AA95" s="71">
        <v>93.836118136800906</v>
      </c>
      <c r="AB95" s="71">
        <v>93.274244742677496</v>
      </c>
      <c r="AC95" s="57">
        <v>97.267159518061305</v>
      </c>
    </row>
    <row r="97" spans="1:29" x14ac:dyDescent="0.25">
      <c r="A97" s="35" t="s">
        <v>1014</v>
      </c>
      <c r="X97" s="237" t="s">
        <v>1818</v>
      </c>
      <c r="Y97" s="240">
        <v>0.29421283300000001</v>
      </c>
      <c r="Z97" s="10"/>
      <c r="AA97" s="237" t="s">
        <v>1819</v>
      </c>
      <c r="AB97" s="240">
        <v>0.26049807200000002</v>
      </c>
    </row>
    <row r="98" spans="1:29" ht="15.75" x14ac:dyDescent="0.3">
      <c r="B98" s="8" t="s">
        <v>1015</v>
      </c>
      <c r="C98" s="17" t="s">
        <v>1012</v>
      </c>
      <c r="D98" s="18" t="s">
        <v>322</v>
      </c>
      <c r="E98" s="18" t="s">
        <v>323</v>
      </c>
      <c r="F98" s="18" t="s">
        <v>324</v>
      </c>
      <c r="G98" s="18" t="s">
        <v>325</v>
      </c>
      <c r="H98" s="18" t="s">
        <v>326</v>
      </c>
      <c r="I98" s="18" t="s">
        <v>2</v>
      </c>
      <c r="J98" s="18" t="s">
        <v>3</v>
      </c>
      <c r="K98" s="18" t="s">
        <v>4</v>
      </c>
      <c r="L98" s="18" t="s">
        <v>5</v>
      </c>
      <c r="M98" s="18" t="s">
        <v>6</v>
      </c>
      <c r="N98" s="18" t="s">
        <v>7</v>
      </c>
      <c r="O98" s="18" t="s">
        <v>8</v>
      </c>
      <c r="P98" s="18" t="s">
        <v>1016</v>
      </c>
      <c r="Q98" s="18" t="s">
        <v>1017</v>
      </c>
      <c r="R98" s="18" t="s">
        <v>1018</v>
      </c>
      <c r="S98" s="18" t="s">
        <v>1074</v>
      </c>
      <c r="T98" s="18" t="s">
        <v>1075</v>
      </c>
      <c r="U98" s="18" t="s">
        <v>1076</v>
      </c>
      <c r="V98" s="18" t="s">
        <v>1077</v>
      </c>
      <c r="W98" s="18" t="s">
        <v>1078</v>
      </c>
      <c r="X98" s="18" t="s">
        <v>1079</v>
      </c>
      <c r="Y98" s="18" t="s">
        <v>1080</v>
      </c>
      <c r="Z98" s="18" t="s">
        <v>1081</v>
      </c>
      <c r="AA98" s="18" t="s">
        <v>1082</v>
      </c>
      <c r="AB98" s="18" t="s">
        <v>1083</v>
      </c>
      <c r="AC98" s="19" t="s">
        <v>1084</v>
      </c>
    </row>
    <row r="99" spans="1:29" ht="15.75" x14ac:dyDescent="0.3">
      <c r="B99" s="5" t="s">
        <v>1011</v>
      </c>
      <c r="C99" s="38">
        <v>0.36510748684233102</v>
      </c>
      <c r="D99" s="38">
        <v>0.331526794293722</v>
      </c>
      <c r="E99" s="38">
        <v>0.29274756617025</v>
      </c>
      <c r="F99" s="38">
        <v>0.28508951199446098</v>
      </c>
      <c r="G99" s="39">
        <v>0.27740623693505601</v>
      </c>
      <c r="H99" s="38">
        <v>0.26248077893891603</v>
      </c>
      <c r="I99" s="75">
        <v>0.242863089885994</v>
      </c>
      <c r="J99" s="40"/>
      <c r="K99" s="40"/>
      <c r="L99" s="40"/>
      <c r="M99" s="40"/>
      <c r="N99" s="40"/>
      <c r="O99" s="40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</row>
    <row r="100" spans="1:29" ht="15.75" x14ac:dyDescent="0.3">
      <c r="B100" s="3" t="s">
        <v>321</v>
      </c>
      <c r="C100" s="41">
        <v>0.36113638292661598</v>
      </c>
      <c r="D100" s="41">
        <v>0.32793732499047101</v>
      </c>
      <c r="E100" s="41">
        <v>0.28958680581249502</v>
      </c>
      <c r="F100" s="41">
        <v>0.28196607005666302</v>
      </c>
      <c r="G100" s="41">
        <v>0.27437977410214298</v>
      </c>
      <c r="H100" s="42">
        <v>0.25963084640675199</v>
      </c>
      <c r="I100" s="43">
        <v>0.240223259483868</v>
      </c>
      <c r="J100" s="76">
        <v>0.23369761800993499</v>
      </c>
      <c r="K100" s="43"/>
      <c r="L100" s="43"/>
      <c r="M100" s="43"/>
      <c r="N100" s="43"/>
      <c r="O100" s="43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</row>
    <row r="101" spans="1:29" ht="15.75" x14ac:dyDescent="0.3">
      <c r="B101" s="2" t="s">
        <v>10</v>
      </c>
      <c r="C101" s="38">
        <v>0.35720457806693201</v>
      </c>
      <c r="D101" s="38">
        <v>0.32438212666695099</v>
      </c>
      <c r="E101" s="43">
        <v>0.28645824230787098</v>
      </c>
      <c r="F101" s="43">
        <v>0.27887895462237899</v>
      </c>
      <c r="G101" s="43">
        <v>0.27138378543469399</v>
      </c>
      <c r="H101" s="43">
        <v>0.256790460079862</v>
      </c>
      <c r="I101" s="39">
        <v>0.23765302711566999</v>
      </c>
      <c r="J101" s="43">
        <v>0.231111283431606</v>
      </c>
      <c r="K101" s="76">
        <v>0.22754101574980901</v>
      </c>
      <c r="L101" s="43"/>
      <c r="M101" s="43"/>
      <c r="N101" s="43"/>
      <c r="O101" s="43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  <c r="AC101" s="48"/>
    </row>
    <row r="102" spans="1:29" ht="15.75" x14ac:dyDescent="0.3">
      <c r="B102" s="2" t="s">
        <v>11</v>
      </c>
      <c r="C102" s="38">
        <v>0.35331686802829798</v>
      </c>
      <c r="D102" s="38">
        <v>0.32086392066504998</v>
      </c>
      <c r="E102" s="43">
        <v>0.28335789852166499</v>
      </c>
      <c r="F102" s="43">
        <v>0.275830603072311</v>
      </c>
      <c r="G102" s="43">
        <v>0.26842238615533898</v>
      </c>
      <c r="H102" s="43">
        <v>0.25401050168233003</v>
      </c>
      <c r="I102" s="43">
        <v>0.23506508214624899</v>
      </c>
      <c r="J102" s="39">
        <v>0.22863409774624899</v>
      </c>
      <c r="K102" s="43">
        <v>0.22509664883525601</v>
      </c>
      <c r="L102" s="76">
        <v>0.216905706189188</v>
      </c>
      <c r="M102" s="43"/>
      <c r="N102" s="43"/>
      <c r="O102" s="43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  <c r="AC102" s="48"/>
    </row>
    <row r="103" spans="1:29" ht="15.75" x14ac:dyDescent="0.3">
      <c r="B103" s="2" t="s">
        <v>12</v>
      </c>
      <c r="C103" s="38">
        <v>0.34946657818816101</v>
      </c>
      <c r="D103" s="38">
        <v>0.31738330278557603</v>
      </c>
      <c r="E103" s="43">
        <v>0.28029060988447801</v>
      </c>
      <c r="F103" s="43">
        <v>0.27281359338632499</v>
      </c>
      <c r="G103" s="43">
        <v>0.26550295995097101</v>
      </c>
      <c r="H103" s="43">
        <v>0.25123544745603998</v>
      </c>
      <c r="I103" s="43">
        <v>0.23253054081364899</v>
      </c>
      <c r="J103" s="43">
        <v>0.22620692480965901</v>
      </c>
      <c r="K103" s="39">
        <v>0.222680165009982</v>
      </c>
      <c r="L103" s="43">
        <v>0.21453197145851799</v>
      </c>
      <c r="M103" s="76">
        <v>0.20312274343373299</v>
      </c>
      <c r="N103" s="43"/>
      <c r="O103" s="43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  <c r="AB103" s="48"/>
      <c r="AC103" s="48"/>
    </row>
    <row r="104" spans="1:29" ht="15.75" x14ac:dyDescent="0.3">
      <c r="B104" s="3" t="s">
        <v>13</v>
      </c>
      <c r="C104" s="41">
        <v>0.34565895429167498</v>
      </c>
      <c r="D104" s="41">
        <v>0.313938375522608</v>
      </c>
      <c r="E104" s="41">
        <v>0.277255922854099</v>
      </c>
      <c r="F104" s="41">
        <v>0.26981714842619497</v>
      </c>
      <c r="G104" s="41">
        <v>0.26262202379275001</v>
      </c>
      <c r="H104" s="41">
        <v>0.248546130181896</v>
      </c>
      <c r="I104" s="41">
        <v>0.22993899739302501</v>
      </c>
      <c r="J104" s="41">
        <v>0.22362511047252401</v>
      </c>
      <c r="K104" s="41">
        <v>0.22018673004786499</v>
      </c>
      <c r="L104" s="42">
        <v>0.212323773416216</v>
      </c>
      <c r="M104" s="43">
        <v>0.20090017288658599</v>
      </c>
      <c r="N104" s="76">
        <v>0.195601671885445</v>
      </c>
      <c r="O104" s="43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  <c r="AC104" s="48"/>
    </row>
    <row r="105" spans="1:29" ht="15.75" x14ac:dyDescent="0.3">
      <c r="B105" s="2" t="s">
        <v>14</v>
      </c>
      <c r="C105" s="38">
        <v>0.34189219100465901</v>
      </c>
      <c r="D105" s="38">
        <v>0.31052993282486702</v>
      </c>
      <c r="E105" s="43">
        <v>0.27425357607532802</v>
      </c>
      <c r="F105" s="43">
        <v>0.26687272010449298</v>
      </c>
      <c r="G105" s="43">
        <v>0.25974651742639598</v>
      </c>
      <c r="H105" s="43">
        <v>0.24576300847875199</v>
      </c>
      <c r="I105" s="43">
        <v>0.227530366341472</v>
      </c>
      <c r="J105" s="43">
        <v>0.221288229982851</v>
      </c>
      <c r="K105" s="43">
        <v>0.217739846991922</v>
      </c>
      <c r="L105" s="43">
        <v>0.20998336065488199</v>
      </c>
      <c r="M105" s="39">
        <v>0.19884115192902299</v>
      </c>
      <c r="N105" s="43">
        <v>0.19356620622874801</v>
      </c>
      <c r="O105" s="76">
        <v>0.192891825269948</v>
      </c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  <c r="AC105" s="48"/>
    </row>
    <row r="106" spans="1:29" ht="15.75" x14ac:dyDescent="0.3">
      <c r="B106" s="2" t="s">
        <v>15</v>
      </c>
      <c r="C106" s="38">
        <v>0.33816618528658099</v>
      </c>
      <c r="D106" s="38">
        <v>0.30715756576154601</v>
      </c>
      <c r="E106" s="43">
        <v>0.27127687168992598</v>
      </c>
      <c r="F106" s="43">
        <v>0.26394006822801303</v>
      </c>
      <c r="G106" s="43">
        <v>0.25689005173302099</v>
      </c>
      <c r="H106" s="43">
        <v>0.24308146359081501</v>
      </c>
      <c r="I106" s="43">
        <v>0.22509171281182</v>
      </c>
      <c r="J106" s="43">
        <v>0.21890029950505799</v>
      </c>
      <c r="K106" s="43">
        <v>0.21544198603879999</v>
      </c>
      <c r="L106" s="43">
        <v>0.207823477866839</v>
      </c>
      <c r="M106" s="43">
        <v>0.196706048401282</v>
      </c>
      <c r="N106" s="39">
        <v>0.19312585031072099</v>
      </c>
      <c r="O106" s="43">
        <v>0.191069559571165</v>
      </c>
      <c r="P106" s="77">
        <v>0.18588785739614899</v>
      </c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  <c r="AB106" s="48"/>
      <c r="AC106" s="48"/>
    </row>
    <row r="107" spans="1:29" ht="15.75" x14ac:dyDescent="0.3">
      <c r="B107" s="2" t="s">
        <v>16</v>
      </c>
      <c r="C107" s="38">
        <v>0.33447702662391099</v>
      </c>
      <c r="D107" s="38">
        <v>0.30381615938302398</v>
      </c>
      <c r="E107" s="43">
        <v>0.26832483764889498</v>
      </c>
      <c r="F107" s="43">
        <v>0.26103622354205303</v>
      </c>
      <c r="G107" s="43">
        <v>0.254189369008951</v>
      </c>
      <c r="H107" s="43">
        <v>0.240565356154612</v>
      </c>
      <c r="I107" s="43">
        <v>0.222519514536412</v>
      </c>
      <c r="J107" s="43">
        <v>0.216331787603952</v>
      </c>
      <c r="K107" s="43">
        <v>0.212981650664817</v>
      </c>
      <c r="L107" s="43">
        <v>0.20553216735658</v>
      </c>
      <c r="M107" s="43">
        <v>0.194551237943134</v>
      </c>
      <c r="N107" s="43">
        <v>0.19134261424780499</v>
      </c>
      <c r="O107" s="39">
        <v>0.18928441422494799</v>
      </c>
      <c r="P107" s="48">
        <v>0.184134314216158</v>
      </c>
      <c r="Q107" s="77">
        <v>0.17649677482071599</v>
      </c>
      <c r="R107" s="48"/>
      <c r="S107" s="48"/>
      <c r="T107" s="48"/>
      <c r="U107" s="48"/>
      <c r="V107" s="48"/>
      <c r="W107" s="48"/>
      <c r="X107" s="48"/>
      <c r="Y107" s="48"/>
      <c r="Z107" s="48"/>
      <c r="AA107" s="48"/>
      <c r="AB107" s="48"/>
      <c r="AC107" s="48"/>
    </row>
    <row r="108" spans="1:29" ht="15.75" x14ac:dyDescent="0.3">
      <c r="B108" s="3" t="s">
        <v>17</v>
      </c>
      <c r="C108" s="41">
        <v>0.330827121746466</v>
      </c>
      <c r="D108" s="41">
        <v>0.300512906997359</v>
      </c>
      <c r="E108" s="41">
        <v>0.26543513149369902</v>
      </c>
      <c r="F108" s="41">
        <v>0.258163564329143</v>
      </c>
      <c r="G108" s="41">
        <v>0.251287562560216</v>
      </c>
      <c r="H108" s="41">
        <v>0.23790574756727301</v>
      </c>
      <c r="I108" s="41">
        <v>0.22031101548177401</v>
      </c>
      <c r="J108" s="41">
        <v>0.21436942699261</v>
      </c>
      <c r="K108" s="41">
        <v>0.211033293851216</v>
      </c>
      <c r="L108" s="41">
        <v>0.20316966413613899</v>
      </c>
      <c r="M108" s="41">
        <v>0.19261271638361199</v>
      </c>
      <c r="N108" s="41">
        <v>0.18959782754322901</v>
      </c>
      <c r="O108" s="41">
        <v>0.18753622608235401</v>
      </c>
      <c r="P108" s="55">
        <v>0.18241352814197601</v>
      </c>
      <c r="Q108" s="48">
        <v>0.17483225644862499</v>
      </c>
      <c r="R108" s="77">
        <v>0.17035440898339099</v>
      </c>
      <c r="S108" s="48"/>
      <c r="T108" s="48"/>
      <c r="U108" s="48"/>
      <c r="V108" s="48"/>
      <c r="W108" s="48"/>
      <c r="X108" s="48"/>
      <c r="Y108" s="48"/>
      <c r="Z108" s="48"/>
      <c r="AA108" s="48"/>
      <c r="AB108" s="48"/>
      <c r="AC108" s="48"/>
    </row>
    <row r="109" spans="1:29" ht="15.75" x14ac:dyDescent="0.3">
      <c r="B109" s="2" t="s">
        <v>9</v>
      </c>
      <c r="C109" s="38">
        <v>0.32721793420845202</v>
      </c>
      <c r="D109" s="38">
        <v>0.29726005362134</v>
      </c>
      <c r="E109" s="43">
        <v>0.26257789614378801</v>
      </c>
      <c r="F109" s="43">
        <v>0.25532056286420801</v>
      </c>
      <c r="G109" s="43">
        <v>0.24864248500785299</v>
      </c>
      <c r="H109" s="43">
        <v>0.23524030635854401</v>
      </c>
      <c r="I109" s="43">
        <v>0.21797028697620199</v>
      </c>
      <c r="J109" s="43">
        <v>0.21204769662088099</v>
      </c>
      <c r="K109" s="43">
        <v>0.20856438612862499</v>
      </c>
      <c r="L109" s="38">
        <v>0.201152701528378</v>
      </c>
      <c r="M109" s="38">
        <v>0.190522199675772</v>
      </c>
      <c r="N109" s="43">
        <v>0.18788987553424799</v>
      </c>
      <c r="O109" s="54">
        <v>0.185823050817885</v>
      </c>
      <c r="P109" s="48">
        <v>0.18072755694449799</v>
      </c>
      <c r="Q109" s="51">
        <v>0.17319879024302501</v>
      </c>
      <c r="R109" s="48">
        <v>0.16882421901765901</v>
      </c>
      <c r="S109" s="77">
        <v>0.167628475972496</v>
      </c>
      <c r="T109" s="48"/>
      <c r="U109" s="48"/>
      <c r="V109" s="48"/>
      <c r="W109" s="48"/>
      <c r="X109" s="48"/>
      <c r="Y109" s="48"/>
      <c r="Z109" s="48"/>
      <c r="AA109" s="48"/>
      <c r="AB109" s="48"/>
      <c r="AC109" s="48"/>
    </row>
    <row r="110" spans="1:29" ht="15.75" x14ac:dyDescent="0.3">
      <c r="B110" s="2" t="s">
        <v>18</v>
      </c>
      <c r="C110" s="38">
        <v>0.32366379576723298</v>
      </c>
      <c r="D110" s="38">
        <v>0.29400248226176001</v>
      </c>
      <c r="E110" s="43">
        <v>0.25970164044096999</v>
      </c>
      <c r="F110" s="43">
        <v>0.25265130732689201</v>
      </c>
      <c r="G110" s="43">
        <v>0.24599501067278601</v>
      </c>
      <c r="H110" s="43">
        <v>0.232858229676488</v>
      </c>
      <c r="I110" s="43">
        <v>0.21533442543045</v>
      </c>
      <c r="J110" s="43">
        <v>0.20970720368881299</v>
      </c>
      <c r="K110" s="43">
        <v>0.20652958523772899</v>
      </c>
      <c r="L110" s="38">
        <v>0.199004065202182</v>
      </c>
      <c r="M110" s="38">
        <v>0.19073632042476299</v>
      </c>
      <c r="N110" s="43">
        <v>0.18621826162330901</v>
      </c>
      <c r="O110" s="38">
        <v>0.18414440563366799</v>
      </c>
      <c r="P110" s="48">
        <v>0.17907476939709199</v>
      </c>
      <c r="Q110" s="48">
        <v>0.171596351320076</v>
      </c>
      <c r="R110" s="51">
        <v>0.16732747019314501</v>
      </c>
      <c r="S110" s="48">
        <v>0.166123527389997</v>
      </c>
      <c r="T110" s="77">
        <v>0.16264398834211399</v>
      </c>
      <c r="U110" s="48"/>
      <c r="V110" s="48"/>
      <c r="W110" s="48"/>
      <c r="X110" s="48"/>
      <c r="Y110" s="48"/>
      <c r="Z110" s="48"/>
      <c r="AA110" s="48"/>
      <c r="AB110" s="48"/>
      <c r="AC110" s="48"/>
    </row>
    <row r="111" spans="1:29" ht="15.75" x14ac:dyDescent="0.3">
      <c r="B111" s="2" t="s">
        <v>19</v>
      </c>
      <c r="C111" s="38">
        <v>0.32014852531285598</v>
      </c>
      <c r="D111" s="38">
        <v>0.29083160545097397</v>
      </c>
      <c r="E111" s="43">
        <v>0.25690480539604699</v>
      </c>
      <c r="F111" s="43">
        <v>0.24990014661239501</v>
      </c>
      <c r="G111" s="43">
        <v>0.243214532907543</v>
      </c>
      <c r="H111" s="43">
        <v>0.23036893861968899</v>
      </c>
      <c r="I111" s="43">
        <v>0.21332823704074799</v>
      </c>
      <c r="J111" s="43">
        <v>0.20740343637866401</v>
      </c>
      <c r="K111" s="43">
        <v>0.20460106404067099</v>
      </c>
      <c r="L111" s="38">
        <v>0.197220852699314</v>
      </c>
      <c r="M111" s="38">
        <v>0.18896581359123199</v>
      </c>
      <c r="N111" s="43">
        <v>0.18458294932417901</v>
      </c>
      <c r="O111" s="38">
        <v>0.18250097420311101</v>
      </c>
      <c r="P111" s="48">
        <v>0.177453429984431</v>
      </c>
      <c r="Q111" s="48">
        <v>0.170024841458082</v>
      </c>
      <c r="R111" s="78">
        <v>0.16586295200061901</v>
      </c>
      <c r="S111" s="51">
        <v>0.16464930518628601</v>
      </c>
      <c r="T111" s="48">
        <v>0.161183346400985</v>
      </c>
      <c r="U111" s="77">
        <v>0.15582206518678801</v>
      </c>
      <c r="V111" s="48"/>
      <c r="W111" s="48"/>
      <c r="X111" s="48"/>
      <c r="Y111" s="48"/>
      <c r="Z111" s="48"/>
      <c r="AA111" s="48"/>
      <c r="AB111" s="48"/>
      <c r="AC111" s="48"/>
    </row>
    <row r="112" spans="1:29" ht="15.75" x14ac:dyDescent="0.3">
      <c r="B112" s="2" t="s">
        <v>20</v>
      </c>
      <c r="C112" s="38">
        <v>0.31666827228675198</v>
      </c>
      <c r="D112" s="38">
        <v>0.287637808303355</v>
      </c>
      <c r="E112" s="43">
        <v>0.25414671514181603</v>
      </c>
      <c r="F112" s="43">
        <v>0.247091053758805</v>
      </c>
      <c r="G112" s="43">
        <v>0.24059173023035399</v>
      </c>
      <c r="H112" s="43">
        <v>0.22794988925496501</v>
      </c>
      <c r="I112" s="43">
        <v>0.21082813932338801</v>
      </c>
      <c r="J112" s="43">
        <v>0.20566888467521799</v>
      </c>
      <c r="K112" s="43">
        <v>0.20219044977207301</v>
      </c>
      <c r="L112" s="38">
        <v>0.195210562692436</v>
      </c>
      <c r="M112" s="38">
        <v>0.18722740249497</v>
      </c>
      <c r="N112" s="43">
        <v>0.18298250932990401</v>
      </c>
      <c r="O112" s="38">
        <v>0.18089106556512399</v>
      </c>
      <c r="P112" s="48">
        <v>0.17586373036487701</v>
      </c>
      <c r="Q112" s="78">
        <v>0.16848216600162899</v>
      </c>
      <c r="R112" s="48">
        <v>0.164429962961952</v>
      </c>
      <c r="S112" s="48">
        <v>0.16320586270416201</v>
      </c>
      <c r="T112" s="51">
        <v>0.159751987286742</v>
      </c>
      <c r="U112" s="48">
        <v>0.15442276294978799</v>
      </c>
      <c r="V112" s="77">
        <v>0.150559467508216</v>
      </c>
      <c r="W112" s="48"/>
      <c r="X112" s="48"/>
      <c r="Y112" s="48"/>
      <c r="Z112" s="48"/>
      <c r="AA112" s="48"/>
      <c r="AB112" s="48"/>
      <c r="AC112" s="48"/>
    </row>
    <row r="113" spans="2:29" ht="15.75" x14ac:dyDescent="0.3">
      <c r="B113" s="2" t="s">
        <v>21</v>
      </c>
      <c r="C113" s="38">
        <v>0.31322788791900602</v>
      </c>
      <c r="D113" s="38">
        <v>0.28450096231955102</v>
      </c>
      <c r="E113" s="43">
        <v>0.25134591362502701</v>
      </c>
      <c r="F113" s="43">
        <v>0.24440205235946699</v>
      </c>
      <c r="G113" s="43">
        <v>0.238122693382643</v>
      </c>
      <c r="H113" s="43">
        <v>0.225533196845216</v>
      </c>
      <c r="I113" s="43">
        <v>0.208592293119547</v>
      </c>
      <c r="J113" s="43">
        <v>0.20295999863104799</v>
      </c>
      <c r="K113" s="43">
        <v>0.20055853125450501</v>
      </c>
      <c r="L113" s="38">
        <v>0.19331636199864999</v>
      </c>
      <c r="M113" s="38">
        <v>0.185520534430173</v>
      </c>
      <c r="N113" s="43">
        <v>0.181416174124962</v>
      </c>
      <c r="O113" s="38">
        <v>0.179313620386021</v>
      </c>
      <c r="P113" s="48">
        <v>0.17430606003983601</v>
      </c>
      <c r="Q113" s="78">
        <v>0.16696948555402799</v>
      </c>
      <c r="R113" s="48">
        <v>0.16302746386252201</v>
      </c>
      <c r="S113" s="48">
        <v>0.16179230950117601</v>
      </c>
      <c r="T113" s="48">
        <v>0.15834957577657599</v>
      </c>
      <c r="U113" s="51">
        <v>0.153050194445152</v>
      </c>
      <c r="V113" s="48">
        <v>0.149278780099138</v>
      </c>
      <c r="W113" s="77">
        <v>0.14856018560638601</v>
      </c>
      <c r="X113" s="48"/>
      <c r="Y113" s="48"/>
      <c r="Z113" s="48"/>
      <c r="AA113" s="48"/>
      <c r="AB113" s="48"/>
      <c r="AC113" s="48"/>
    </row>
    <row r="114" spans="2:29" ht="15.75" x14ac:dyDescent="0.3">
      <c r="B114" s="2" t="s">
        <v>22</v>
      </c>
      <c r="C114" s="38">
        <v>0.30975530083449399</v>
      </c>
      <c r="D114" s="38">
        <v>0.28141378082693702</v>
      </c>
      <c r="E114" s="43">
        <v>0.248618842284167</v>
      </c>
      <c r="F114" s="43">
        <v>0.24194210588679699</v>
      </c>
      <c r="G114" s="43">
        <v>0.23542652196508401</v>
      </c>
      <c r="H114" s="43">
        <v>0.22319831162253101</v>
      </c>
      <c r="I114" s="43">
        <v>0.206739451938378</v>
      </c>
      <c r="J114" s="43">
        <v>0.20122413533938099</v>
      </c>
      <c r="K114" s="43">
        <v>0.198022096013416</v>
      </c>
      <c r="L114" s="38">
        <v>0.19106436509213001</v>
      </c>
      <c r="M114" s="38">
        <v>0.18384490829792899</v>
      </c>
      <c r="N114" s="43">
        <v>0.17988285476469201</v>
      </c>
      <c r="O114" s="38">
        <v>0.177768189915153</v>
      </c>
      <c r="P114" s="78">
        <v>0.17277885697433801</v>
      </c>
      <c r="Q114" s="48">
        <v>0.16548538226197099</v>
      </c>
      <c r="R114" s="48">
        <v>0.16165530059391001</v>
      </c>
      <c r="S114" s="48">
        <v>0.16040769218228099</v>
      </c>
      <c r="T114" s="48">
        <v>0.15697525809805299</v>
      </c>
      <c r="U114" s="48">
        <v>0.15170427516225399</v>
      </c>
      <c r="V114" s="51">
        <v>0.14802580013135699</v>
      </c>
      <c r="W114" s="48">
        <v>0.147295358304247</v>
      </c>
      <c r="X114" s="77">
        <v>0.14483329486742699</v>
      </c>
      <c r="Y114" s="48"/>
      <c r="Z114" s="48"/>
      <c r="AA114" s="48"/>
      <c r="AB114" s="48"/>
      <c r="AC114" s="48"/>
    </row>
    <row r="115" spans="2:29" ht="15.75" x14ac:dyDescent="0.3">
      <c r="B115" s="2" t="s">
        <v>23</v>
      </c>
      <c r="C115" s="38">
        <v>0.30640490393640601</v>
      </c>
      <c r="D115" s="38">
        <v>0.27844705269285402</v>
      </c>
      <c r="E115" s="38">
        <v>0.24610331768715199</v>
      </c>
      <c r="F115" s="38">
        <v>0.23912049835343099</v>
      </c>
      <c r="G115" s="38">
        <v>0.23280542699671</v>
      </c>
      <c r="H115" s="38">
        <v>0.22085883565693401</v>
      </c>
      <c r="I115" s="38">
        <v>0.20474238595226399</v>
      </c>
      <c r="J115" s="38">
        <v>0.19847092178761999</v>
      </c>
      <c r="K115" s="38">
        <v>0.19620226069798699</v>
      </c>
      <c r="L115" s="38">
        <v>0.18936003957297401</v>
      </c>
      <c r="M115" s="38">
        <v>0.182198554229937</v>
      </c>
      <c r="N115" s="43">
        <v>0.17838179644878699</v>
      </c>
      <c r="O115" s="38">
        <v>0.17625417390860701</v>
      </c>
      <c r="P115" s="78">
        <v>0.17128148271017701</v>
      </c>
      <c r="Q115" s="48">
        <v>0.16402896164664399</v>
      </c>
      <c r="R115" s="48">
        <v>0.16031259480867299</v>
      </c>
      <c r="S115" s="48">
        <v>0.15905194734109401</v>
      </c>
      <c r="T115" s="48">
        <v>0.15562788218113699</v>
      </c>
      <c r="U115" s="48">
        <v>0.15038487227597599</v>
      </c>
      <c r="V115" s="48">
        <v>0.14680013702588801</v>
      </c>
      <c r="W115" s="51">
        <v>0.146057209991583</v>
      </c>
      <c r="X115" s="48">
        <v>0.14359888726192099</v>
      </c>
      <c r="Y115" s="77">
        <v>0.139652536557963</v>
      </c>
      <c r="Z115" s="48"/>
      <c r="AA115" s="48"/>
      <c r="AB115" s="48"/>
      <c r="AC115" s="48"/>
    </row>
    <row r="116" spans="2:29" ht="15.75" x14ac:dyDescent="0.3">
      <c r="B116" s="2" t="s">
        <v>24</v>
      </c>
      <c r="C116" s="38">
        <v>0.303134479467429</v>
      </c>
      <c r="D116" s="38">
        <v>0.275414299525093</v>
      </c>
      <c r="E116" s="43">
        <v>0.24326151865701501</v>
      </c>
      <c r="F116" s="43">
        <v>0.23633529998587299</v>
      </c>
      <c r="G116" s="43">
        <v>0.23015574398337299</v>
      </c>
      <c r="H116" s="43">
        <v>0.21864002423795101</v>
      </c>
      <c r="I116" s="43">
        <v>0.202272288374892</v>
      </c>
      <c r="J116" s="43">
        <v>0.19711832777804</v>
      </c>
      <c r="K116" s="43">
        <v>0.194031633454783</v>
      </c>
      <c r="L116" s="38">
        <v>0.19117422639798501</v>
      </c>
      <c r="M116" s="38">
        <v>0.18058209084345</v>
      </c>
      <c r="N116" s="43">
        <v>0.17691247967630599</v>
      </c>
      <c r="O116" s="38">
        <v>0.174770213543015</v>
      </c>
      <c r="P116" s="78">
        <v>0.169812391333591</v>
      </c>
      <c r="Q116" s="48">
        <v>0.16259935469235101</v>
      </c>
      <c r="R116" s="48">
        <v>0.15899816990014401</v>
      </c>
      <c r="S116" s="48">
        <v>0.15772395028953701</v>
      </c>
      <c r="T116" s="48">
        <v>0.15430715587938701</v>
      </c>
      <c r="U116" s="48">
        <v>0.14909033601444899</v>
      </c>
      <c r="V116" s="48">
        <v>0.145600767289285</v>
      </c>
      <c r="W116" s="48">
        <v>0.14484498258119599</v>
      </c>
      <c r="X116" s="51">
        <v>0.14238992116313001</v>
      </c>
      <c r="Y116" s="48">
        <v>0.13846149053155399</v>
      </c>
      <c r="Z116" s="77">
        <v>0.13509235165368699</v>
      </c>
      <c r="AA116" s="48"/>
      <c r="AB116" s="48"/>
      <c r="AC116" s="48"/>
    </row>
    <row r="117" spans="2:29" ht="15.75" x14ac:dyDescent="0.3">
      <c r="B117" s="2" t="s">
        <v>330</v>
      </c>
      <c r="C117" s="38">
        <v>0.29968266973441798</v>
      </c>
      <c r="D117" s="38">
        <v>0.272514786200304</v>
      </c>
      <c r="E117" s="38">
        <v>0.24056956646361799</v>
      </c>
      <c r="F117" s="38">
        <v>0.234488153848326</v>
      </c>
      <c r="G117" s="38">
        <v>0.22805948394606501</v>
      </c>
      <c r="H117" s="38">
        <v>0.215698919125004</v>
      </c>
      <c r="I117" s="38">
        <v>0.200600505474368</v>
      </c>
      <c r="J117" s="38">
        <v>0.194478134564397</v>
      </c>
      <c r="K117" s="38">
        <v>0.192290244629787</v>
      </c>
      <c r="L117" s="44">
        <v>0.18952559482547199</v>
      </c>
      <c r="M117" s="44">
        <v>0.178994000814825</v>
      </c>
      <c r="N117" s="40">
        <v>0.17547428893222</v>
      </c>
      <c r="O117" s="44">
        <v>0.17331679152809101</v>
      </c>
      <c r="P117" s="48">
        <v>0.168372048054757</v>
      </c>
      <c r="Q117" s="48">
        <v>0.16119705571413101</v>
      </c>
      <c r="R117" s="48">
        <v>0.157712376010747</v>
      </c>
      <c r="S117" s="48">
        <v>0.156423244864243</v>
      </c>
      <c r="T117" s="48">
        <v>0.15301263839704701</v>
      </c>
      <c r="U117" s="48">
        <v>0.14782118051589299</v>
      </c>
      <c r="V117" s="48">
        <v>0.14442683086784799</v>
      </c>
      <c r="W117" s="48">
        <v>0.14365745262365801</v>
      </c>
      <c r="X117" s="48">
        <v>0.14120508943301499</v>
      </c>
      <c r="Y117" s="51">
        <v>0.137293390100794</v>
      </c>
      <c r="Z117" s="48">
        <v>0.13400517273047999</v>
      </c>
      <c r="AA117" s="77">
        <v>0.133570602431935</v>
      </c>
      <c r="AB117" s="48"/>
      <c r="AC117" s="48"/>
    </row>
    <row r="118" spans="2:29" ht="15.75" x14ac:dyDescent="0.3">
      <c r="B118" s="2" t="s">
        <v>331</v>
      </c>
      <c r="C118" s="38">
        <v>0.29636172534805799</v>
      </c>
      <c r="D118" s="38">
        <v>0.26939963897999197</v>
      </c>
      <c r="E118" s="43">
        <v>0.23823619278994301</v>
      </c>
      <c r="F118" s="43">
        <v>0.231641855803324</v>
      </c>
      <c r="G118" s="43">
        <v>0.225377287559509</v>
      </c>
      <c r="H118" s="43">
        <v>0.213994597772139</v>
      </c>
      <c r="I118" s="43">
        <v>0.19787531950860701</v>
      </c>
      <c r="J118" s="43">
        <v>0.19279664022696599</v>
      </c>
      <c r="K118" s="43">
        <v>0.19022635193814899</v>
      </c>
      <c r="L118" s="44">
        <v>0.18790666834684</v>
      </c>
      <c r="M118" s="44">
        <v>0.17743385631689901</v>
      </c>
      <c r="N118" s="40">
        <v>0.17406883428966599</v>
      </c>
      <c r="O118" s="44">
        <v>0.17189182693175001</v>
      </c>
      <c r="P118" s="48">
        <v>0.16695931562430699</v>
      </c>
      <c r="Q118" s="48">
        <v>0.159820142025524</v>
      </c>
      <c r="R118" s="48">
        <v>0.15645498686202899</v>
      </c>
      <c r="S118" s="48">
        <v>0.15514902922074</v>
      </c>
      <c r="T118" s="48">
        <v>0.15174379705693999</v>
      </c>
      <c r="U118" s="48">
        <v>0.14657512703102299</v>
      </c>
      <c r="V118" s="48">
        <v>0.143279401563048</v>
      </c>
      <c r="W118" s="48">
        <v>0.14249358222946101</v>
      </c>
      <c r="X118" s="48">
        <v>0.140043336744296</v>
      </c>
      <c r="Y118" s="48">
        <v>0.136148170458079</v>
      </c>
      <c r="Z118" s="51">
        <v>0.132942898063453</v>
      </c>
      <c r="AA118" s="48">
        <v>0.13249342379644199</v>
      </c>
      <c r="AB118" s="77">
        <v>0.13068299022886701</v>
      </c>
      <c r="AC118" s="48"/>
    </row>
    <row r="119" spans="2:29" ht="15.75" x14ac:dyDescent="0.3">
      <c r="B119" s="2" t="s">
        <v>332</v>
      </c>
      <c r="C119" s="38">
        <v>0.293551927697354</v>
      </c>
      <c r="D119" s="38">
        <v>0.26636520037098799</v>
      </c>
      <c r="E119" s="38">
        <v>0.235387677573341</v>
      </c>
      <c r="F119" s="38">
        <v>0.228961034937092</v>
      </c>
      <c r="G119" s="38">
        <v>0.22357243882788</v>
      </c>
      <c r="H119" s="38">
        <v>0.21160965751024699</v>
      </c>
      <c r="I119" s="38">
        <v>0.195639689335667</v>
      </c>
      <c r="J119" s="38">
        <v>0.19134522916116001</v>
      </c>
      <c r="K119" s="38">
        <v>0.19392899370710601</v>
      </c>
      <c r="L119" s="40">
        <v>0.18632032425144199</v>
      </c>
      <c r="M119" s="40">
        <v>0.175902500877262</v>
      </c>
      <c r="N119" s="40">
        <v>0.17269135728311699</v>
      </c>
      <c r="O119" s="44">
        <v>0.17049866151850801</v>
      </c>
      <c r="P119" s="48">
        <v>0.16557378905116399</v>
      </c>
      <c r="Q119" s="48">
        <v>0.15846888856380401</v>
      </c>
      <c r="R119" s="48">
        <v>0.15522325432151399</v>
      </c>
      <c r="S119" s="48">
        <v>0.153902600485708</v>
      </c>
      <c r="T119" s="48">
        <v>0.15050150661690301</v>
      </c>
      <c r="U119" s="48">
        <v>0.14535395327049699</v>
      </c>
      <c r="V119" s="48">
        <v>0.142155610310891</v>
      </c>
      <c r="W119" s="48">
        <v>0.141356362478576</v>
      </c>
      <c r="X119" s="48">
        <v>0.138905755535563</v>
      </c>
      <c r="Y119" s="48">
        <v>0.135025545862515</v>
      </c>
      <c r="Z119" s="48">
        <v>0.131903039557345</v>
      </c>
      <c r="AA119" s="51">
        <v>0.131441160072827</v>
      </c>
      <c r="AB119" s="48">
        <v>0.129628390883642</v>
      </c>
      <c r="AC119" s="77">
        <v>0.126617257134398</v>
      </c>
    </row>
    <row r="120" spans="2:29" ht="15.75" x14ac:dyDescent="0.3">
      <c r="B120" s="2" t="s">
        <v>333</v>
      </c>
      <c r="C120" s="38">
        <v>0.29021502451418801</v>
      </c>
      <c r="D120" s="38">
        <v>0.26363123285658802</v>
      </c>
      <c r="E120" s="43">
        <v>0.23319400899207299</v>
      </c>
      <c r="F120" s="43">
        <v>0.227117710531197</v>
      </c>
      <c r="G120" s="43">
        <v>0.22040695784588499</v>
      </c>
      <c r="H120" s="43">
        <v>0.21010871336621501</v>
      </c>
      <c r="I120" s="43">
        <v>0.19390940868046599</v>
      </c>
      <c r="J120" s="43">
        <v>0.18963871463363199</v>
      </c>
      <c r="K120" s="43">
        <v>0.19235138288186199</v>
      </c>
      <c r="L120" s="40">
        <v>0.18476214018586601</v>
      </c>
      <c r="M120" s="40">
        <v>0.174398361688336</v>
      </c>
      <c r="N120" s="44">
        <v>0.17134239089599501</v>
      </c>
      <c r="O120" s="40">
        <v>0.16913129494825899</v>
      </c>
      <c r="P120" s="48">
        <v>0.16421648432993699</v>
      </c>
      <c r="Q120" s="48">
        <v>0.15714323242921399</v>
      </c>
      <c r="R120" s="48">
        <v>0.15401934515465401</v>
      </c>
      <c r="S120" s="48">
        <v>0.15268031781237801</v>
      </c>
      <c r="T120" s="48">
        <v>0.149282811596679</v>
      </c>
      <c r="U120" s="48">
        <v>0.14415785228348801</v>
      </c>
      <c r="V120" s="48">
        <v>0.14105621272430499</v>
      </c>
      <c r="W120" s="48">
        <v>0.14024167780517299</v>
      </c>
      <c r="X120" s="48">
        <v>0.13779241099738801</v>
      </c>
      <c r="Y120" s="48">
        <v>0.133926444571909</v>
      </c>
      <c r="Z120" s="48">
        <v>0.130885535995071</v>
      </c>
      <c r="AA120" s="48">
        <v>0.13040987723479999</v>
      </c>
      <c r="AB120" s="51">
        <v>0.12859616060232301</v>
      </c>
      <c r="AC120" s="79">
        <v>0.12559489703545701</v>
      </c>
    </row>
    <row r="121" spans="2:29" ht="15.75" x14ac:dyDescent="0.3">
      <c r="B121" s="2" t="s">
        <v>334</v>
      </c>
      <c r="C121" s="40">
        <v>0.28688516974773598</v>
      </c>
      <c r="D121" s="40">
        <v>0.26077495826652702</v>
      </c>
      <c r="E121" s="40">
        <v>0.23095402927487199</v>
      </c>
      <c r="F121" s="40">
        <v>0.22412708841230899</v>
      </c>
      <c r="G121" s="40">
        <v>0.21911719957352799</v>
      </c>
      <c r="H121" s="40">
        <v>0.20685392390965801</v>
      </c>
      <c r="I121" s="40">
        <v>0.19240472843918599</v>
      </c>
      <c r="J121" s="40">
        <v>0.18765988204824399</v>
      </c>
      <c r="K121" s="40">
        <v>0.19080315391977201</v>
      </c>
      <c r="L121" s="40">
        <v>0.183234045412768</v>
      </c>
      <c r="M121" s="40">
        <v>0.172922465356523</v>
      </c>
      <c r="N121" s="44">
        <v>0.17002271184067</v>
      </c>
      <c r="O121" s="40">
        <v>0.167791087357264</v>
      </c>
      <c r="P121" s="48">
        <v>0.16288602080376199</v>
      </c>
      <c r="Q121" s="48">
        <v>0.15584385929564201</v>
      </c>
      <c r="R121" s="48">
        <v>0.152839981345643</v>
      </c>
      <c r="S121" s="48">
        <v>0.15148479378436699</v>
      </c>
      <c r="T121" s="48">
        <v>0.14808796416877301</v>
      </c>
      <c r="U121" s="48">
        <v>0.14298263452776599</v>
      </c>
      <c r="V121" s="48">
        <v>0.139980271649287</v>
      </c>
      <c r="W121" s="48">
        <v>0.13915054184707601</v>
      </c>
      <c r="X121" s="48">
        <v>0.13670074906146101</v>
      </c>
      <c r="Y121" s="48">
        <v>0.13284734961101899</v>
      </c>
      <c r="Z121" s="48">
        <v>0.129890021523555</v>
      </c>
      <c r="AA121" s="48">
        <v>0.12940060136397599</v>
      </c>
      <c r="AB121" s="48">
        <v>0.12758418038028499</v>
      </c>
      <c r="AC121" s="51">
        <v>0.124592008472952</v>
      </c>
    </row>
    <row r="122" spans="2:29" ht="15.75" x14ac:dyDescent="0.3">
      <c r="B122" s="2" t="s">
        <v>335</v>
      </c>
      <c r="C122" s="40">
        <v>0.283765449035836</v>
      </c>
      <c r="D122" s="40">
        <v>0.25820776284705199</v>
      </c>
      <c r="E122" s="40">
        <v>0.228070681314611</v>
      </c>
      <c r="F122" s="40">
        <v>0.22129890025752699</v>
      </c>
      <c r="G122" s="40">
        <v>0.217259597828281</v>
      </c>
      <c r="H122" s="40">
        <v>0.205656336974125</v>
      </c>
      <c r="I122" s="40">
        <v>0.19084565909378801</v>
      </c>
      <c r="J122" s="40">
        <v>0.18653703163857799</v>
      </c>
      <c r="K122" s="40">
        <v>0.189283978114903</v>
      </c>
      <c r="L122" s="40">
        <v>0.18173356270766</v>
      </c>
      <c r="M122" s="44">
        <v>0.17147339323434299</v>
      </c>
      <c r="N122" s="40">
        <v>0.16873031218576001</v>
      </c>
      <c r="O122" s="40">
        <v>0.16647804631364699</v>
      </c>
      <c r="P122" s="48">
        <v>0.16157986819446901</v>
      </c>
      <c r="Q122" s="48">
        <v>0.154567996177391</v>
      </c>
      <c r="R122" s="48">
        <v>0.151685749270878</v>
      </c>
      <c r="S122" s="48">
        <v>0.15031240518011699</v>
      </c>
      <c r="T122" s="48">
        <v>0.14691771911502799</v>
      </c>
      <c r="U122" s="48">
        <v>0.14183060074561599</v>
      </c>
      <c r="V122" s="48">
        <v>0.13892864687920201</v>
      </c>
      <c r="W122" s="48">
        <v>0.13808153756961999</v>
      </c>
      <c r="X122" s="48">
        <v>0.13563049668941099</v>
      </c>
      <c r="Y122" s="48">
        <v>0.13178965715900101</v>
      </c>
      <c r="Z122" s="48">
        <v>0.128916371326326</v>
      </c>
      <c r="AA122" s="48">
        <v>0.128411691819837</v>
      </c>
      <c r="AB122" s="48">
        <v>0.12659266680532699</v>
      </c>
      <c r="AC122" s="53">
        <v>0.123609204828686</v>
      </c>
    </row>
    <row r="123" spans="2:29" ht="15.75" x14ac:dyDescent="0.3">
      <c r="B123" s="2" t="s">
        <v>336</v>
      </c>
      <c r="C123" s="40">
        <v>0.28081057929174802</v>
      </c>
      <c r="D123" s="40">
        <v>0.25559604538701203</v>
      </c>
      <c r="E123" s="40">
        <v>0.22581670015101399</v>
      </c>
      <c r="F123" s="40">
        <v>0.22035286707691101</v>
      </c>
      <c r="G123" s="40">
        <v>0.213408417589388</v>
      </c>
      <c r="H123" s="40">
        <v>0.202490837510933</v>
      </c>
      <c r="I123" s="40">
        <v>0.188098968409742</v>
      </c>
      <c r="J123" s="40">
        <v>0.184242086478665</v>
      </c>
      <c r="K123" s="40">
        <v>0.18779533971287701</v>
      </c>
      <c r="L123" s="40">
        <v>0.18025984283049301</v>
      </c>
      <c r="M123" s="44">
        <v>0.17004847284177099</v>
      </c>
      <c r="N123" s="40">
        <v>0.1674653838522</v>
      </c>
      <c r="O123" s="40">
        <v>0.165191575018836</v>
      </c>
      <c r="P123" s="48">
        <v>0.16029856735742501</v>
      </c>
      <c r="Q123" s="48">
        <v>0.15331517546840401</v>
      </c>
      <c r="R123" s="48">
        <v>0.15055611162254101</v>
      </c>
      <c r="S123" s="48">
        <v>0.14916400426728099</v>
      </c>
      <c r="T123" s="48">
        <v>0.145770247364887</v>
      </c>
      <c r="U123" s="48">
        <v>0.140701958960226</v>
      </c>
      <c r="V123" s="48">
        <v>0.137898729097476</v>
      </c>
      <c r="W123" s="48">
        <v>0.13703581740929899</v>
      </c>
      <c r="X123" s="48">
        <v>0.13458174785985999</v>
      </c>
      <c r="Y123" s="48">
        <v>0.130752783003274</v>
      </c>
      <c r="Z123" s="48">
        <v>0.12796347108925099</v>
      </c>
      <c r="AA123" s="48">
        <v>0.12744409746975299</v>
      </c>
      <c r="AB123" s="48">
        <v>0.125621785370188</v>
      </c>
      <c r="AC123" s="53">
        <v>0.12264578579440399</v>
      </c>
    </row>
    <row r="124" spans="2:29" ht="15.75" x14ac:dyDescent="0.3">
      <c r="B124" s="2" t="s">
        <v>337</v>
      </c>
      <c r="C124" s="40">
        <v>0.27749895863360002</v>
      </c>
      <c r="D124" s="40">
        <v>0.25249062413122197</v>
      </c>
      <c r="E124" s="40">
        <v>0.22297360584658599</v>
      </c>
      <c r="F124" s="40">
        <v>0.21804412756955299</v>
      </c>
      <c r="G124" s="40">
        <v>0.211235507347944</v>
      </c>
      <c r="H124" s="40">
        <v>0.20213174883615301</v>
      </c>
      <c r="I124" s="40">
        <v>0.192121847047903</v>
      </c>
      <c r="J124" s="40">
        <v>0.19026999601240899</v>
      </c>
      <c r="K124" s="40">
        <v>0.186335589672983</v>
      </c>
      <c r="L124" s="44">
        <v>0.17881384792382199</v>
      </c>
      <c r="M124" s="40">
        <v>0.16864868978796399</v>
      </c>
      <c r="N124" s="40">
        <v>0.16622676507925699</v>
      </c>
      <c r="O124" s="40">
        <v>0.16393085066744301</v>
      </c>
      <c r="P124" s="48">
        <v>0.15904203865761199</v>
      </c>
      <c r="Q124" s="48">
        <v>0.15208574382419399</v>
      </c>
      <c r="R124" s="48">
        <v>0.149450516484923</v>
      </c>
      <c r="S124" s="48">
        <v>0.148038796247416</v>
      </c>
      <c r="T124" s="48">
        <v>0.14464539443823099</v>
      </c>
      <c r="U124" s="48">
        <v>0.13959339918226699</v>
      </c>
      <c r="V124" s="48">
        <v>0.13689053042879501</v>
      </c>
      <c r="W124" s="48">
        <v>0.13601105570414199</v>
      </c>
      <c r="X124" s="48">
        <v>0.13355534141478001</v>
      </c>
      <c r="Y124" s="48">
        <v>0.12973561761633601</v>
      </c>
      <c r="Z124" s="48">
        <v>0.12703257694432599</v>
      </c>
      <c r="AA124" s="48">
        <v>0.12649663106624801</v>
      </c>
      <c r="AB124" s="48">
        <v>0.12467082834729799</v>
      </c>
      <c r="AC124" s="53">
        <v>0.121701444822413</v>
      </c>
    </row>
    <row r="125" spans="2:29" ht="15.75" x14ac:dyDescent="0.3">
      <c r="B125" s="2" t="s">
        <v>338</v>
      </c>
      <c r="C125" s="40">
        <v>0.27549370721613098</v>
      </c>
      <c r="D125" s="40">
        <v>0.250193327837963</v>
      </c>
      <c r="E125" s="40">
        <v>0.220704561163965</v>
      </c>
      <c r="F125" s="40">
        <v>0.21504258240126101</v>
      </c>
      <c r="G125" s="40">
        <v>0.20927373730760199</v>
      </c>
      <c r="H125" s="40">
        <v>0.19844800824712</v>
      </c>
      <c r="I125" s="40">
        <v>0.19048766868759001</v>
      </c>
      <c r="J125" s="40">
        <v>0.18021643685636601</v>
      </c>
      <c r="K125" s="40">
        <v>0.184903778299669</v>
      </c>
      <c r="L125" s="44">
        <v>0.177394425761004</v>
      </c>
      <c r="M125" s="40">
        <v>0.16727384463328199</v>
      </c>
      <c r="N125" s="40">
        <v>0.16501441292178101</v>
      </c>
      <c r="O125" s="40">
        <v>0.162694534749454</v>
      </c>
      <c r="P125" s="48">
        <v>0.157809807863285</v>
      </c>
      <c r="Q125" s="48">
        <v>0.15087853787883301</v>
      </c>
      <c r="R125" s="48">
        <v>0.14836862783646701</v>
      </c>
      <c r="S125" s="48">
        <v>0.14693672490455101</v>
      </c>
      <c r="T125" s="48">
        <v>0.14354182924317499</v>
      </c>
      <c r="U125" s="48">
        <v>0.13850591061933201</v>
      </c>
      <c r="V125" s="48">
        <v>0.13590467404043899</v>
      </c>
      <c r="W125" s="48">
        <v>0.13500733974587101</v>
      </c>
      <c r="X125" s="48">
        <v>0.13254879642374201</v>
      </c>
      <c r="Y125" s="48">
        <v>0.12873962403028799</v>
      </c>
      <c r="Z125" s="48">
        <v>0.126120489897277</v>
      </c>
      <c r="AA125" s="48">
        <v>0.12556994593110701</v>
      </c>
      <c r="AB125" s="48">
        <v>0.12373845216443299</v>
      </c>
      <c r="AC125" s="53">
        <v>0.12077578490827499</v>
      </c>
    </row>
    <row r="126" spans="2:29" ht="15.75" x14ac:dyDescent="0.3">
      <c r="B126" s="2" t="s">
        <v>339</v>
      </c>
      <c r="C126" s="40">
        <v>0.27213587300850101</v>
      </c>
      <c r="D126" s="40">
        <v>0.24683952094593101</v>
      </c>
      <c r="E126" s="40">
        <v>0.218343005835651</v>
      </c>
      <c r="F126" s="40">
        <v>0.21204339909407699</v>
      </c>
      <c r="G126" s="40">
        <v>0.207217350338567</v>
      </c>
      <c r="H126" s="40">
        <v>0.19698661433391901</v>
      </c>
      <c r="I126" s="40">
        <v>0.18888209210243401</v>
      </c>
      <c r="J126" s="40">
        <v>0.187490246851436</v>
      </c>
      <c r="K126" s="44">
        <v>0.18349889789624499</v>
      </c>
      <c r="L126" s="44">
        <v>0.17600133714493199</v>
      </c>
      <c r="M126" s="44">
        <v>0.16592317092061201</v>
      </c>
      <c r="N126" s="44">
        <v>0.16382746841154999</v>
      </c>
      <c r="O126" s="44">
        <v>0.16148357052727599</v>
      </c>
      <c r="P126" s="78">
        <v>0.15660086886326999</v>
      </c>
      <c r="Q126" s="78">
        <v>0.14969351666837</v>
      </c>
      <c r="R126" s="78">
        <v>0.14730994858755</v>
      </c>
      <c r="S126" s="78">
        <v>0.14585710095082199</v>
      </c>
      <c r="T126" s="78">
        <v>0.14246068480337901</v>
      </c>
      <c r="U126" s="78">
        <v>0.13743902328813601</v>
      </c>
      <c r="V126" s="78">
        <v>0.13493998612633001</v>
      </c>
      <c r="W126" s="78">
        <v>0.13402455506310701</v>
      </c>
      <c r="X126" s="78">
        <v>0.13156186015384</v>
      </c>
      <c r="Y126" s="78">
        <v>0.12776197053344299</v>
      </c>
      <c r="Z126" s="78">
        <v>0.12522822151007401</v>
      </c>
      <c r="AA126" s="78">
        <v>0.124661604062331</v>
      </c>
      <c r="AB126" s="78">
        <v>0.12282665633208099</v>
      </c>
      <c r="AC126" s="53">
        <v>0.119868546766894</v>
      </c>
    </row>
    <row r="127" spans="2:29" ht="15.75" x14ac:dyDescent="0.3">
      <c r="B127" s="4" t="s">
        <v>340</v>
      </c>
      <c r="C127" s="45">
        <v>0.268827029030964</v>
      </c>
      <c r="D127" s="45">
        <v>0.24510655198897299</v>
      </c>
      <c r="E127" s="45">
        <v>0.21681801788087399</v>
      </c>
      <c r="F127" s="45">
        <v>0.21193960418938301</v>
      </c>
      <c r="G127" s="45">
        <v>0.20542227667818899</v>
      </c>
      <c r="H127" s="45">
        <v>0.19630517168612699</v>
      </c>
      <c r="I127" s="45">
        <v>0.187300636266273</v>
      </c>
      <c r="J127" s="45">
        <v>0.186142701681836</v>
      </c>
      <c r="K127" s="45">
        <v>0.182121678628235</v>
      </c>
      <c r="L127" s="45">
        <v>0.17463374538368601</v>
      </c>
      <c r="M127" s="45">
        <v>0.164596178261568</v>
      </c>
      <c r="N127" s="45">
        <v>0.16266485247589299</v>
      </c>
      <c r="O127" s="45">
        <v>0.16029694170184799</v>
      </c>
      <c r="P127" s="80">
        <v>0.15541450864884601</v>
      </c>
      <c r="Q127" s="80">
        <v>0.14853041332817801</v>
      </c>
      <c r="R127" s="80">
        <v>0.146273566390374</v>
      </c>
      <c r="S127" s="80">
        <v>0.144799826159486</v>
      </c>
      <c r="T127" s="80">
        <v>0.14140012128665899</v>
      </c>
      <c r="U127" s="80">
        <v>0.13639231526668</v>
      </c>
      <c r="V127" s="80">
        <v>0.13399564134595801</v>
      </c>
      <c r="W127" s="80">
        <v>0.13306173124582399</v>
      </c>
      <c r="X127" s="80">
        <v>0.13059462479900499</v>
      </c>
      <c r="Y127" s="80">
        <v>0.12680357040246501</v>
      </c>
      <c r="Z127" s="80">
        <v>0.124355359049737</v>
      </c>
      <c r="AA127" s="80">
        <v>0.12377221009765201</v>
      </c>
      <c r="AB127" s="80">
        <v>0.121932218903892</v>
      </c>
      <c r="AC127" s="52">
        <v>0.11897989669164399</v>
      </c>
    </row>
    <row r="129" spans="1:29" x14ac:dyDescent="0.25">
      <c r="A129" s="35" t="s">
        <v>1070</v>
      </c>
    </row>
    <row r="130" spans="1:29" ht="15.75" x14ac:dyDescent="0.3">
      <c r="B130" s="8" t="s">
        <v>1015</v>
      </c>
      <c r="C130" s="17">
        <v>4</v>
      </c>
      <c r="D130" s="18">
        <v>5</v>
      </c>
      <c r="E130" s="18">
        <v>6</v>
      </c>
      <c r="F130" s="18">
        <v>7</v>
      </c>
      <c r="G130" s="18">
        <v>8</v>
      </c>
      <c r="H130" s="18">
        <v>9</v>
      </c>
      <c r="I130" s="18">
        <v>10</v>
      </c>
      <c r="J130" s="18">
        <v>11</v>
      </c>
      <c r="K130" s="18">
        <v>12</v>
      </c>
      <c r="L130" s="18">
        <v>13</v>
      </c>
      <c r="M130" s="18">
        <v>14</v>
      </c>
      <c r="N130" s="18">
        <v>15</v>
      </c>
      <c r="O130" s="18">
        <v>16</v>
      </c>
      <c r="P130" s="18">
        <v>17</v>
      </c>
      <c r="Q130" s="18">
        <v>18</v>
      </c>
      <c r="R130" s="18">
        <v>19</v>
      </c>
      <c r="S130" s="18">
        <v>20</v>
      </c>
      <c r="T130" s="18">
        <v>21</v>
      </c>
      <c r="U130" s="18">
        <v>22</v>
      </c>
      <c r="V130" s="18">
        <v>23</v>
      </c>
      <c r="W130" s="18">
        <v>24</v>
      </c>
      <c r="X130" s="18">
        <v>25</v>
      </c>
      <c r="Y130" s="18">
        <v>26</v>
      </c>
      <c r="Z130" s="18">
        <v>27</v>
      </c>
      <c r="AA130" s="18">
        <v>28</v>
      </c>
      <c r="AB130" s="18">
        <v>29</v>
      </c>
      <c r="AC130" s="19">
        <v>30</v>
      </c>
    </row>
    <row r="131" spans="1:29" ht="15.75" x14ac:dyDescent="0.3">
      <c r="B131" s="169">
        <v>8</v>
      </c>
      <c r="C131" s="81">
        <f t="shared" ref="C131:R146" si="0">($AC$133*C$130)/($AC$132*$B131+$AC$131*(2*$B131+2-C$130)+$AC$133*C$130)</f>
        <v>0.56272647030206413</v>
      </c>
      <c r="D131" s="81">
        <f t="shared" si="0"/>
        <v>0.61882574999348938</v>
      </c>
      <c r="E131" s="81">
        <f t="shared" si="0"/>
        <v>0.66288171526182949</v>
      </c>
      <c r="F131" s="81">
        <f t="shared" si="0"/>
        <v>0.69839660133221915</v>
      </c>
      <c r="G131" s="87">
        <f t="shared" si="0"/>
        <v>0.72763469466814101</v>
      </c>
      <c r="H131" s="81">
        <f t="shared" si="0"/>
        <v>0.75212490010820909</v>
      </c>
      <c r="I131" s="82">
        <f t="shared" si="0"/>
        <v>0.77293686270262318</v>
      </c>
      <c r="J131" s="62"/>
      <c r="K131" s="62"/>
      <c r="L131" s="62"/>
      <c r="M131" s="62"/>
      <c r="N131" s="62"/>
      <c r="O131" s="62"/>
      <c r="P131" s="83"/>
      <c r="Q131" s="83"/>
      <c r="R131" s="83"/>
      <c r="S131" s="83"/>
      <c r="T131" s="83"/>
      <c r="U131" s="83"/>
      <c r="V131" s="83"/>
      <c r="W131" s="83"/>
      <c r="X131" s="83"/>
      <c r="Y131" s="83"/>
      <c r="Z131" s="83"/>
      <c r="AA131" s="83"/>
      <c r="AB131" s="63" t="s">
        <v>1071</v>
      </c>
      <c r="AC131" s="64">
        <v>1.0079400000000001</v>
      </c>
    </row>
    <row r="132" spans="1:29" ht="15.75" x14ac:dyDescent="0.3">
      <c r="B132" s="170">
        <v>9</v>
      </c>
      <c r="C132" s="88">
        <f t="shared" si="0"/>
        <v>0.53305699911898918</v>
      </c>
      <c r="D132" s="88">
        <f t="shared" si="0"/>
        <v>0.58993864491660686</v>
      </c>
      <c r="E132" s="88">
        <f t="shared" si="0"/>
        <v>0.63512042351154785</v>
      </c>
      <c r="F132" s="88">
        <f t="shared" si="0"/>
        <v>0.67187549239175881</v>
      </c>
      <c r="G132" s="88">
        <f t="shared" si="0"/>
        <v>0.70236022097017659</v>
      </c>
      <c r="H132" s="84">
        <f t="shared" si="0"/>
        <v>0.7280530599325552</v>
      </c>
      <c r="I132" s="85">
        <f t="shared" si="0"/>
        <v>0.75000153372383704</v>
      </c>
      <c r="J132" s="86">
        <f t="shared" si="0"/>
        <v>0.7689685804670785</v>
      </c>
      <c r="K132" s="85"/>
      <c r="L132" s="85"/>
      <c r="M132" s="85"/>
      <c r="N132" s="85"/>
      <c r="O132" s="85"/>
      <c r="P132" s="83"/>
      <c r="Q132" s="83"/>
      <c r="R132" s="83"/>
      <c r="S132" s="83"/>
      <c r="T132" s="83"/>
      <c r="U132" s="83"/>
      <c r="V132" s="83"/>
      <c r="W132" s="83"/>
      <c r="X132" s="83"/>
      <c r="Y132" s="83"/>
      <c r="Z132" s="83"/>
      <c r="AA132" s="83"/>
      <c r="AB132" s="65" t="s">
        <v>1072</v>
      </c>
      <c r="AC132" s="66">
        <v>12.0107</v>
      </c>
    </row>
    <row r="133" spans="1:29" ht="15.75" x14ac:dyDescent="0.3">
      <c r="B133" s="171">
        <v>10</v>
      </c>
      <c r="C133" s="81">
        <f t="shared" si="0"/>
        <v>0.50635945079573841</v>
      </c>
      <c r="D133" s="81">
        <f t="shared" si="0"/>
        <v>0.56362819038229295</v>
      </c>
      <c r="E133" s="85">
        <f t="shared" si="0"/>
        <v>0.6095909340435437</v>
      </c>
      <c r="F133" s="85">
        <f t="shared" si="0"/>
        <v>0.64729493259077864</v>
      </c>
      <c r="G133" s="85">
        <f t="shared" si="0"/>
        <v>0.67878262930672195</v>
      </c>
      <c r="H133" s="85">
        <f t="shared" si="0"/>
        <v>0.70547427804836049</v>
      </c>
      <c r="I133" s="87">
        <f t="shared" si="0"/>
        <v>0.72838809868948895</v>
      </c>
      <c r="J133" s="85">
        <f t="shared" si="0"/>
        <v>0.74827313098455128</v>
      </c>
      <c r="K133" s="86">
        <f t="shared" si="0"/>
        <v>0.76569267185772216</v>
      </c>
      <c r="L133" s="85"/>
      <c r="M133" s="85"/>
      <c r="N133" s="85"/>
      <c r="O133" s="85"/>
      <c r="P133" s="83"/>
      <c r="Q133" s="83"/>
      <c r="R133" s="83"/>
      <c r="S133" s="83"/>
      <c r="T133" s="83"/>
      <c r="U133" s="83"/>
      <c r="V133" s="83"/>
      <c r="W133" s="83"/>
      <c r="X133" s="83"/>
      <c r="Y133" s="83"/>
      <c r="Z133" s="83"/>
      <c r="AA133" s="83"/>
      <c r="AB133" s="67" t="s">
        <v>1073</v>
      </c>
      <c r="AC133" s="68">
        <v>35.453000000000003</v>
      </c>
    </row>
    <row r="134" spans="1:29" ht="15.75" x14ac:dyDescent="0.3">
      <c r="B134" s="171">
        <v>11</v>
      </c>
      <c r="C134" s="81">
        <f t="shared" si="0"/>
        <v>0.48220858687095891</v>
      </c>
      <c r="D134" s="81">
        <f t="shared" si="0"/>
        <v>0.5395643598784855</v>
      </c>
      <c r="E134" s="85">
        <f t="shared" si="0"/>
        <v>0.58603451630291614</v>
      </c>
      <c r="F134" s="85">
        <f t="shared" si="0"/>
        <v>0.62444945404360397</v>
      </c>
      <c r="G134" s="85">
        <f t="shared" si="0"/>
        <v>0.65673658158263559</v>
      </c>
      <c r="H134" s="85">
        <f t="shared" si="0"/>
        <v>0.6842538222115665</v>
      </c>
      <c r="I134" s="85">
        <f t="shared" si="0"/>
        <v>0.70798547628293584</v>
      </c>
      <c r="J134" s="87">
        <f t="shared" si="0"/>
        <v>0.72866245075335034</v>
      </c>
      <c r="K134" s="85">
        <f t="shared" si="0"/>
        <v>0.74683886908741592</v>
      </c>
      <c r="L134" s="86">
        <f t="shared" si="0"/>
        <v>0.7629424716721257</v>
      </c>
      <c r="M134" s="85"/>
      <c r="N134" s="85"/>
      <c r="O134" s="85"/>
      <c r="P134" s="83"/>
      <c r="Q134" s="83"/>
      <c r="R134" s="83"/>
      <c r="S134" s="83"/>
      <c r="T134" s="83"/>
      <c r="U134" s="83"/>
      <c r="V134" s="83"/>
      <c r="W134" s="83"/>
      <c r="X134" s="83"/>
      <c r="Y134" s="83"/>
      <c r="Z134" s="83"/>
      <c r="AA134" s="83"/>
      <c r="AB134" s="83"/>
      <c r="AC134" s="83"/>
    </row>
    <row r="135" spans="1:29" ht="15.75" x14ac:dyDescent="0.3">
      <c r="B135" s="171">
        <v>12</v>
      </c>
      <c r="C135" s="81">
        <f t="shared" si="0"/>
        <v>0.46025660282515218</v>
      </c>
      <c r="D135" s="81">
        <f t="shared" si="0"/>
        <v>0.51747118038893836</v>
      </c>
      <c r="E135" s="85">
        <f t="shared" si="0"/>
        <v>0.56423094429466758</v>
      </c>
      <c r="F135" s="85">
        <f t="shared" si="0"/>
        <v>0.60316160694612275</v>
      </c>
      <c r="G135" s="85">
        <f t="shared" si="0"/>
        <v>0.63607754394013372</v>
      </c>
      <c r="H135" s="85">
        <f t="shared" si="0"/>
        <v>0.66427269762329788</v>
      </c>
      <c r="I135" s="85">
        <f t="shared" si="0"/>
        <v>0.68869469190892429</v>
      </c>
      <c r="J135" s="85">
        <f t="shared" si="0"/>
        <v>0.7100534292978995</v>
      </c>
      <c r="K135" s="87">
        <f t="shared" si="0"/>
        <v>0.72889123539796663</v>
      </c>
      <c r="L135" s="85">
        <f t="shared" si="0"/>
        <v>0.74562955042658174</v>
      </c>
      <c r="M135" s="86">
        <f t="shared" si="0"/>
        <v>0.76060083331382067</v>
      </c>
      <c r="N135" s="85"/>
      <c r="O135" s="85"/>
      <c r="P135" s="83"/>
      <c r="Q135" s="83"/>
      <c r="R135" s="83"/>
      <c r="S135" s="83"/>
      <c r="T135" s="83"/>
      <c r="U135" s="83"/>
      <c r="V135" s="83"/>
      <c r="W135" s="83"/>
      <c r="X135" s="83"/>
      <c r="Y135" s="83"/>
      <c r="Z135" s="83"/>
      <c r="AA135" s="83"/>
      <c r="AB135" s="83"/>
      <c r="AC135" s="83"/>
    </row>
    <row r="136" spans="1:29" ht="15.75" x14ac:dyDescent="0.3">
      <c r="B136" s="170">
        <v>13</v>
      </c>
      <c r="C136" s="88">
        <f t="shared" si="0"/>
        <v>0.4402162700719926</v>
      </c>
      <c r="D136" s="88">
        <f t="shared" si="0"/>
        <v>0.49711610123899175</v>
      </c>
      <c r="E136" s="88">
        <f t="shared" si="0"/>
        <v>0.54399159065792557</v>
      </c>
      <c r="F136" s="88">
        <f t="shared" si="0"/>
        <v>0.58327734125316899</v>
      </c>
      <c r="G136" s="88">
        <f t="shared" si="0"/>
        <v>0.61667861434734905</v>
      </c>
      <c r="H136" s="88">
        <f t="shared" si="0"/>
        <v>0.64542541435212419</v>
      </c>
      <c r="I136" s="88">
        <f t="shared" si="0"/>
        <v>0.67042727205784769</v>
      </c>
      <c r="J136" s="88">
        <f t="shared" si="0"/>
        <v>0.69237123481874385</v>
      </c>
      <c r="K136" s="88">
        <f t="shared" si="0"/>
        <v>0.71178597419778356</v>
      </c>
      <c r="L136" s="84">
        <f t="shared" si="0"/>
        <v>0.72908493464813262</v>
      </c>
      <c r="M136" s="85">
        <f t="shared" si="0"/>
        <v>0.74459610437120893</v>
      </c>
      <c r="N136" s="86">
        <f t="shared" si="0"/>
        <v>0.75858300953221725</v>
      </c>
      <c r="O136" s="85"/>
      <c r="P136" s="83"/>
      <c r="Q136" s="83"/>
      <c r="R136" s="83"/>
      <c r="S136" s="83"/>
      <c r="T136" s="83"/>
      <c r="U136" s="83"/>
      <c r="V136" s="83"/>
      <c r="W136" s="83"/>
      <c r="X136" s="83"/>
      <c r="Y136" s="83"/>
      <c r="Z136" s="83"/>
      <c r="AA136" s="83"/>
      <c r="AB136" s="83"/>
      <c r="AC136" s="83"/>
    </row>
    <row r="137" spans="1:29" ht="15.75" x14ac:dyDescent="0.3">
      <c r="B137" s="171">
        <v>14</v>
      </c>
      <c r="C137" s="81">
        <f t="shared" si="0"/>
        <v>0.42184829834014065</v>
      </c>
      <c r="D137" s="81">
        <f t="shared" si="0"/>
        <v>0.4783017770813946</v>
      </c>
      <c r="E137" s="85">
        <f t="shared" si="0"/>
        <v>0.52515395559296696</v>
      </c>
      <c r="F137" s="85">
        <f t="shared" si="0"/>
        <v>0.56466227270768454</v>
      </c>
      <c r="G137" s="85">
        <f t="shared" si="0"/>
        <v>0.59842791351498803</v>
      </c>
      <c r="H137" s="85">
        <f t="shared" si="0"/>
        <v>0.6276181243372998</v>
      </c>
      <c r="I137" s="85">
        <f t="shared" si="0"/>
        <v>0.6531038876012133</v>
      </c>
      <c r="J137" s="85">
        <f t="shared" si="0"/>
        <v>0.67554830843471303</v>
      </c>
      <c r="K137" s="85">
        <f t="shared" si="0"/>
        <v>0.69546514016866823</v>
      </c>
      <c r="L137" s="85">
        <f t="shared" si="0"/>
        <v>0.71325859121055635</v>
      </c>
      <c r="M137" s="87">
        <f t="shared" si="0"/>
        <v>0.72925104453470602</v>
      </c>
      <c r="N137" s="85">
        <f t="shared" si="0"/>
        <v>0.7437027655850057</v>
      </c>
      <c r="O137" s="86">
        <f t="shared" si="0"/>
        <v>0.75682617590055223</v>
      </c>
      <c r="P137" s="83"/>
      <c r="Q137" s="83"/>
      <c r="R137" s="83"/>
      <c r="S137" s="83"/>
      <c r="T137" s="83"/>
      <c r="U137" s="83"/>
      <c r="V137" s="83"/>
      <c r="W137" s="83"/>
      <c r="X137" s="83"/>
      <c r="Y137" s="83"/>
      <c r="Z137" s="83"/>
      <c r="AA137" s="83"/>
      <c r="AB137" s="83"/>
      <c r="AC137" s="83"/>
    </row>
    <row r="138" spans="1:29" ht="15.75" x14ac:dyDescent="0.3">
      <c r="B138" s="171">
        <v>15</v>
      </c>
      <c r="C138" s="81">
        <f t="shared" si="0"/>
        <v>0.40495173515130806</v>
      </c>
      <c r="D138" s="81">
        <f t="shared" si="0"/>
        <v>0.46085964877068908</v>
      </c>
      <c r="E138" s="85">
        <f t="shared" si="0"/>
        <v>0.50757729447400335</v>
      </c>
      <c r="F138" s="85">
        <f t="shared" si="0"/>
        <v>0.54719864176570454</v>
      </c>
      <c r="G138" s="85">
        <f t="shared" si="0"/>
        <v>0.58122642579315431</v>
      </c>
      <c r="H138" s="85">
        <f t="shared" si="0"/>
        <v>0.61076705851221813</v>
      </c>
      <c r="I138" s="85">
        <f t="shared" si="0"/>
        <v>0.63665320212694931</v>
      </c>
      <c r="J138" s="85">
        <f t="shared" si="0"/>
        <v>0.65952350157169615</v>
      </c>
      <c r="K138" s="85">
        <f t="shared" si="0"/>
        <v>0.67987598347149436</v>
      </c>
      <c r="L138" s="85">
        <f t="shared" si="0"/>
        <v>0.69810473899166003</v>
      </c>
      <c r="M138" s="85">
        <f t="shared" si="0"/>
        <v>0.7145256928347703</v>
      </c>
      <c r="N138" s="87">
        <f t="shared" si="0"/>
        <v>0.72939506767390516</v>
      </c>
      <c r="O138" s="85">
        <f t="shared" si="0"/>
        <v>0.7429228507162875</v>
      </c>
      <c r="P138" s="89">
        <f t="shared" si="0"/>
        <v>0.75528277253858045</v>
      </c>
      <c r="Q138" s="83"/>
      <c r="R138" s="83"/>
      <c r="S138" s="83"/>
      <c r="T138" s="83"/>
      <c r="U138" s="83"/>
      <c r="V138" s="83"/>
      <c r="W138" s="83"/>
      <c r="X138" s="83"/>
      <c r="Y138" s="83"/>
      <c r="Z138" s="83"/>
      <c r="AA138" s="83"/>
      <c r="AB138" s="83"/>
      <c r="AC138" s="83"/>
    </row>
    <row r="139" spans="1:29" ht="15.75" x14ac:dyDescent="0.3">
      <c r="B139" s="171">
        <v>16</v>
      </c>
      <c r="C139" s="81">
        <f t="shared" si="0"/>
        <v>0.38935658366037801</v>
      </c>
      <c r="D139" s="81">
        <f t="shared" si="0"/>
        <v>0.44464487933095753</v>
      </c>
      <c r="E139" s="85">
        <f t="shared" si="0"/>
        <v>0.49113909507648285</v>
      </c>
      <c r="F139" s="85">
        <f t="shared" si="0"/>
        <v>0.53078281991026621</v>
      </c>
      <c r="G139" s="85">
        <f t="shared" si="0"/>
        <v>0.56498620203710892</v>
      </c>
      <c r="H139" s="85">
        <f t="shared" si="0"/>
        <v>0.59479720911695422</v>
      </c>
      <c r="I139" s="85">
        <f t="shared" si="0"/>
        <v>0.62101089005033117</v>
      </c>
      <c r="J139" s="85">
        <f t="shared" si="0"/>
        <v>0.64424133327954525</v>
      </c>
      <c r="K139" s="85">
        <f t="shared" si="0"/>
        <v>0.66497038021770805</v>
      </c>
      <c r="L139" s="85">
        <f t="shared" si="0"/>
        <v>0.68358140658099487</v>
      </c>
      <c r="M139" s="85">
        <f t="shared" si="0"/>
        <v>0.7003832520545471</v>
      </c>
      <c r="N139" s="85">
        <f t="shared" si="0"/>
        <v>0.71562749481219023</v>
      </c>
      <c r="O139" s="87">
        <f t="shared" si="0"/>
        <v>0.72952113459436529</v>
      </c>
      <c r="P139" s="83">
        <f t="shared" si="0"/>
        <v>0.7422360477157357</v>
      </c>
      <c r="Q139" s="89">
        <f t="shared" si="0"/>
        <v>0.75391613353164499</v>
      </c>
      <c r="R139" s="83"/>
      <c r="S139" s="83"/>
      <c r="T139" s="83"/>
      <c r="U139" s="83"/>
      <c r="V139" s="83"/>
      <c r="W139" s="83"/>
      <c r="X139" s="83"/>
      <c r="Y139" s="83"/>
      <c r="Z139" s="83"/>
      <c r="AA139" s="83"/>
      <c r="AB139" s="83"/>
      <c r="AC139" s="83"/>
    </row>
    <row r="140" spans="1:29" ht="15.75" x14ac:dyDescent="0.3">
      <c r="B140" s="170">
        <v>17</v>
      </c>
      <c r="C140" s="88">
        <f t="shared" si="0"/>
        <v>0.37491806301252428</v>
      </c>
      <c r="D140" s="88">
        <f t="shared" si="0"/>
        <v>0.42953232261925234</v>
      </c>
      <c r="E140" s="88">
        <f t="shared" si="0"/>
        <v>0.47573221785394715</v>
      </c>
      <c r="F140" s="88">
        <f t="shared" si="0"/>
        <v>0.51532325175157701</v>
      </c>
      <c r="G140" s="88">
        <f t="shared" si="0"/>
        <v>0.54962885556917795</v>
      </c>
      <c r="H140" s="88">
        <f t="shared" si="0"/>
        <v>0.57964121346634667</v>
      </c>
      <c r="I140" s="88">
        <f t="shared" si="0"/>
        <v>0.60611879600150687</v>
      </c>
      <c r="J140" s="88">
        <f t="shared" si="0"/>
        <v>0.62965134846521442</v>
      </c>
      <c r="K140" s="88">
        <f t="shared" si="0"/>
        <v>0.65070433625162949</v>
      </c>
      <c r="L140" s="88">
        <f t="shared" si="0"/>
        <v>0.66965004407096973</v>
      </c>
      <c r="M140" s="88">
        <f t="shared" si="0"/>
        <v>0.68678978170954763</v>
      </c>
      <c r="N140" s="88">
        <f t="shared" si="0"/>
        <v>0.70237002849287633</v>
      </c>
      <c r="O140" s="88">
        <f t="shared" si="0"/>
        <v>0.71659436270376276</v>
      </c>
      <c r="P140" s="90">
        <f t="shared" si="0"/>
        <v>0.72963240630746129</v>
      </c>
      <c r="Q140" s="83">
        <f t="shared" si="0"/>
        <v>0.74162662132694912</v>
      </c>
      <c r="R140" s="89">
        <f t="shared" si="0"/>
        <v>0.75269753668881878</v>
      </c>
      <c r="S140" s="83"/>
      <c r="T140" s="83"/>
      <c r="U140" s="83"/>
      <c r="V140" s="83"/>
      <c r="W140" s="83"/>
      <c r="X140" s="83"/>
      <c r="Y140" s="83"/>
      <c r="Z140" s="83"/>
      <c r="AA140" s="83"/>
      <c r="AB140" s="83"/>
      <c r="AC140" s="83"/>
    </row>
    <row r="141" spans="1:29" ht="15.75" x14ac:dyDescent="0.3">
      <c r="B141" s="171">
        <v>18</v>
      </c>
      <c r="C141" s="81">
        <f t="shared" si="0"/>
        <v>0.36151210009642226</v>
      </c>
      <c r="D141" s="81">
        <f t="shared" si="0"/>
        <v>0.41541328706657549</v>
      </c>
      <c r="E141" s="85">
        <f t="shared" si="0"/>
        <v>0.46126255809529909</v>
      </c>
      <c r="F141" s="85">
        <f t="shared" si="0"/>
        <v>0.50073874657911288</v>
      </c>
      <c r="G141" s="85">
        <f t="shared" si="0"/>
        <v>0.53508429694439141</v>
      </c>
      <c r="H141" s="85">
        <f t="shared" si="0"/>
        <v>0.56523840413352799</v>
      </c>
      <c r="I141" s="85">
        <f t="shared" si="0"/>
        <v>0.59192421232990844</v>
      </c>
      <c r="J141" s="85">
        <f t="shared" si="0"/>
        <v>0.61570756139842953</v>
      </c>
      <c r="K141" s="85">
        <f t="shared" si="0"/>
        <v>0.63703755346529889</v>
      </c>
      <c r="L141" s="81">
        <f t="shared" si="0"/>
        <v>0.65627518136994067</v>
      </c>
      <c r="M141" s="81">
        <f t="shared" si="0"/>
        <v>0.67371392609965974</v>
      </c>
      <c r="N141" s="85">
        <f t="shared" si="0"/>
        <v>0.68959483419886214</v>
      </c>
      <c r="O141" s="91">
        <f t="shared" si="0"/>
        <v>0.7041177272605853</v>
      </c>
      <c r="P141" s="83">
        <f t="shared" si="0"/>
        <v>0.71744965367606806</v>
      </c>
      <c r="Q141" s="92">
        <f t="shared" si="0"/>
        <v>0.72973134299685283</v>
      </c>
      <c r="R141" s="83">
        <f t="shared" si="0"/>
        <v>0.74108219275228715</v>
      </c>
      <c r="S141" s="89">
        <f t="shared" ref="S141:AC159" si="1">($AC$133*S$130)/($AC$132*$B141+$AC$131*(2*$B141+2-S$130)+$AC$133*S$130)</f>
        <v>0.75160416280119713</v>
      </c>
      <c r="T141" s="83"/>
      <c r="U141" s="83"/>
      <c r="V141" s="83"/>
      <c r="W141" s="83"/>
      <c r="X141" s="83"/>
      <c r="Y141" s="83"/>
      <c r="Z141" s="83"/>
      <c r="AA141" s="83"/>
      <c r="AB141" s="83"/>
      <c r="AC141" s="83"/>
    </row>
    <row r="142" spans="1:29" ht="15.75" x14ac:dyDescent="0.3">
      <c r="B142" s="171">
        <v>19</v>
      </c>
      <c r="C142" s="81">
        <f t="shared" si="0"/>
        <v>0.34903175511641438</v>
      </c>
      <c r="D142" s="81">
        <f t="shared" si="0"/>
        <v>0.40219291737512425</v>
      </c>
      <c r="E142" s="85">
        <f t="shared" si="0"/>
        <v>0.44764712212930852</v>
      </c>
      <c r="F142" s="85">
        <f t="shared" si="0"/>
        <v>0.486957052040561</v>
      </c>
      <c r="G142" s="85">
        <f t="shared" si="0"/>
        <v>0.52128966442483293</v>
      </c>
      <c r="H142" s="85">
        <f t="shared" si="0"/>
        <v>0.55153399730529162</v>
      </c>
      <c r="I142" s="85">
        <f t="shared" si="0"/>
        <v>0.57837925580553085</v>
      </c>
      <c r="J142" s="85">
        <f t="shared" si="0"/>
        <v>0.60236797155760113</v>
      </c>
      <c r="K142" s="85">
        <f t="shared" si="0"/>
        <v>0.62393304964136265</v>
      </c>
      <c r="L142" s="81">
        <f t="shared" si="0"/>
        <v>0.64342412666038518</v>
      </c>
      <c r="M142" s="81">
        <f t="shared" si="0"/>
        <v>0.66112667284660576</v>
      </c>
      <c r="N142" s="85">
        <f t="shared" si="0"/>
        <v>0.67727606633139625</v>
      </c>
      <c r="O142" s="81">
        <f t="shared" si="0"/>
        <v>0.69206811862927553</v>
      </c>
      <c r="P142" s="83">
        <f t="shared" si="0"/>
        <v>0.70566705318470402</v>
      </c>
      <c r="Q142" s="83">
        <f t="shared" si="0"/>
        <v>0.71821162812845518</v>
      </c>
      <c r="R142" s="92">
        <f t="shared" si="0"/>
        <v>0.72981988804401898</v>
      </c>
      <c r="S142" s="83">
        <f t="shared" si="1"/>
        <v>0.74059289001162609</v>
      </c>
      <c r="T142" s="89">
        <f t="shared" si="1"/>
        <v>0.7506176532752632</v>
      </c>
      <c r="U142" s="83"/>
      <c r="V142" s="83"/>
      <c r="W142" s="83"/>
      <c r="X142" s="83"/>
      <c r="Y142" s="83"/>
      <c r="Z142" s="83"/>
      <c r="AA142" s="83"/>
      <c r="AB142" s="83"/>
      <c r="AC142" s="83"/>
    </row>
    <row r="143" spans="1:29" ht="15.75" x14ac:dyDescent="0.3">
      <c r="B143" s="171">
        <v>20</v>
      </c>
      <c r="C143" s="81">
        <f t="shared" si="0"/>
        <v>0.33738436284906459</v>
      </c>
      <c r="D143" s="81">
        <f t="shared" si="0"/>
        <v>0.38978806075420785</v>
      </c>
      <c r="E143" s="85">
        <f t="shared" si="0"/>
        <v>0.43481243447704199</v>
      </c>
      <c r="F143" s="85">
        <f t="shared" si="0"/>
        <v>0.47391365704922001</v>
      </c>
      <c r="G143" s="85">
        <f t="shared" si="0"/>
        <v>0.50818841573232532</v>
      </c>
      <c r="H143" s="85">
        <f t="shared" si="0"/>
        <v>0.53847839641421447</v>
      </c>
      <c r="I143" s="85">
        <f t="shared" si="0"/>
        <v>0.56544032798314148</v>
      </c>
      <c r="J143" s="85">
        <f t="shared" si="0"/>
        <v>0.5895941410776443</v>
      </c>
      <c r="K143" s="85">
        <f t="shared" si="0"/>
        <v>0.61135682427148497</v>
      </c>
      <c r="L143" s="81">
        <f t="shared" si="0"/>
        <v>0.63106669960505424</v>
      </c>
      <c r="M143" s="81">
        <f t="shared" si="0"/>
        <v>0.64900113800297055</v>
      </c>
      <c r="N143" s="85">
        <f t="shared" si="0"/>
        <v>0.6653896936798821</v>
      </c>
      <c r="O143" s="81">
        <f t="shared" si="0"/>
        <v>0.68042398246477942</v>
      </c>
      <c r="P143" s="83">
        <f t="shared" si="0"/>
        <v>0.69426520840880823</v>
      </c>
      <c r="Q143" s="83">
        <f t="shared" si="0"/>
        <v>0.70704996692956967</v>
      </c>
      <c r="R143" s="93">
        <f t="shared" si="0"/>
        <v>0.71889476798392737</v>
      </c>
      <c r="S143" s="92">
        <f t="shared" si="1"/>
        <v>0.72989959696069584</v>
      </c>
      <c r="T143" s="83">
        <f t="shared" si="1"/>
        <v>0.74015074395432667</v>
      </c>
      <c r="U143" s="89">
        <f t="shared" si="1"/>
        <v>0.74972307098418334</v>
      </c>
      <c r="V143" s="83"/>
      <c r="W143" s="83"/>
      <c r="X143" s="83"/>
      <c r="Y143" s="83"/>
      <c r="Z143" s="83"/>
      <c r="AA143" s="83"/>
      <c r="AB143" s="83"/>
      <c r="AC143" s="83"/>
    </row>
    <row r="144" spans="1:29" ht="15.75" x14ac:dyDescent="0.3">
      <c r="B144" s="171">
        <v>21</v>
      </c>
      <c r="C144" s="81">
        <f t="shared" si="0"/>
        <v>0.32648922780320128</v>
      </c>
      <c r="D144" s="81">
        <f t="shared" si="0"/>
        <v>0.37812551621230889</v>
      </c>
      <c r="E144" s="85">
        <f t="shared" si="0"/>
        <v>0.42269321138225441</v>
      </c>
      <c r="F144" s="85">
        <f t="shared" si="0"/>
        <v>0.46155078206105132</v>
      </c>
      <c r="G144" s="85">
        <f t="shared" si="0"/>
        <v>0.49572955340189739</v>
      </c>
      <c r="H144" s="85">
        <f t="shared" si="0"/>
        <v>0.52602659238787453</v>
      </c>
      <c r="I144" s="85">
        <f t="shared" si="0"/>
        <v>0.55306764641472606</v>
      </c>
      <c r="J144" s="85">
        <f t="shared" si="0"/>
        <v>0.57735082484526479</v>
      </c>
      <c r="K144" s="85">
        <f t="shared" si="0"/>
        <v>0.59927756399155407</v>
      </c>
      <c r="L144" s="81">
        <f t="shared" si="0"/>
        <v>0.61917499471760862</v>
      </c>
      <c r="M144" s="81">
        <f t="shared" si="0"/>
        <v>0.63731237438285249</v>
      </c>
      <c r="N144" s="85">
        <f t="shared" si="0"/>
        <v>0.65391334295300796</v>
      </c>
      <c r="O144" s="81">
        <f t="shared" si="0"/>
        <v>0.66916519103769179</v>
      </c>
      <c r="P144" s="83">
        <f t="shared" si="0"/>
        <v>0.68322595658503582</v>
      </c>
      <c r="Q144" s="93">
        <f t="shared" si="0"/>
        <v>0.69622992142333884</v>
      </c>
      <c r="R144" s="83">
        <f t="shared" si="0"/>
        <v>0.70829191333776775</v>
      </c>
      <c r="S144" s="83">
        <f t="shared" si="1"/>
        <v>0.7195107059308623</v>
      </c>
      <c r="T144" s="92">
        <f t="shared" si="1"/>
        <v>0.72997172955628542</v>
      </c>
      <c r="U144" s="83">
        <f t="shared" si="1"/>
        <v>0.73974925087164756</v>
      </c>
      <c r="V144" s="89">
        <f t="shared" si="1"/>
        <v>0.7489081386839016</v>
      </c>
      <c r="W144" s="83"/>
      <c r="X144" s="83"/>
      <c r="Y144" s="83"/>
      <c r="Z144" s="83"/>
      <c r="AA144" s="83"/>
      <c r="AB144" s="83"/>
      <c r="AC144" s="83"/>
    </row>
    <row r="145" spans="2:29" ht="15.75" x14ac:dyDescent="0.3">
      <c r="B145" s="171">
        <v>22</v>
      </c>
      <c r="C145" s="81">
        <f t="shared" si="0"/>
        <v>0.31627575199013835</v>
      </c>
      <c r="D145" s="81">
        <f t="shared" si="0"/>
        <v>0.36714058900812163</v>
      </c>
      <c r="E145" s="85">
        <f t="shared" si="0"/>
        <v>0.4112312501570744</v>
      </c>
      <c r="F145" s="85">
        <f t="shared" si="0"/>
        <v>0.44981652337617284</v>
      </c>
      <c r="G145" s="85">
        <f t="shared" si="0"/>
        <v>0.48386696135697305</v>
      </c>
      <c r="H145" s="85">
        <f t="shared" si="0"/>
        <v>0.51413764522937877</v>
      </c>
      <c r="I145" s="85">
        <f t="shared" si="0"/>
        <v>0.54122483609068506</v>
      </c>
      <c r="J145" s="85">
        <f t="shared" si="0"/>
        <v>0.56560564574458205</v>
      </c>
      <c r="K145" s="85">
        <f t="shared" si="0"/>
        <v>0.58766638226057433</v>
      </c>
      <c r="L145" s="81">
        <f t="shared" si="0"/>
        <v>0.60772317099243411</v>
      </c>
      <c r="M145" s="81">
        <f t="shared" si="0"/>
        <v>0.62603720023831544</v>
      </c>
      <c r="N145" s="85">
        <f t="shared" si="0"/>
        <v>0.64282615822757405</v>
      </c>
      <c r="O145" s="81">
        <f t="shared" si="0"/>
        <v>0.658272927126348</v>
      </c>
      <c r="P145" s="83">
        <f t="shared" si="0"/>
        <v>0.67253227206644794</v>
      </c>
      <c r="Q145" s="93">
        <f t="shared" si="0"/>
        <v>0.6857360446739269</v>
      </c>
      <c r="R145" s="83">
        <f t="shared" si="0"/>
        <v>0.69799727224340102</v>
      </c>
      <c r="S145" s="83">
        <f t="shared" si="1"/>
        <v>0.70941340138003139</v>
      </c>
      <c r="T145" s="83">
        <f t="shared" si="1"/>
        <v>0.72006889328649271</v>
      </c>
      <c r="U145" s="92">
        <f t="shared" si="1"/>
        <v>0.73003731701612584</v>
      </c>
      <c r="V145" s="83">
        <f t="shared" si="1"/>
        <v>0.73938305045291275</v>
      </c>
      <c r="W145" s="89">
        <f t="shared" si="1"/>
        <v>0.74816267218419541</v>
      </c>
      <c r="X145" s="83"/>
      <c r="Y145" s="83"/>
      <c r="Z145" s="83"/>
      <c r="AA145" s="83"/>
      <c r="AB145" s="83"/>
      <c r="AC145" s="83"/>
    </row>
    <row r="146" spans="2:29" ht="15.75" x14ac:dyDescent="0.3">
      <c r="B146" s="171">
        <v>23</v>
      </c>
      <c r="C146" s="81">
        <f t="shared" si="0"/>
        <v>0.30668190344506985</v>
      </c>
      <c r="D146" s="81">
        <f t="shared" si="0"/>
        <v>0.35677588995623893</v>
      </c>
      <c r="E146" s="85">
        <f t="shared" si="0"/>
        <v>0.40037449445939505</v>
      </c>
      <c r="F146" s="85">
        <f t="shared" si="0"/>
        <v>0.43866412473346539</v>
      </c>
      <c r="G146" s="85">
        <f t="shared" si="0"/>
        <v>0.4725588345112704</v>
      </c>
      <c r="H146" s="85">
        <f t="shared" si="0"/>
        <v>0.5027742343461753</v>
      </c>
      <c r="I146" s="85">
        <f t="shared" si="0"/>
        <v>0.5298785722713093</v>
      </c>
      <c r="J146" s="85">
        <f t="shared" si="0"/>
        <v>0.5543288087517495</v>
      </c>
      <c r="K146" s="85">
        <f t="shared" si="0"/>
        <v>0.57649658872714715</v>
      </c>
      <c r="L146" s="81">
        <f t="shared" si="0"/>
        <v>0.59668726445567333</v>
      </c>
      <c r="M146" s="81">
        <f t="shared" si="0"/>
        <v>0.61515404580577659</v>
      </c>
      <c r="N146" s="85">
        <f t="shared" si="0"/>
        <v>0.632108674457311</v>
      </c>
      <c r="O146" s="81">
        <f t="shared" si="0"/>
        <v>0.64772957906689566</v>
      </c>
      <c r="P146" s="93">
        <f t="shared" si="0"/>
        <v>0.66216817870455724</v>
      </c>
      <c r="Q146" s="83">
        <f t="shared" si="0"/>
        <v>0.67555380720853675</v>
      </c>
      <c r="R146" s="83">
        <f t="shared" si="0"/>
        <v>0.68799759807990202</v>
      </c>
      <c r="S146" s="83">
        <f t="shared" si="1"/>
        <v>0.69959557720147603</v>
      </c>
      <c r="T146" s="83">
        <f t="shared" si="1"/>
        <v>0.71043114564311294</v>
      </c>
      <c r="U146" s="83">
        <f t="shared" si="1"/>
        <v>0.7205770884153555</v>
      </c>
      <c r="V146" s="92">
        <f t="shared" si="1"/>
        <v>0.73009721151266815</v>
      </c>
      <c r="W146" s="83">
        <f t="shared" si="1"/>
        <v>0.73904768509254504</v>
      </c>
      <c r="X146" s="89">
        <f t="shared" si="1"/>
        <v>0.74747815254587602</v>
      </c>
      <c r="Y146" s="83"/>
      <c r="Z146" s="83"/>
      <c r="AA146" s="83"/>
      <c r="AB146" s="83"/>
      <c r="AC146" s="83"/>
    </row>
    <row r="147" spans="2:29" ht="15.75" x14ac:dyDescent="0.3">
      <c r="B147" s="171">
        <v>24</v>
      </c>
      <c r="C147" s="81">
        <f t="shared" ref="C147:R159" si="2">($AC$133*C$130)/($AC$132*$B147+$AC$131*(2*$B147+2-C$130)+$AC$133*C$130)</f>
        <v>0.29765295527582375</v>
      </c>
      <c r="D147" s="81">
        <f t="shared" si="2"/>
        <v>0.34698033252877247</v>
      </c>
      <c r="E147" s="81">
        <f t="shared" si="2"/>
        <v>0.39007624382532402</v>
      </c>
      <c r="F147" s="81">
        <f t="shared" si="2"/>
        <v>0.42805135464073102</v>
      </c>
      <c r="G147" s="81">
        <f t="shared" si="2"/>
        <v>0.46176718652650017</v>
      </c>
      <c r="H147" s="81">
        <f t="shared" si="2"/>
        <v>0.4919022672208806</v>
      </c>
      <c r="I147" s="81">
        <f t="shared" si="2"/>
        <v>0.51899826732194976</v>
      </c>
      <c r="J147" s="81">
        <f t="shared" si="2"/>
        <v>0.54349284856266222</v>
      </c>
      <c r="K147" s="81">
        <f t="shared" si="2"/>
        <v>0.56574348440730671</v>
      </c>
      <c r="L147" s="81">
        <f t="shared" si="2"/>
        <v>0.58604502077578546</v>
      </c>
      <c r="M147" s="81">
        <f t="shared" si="2"/>
        <v>0.60464281558490363</v>
      </c>
      <c r="N147" s="85">
        <f t="shared" si="2"/>
        <v>0.62174270342769589</v>
      </c>
      <c r="O147" s="81">
        <f t="shared" si="2"/>
        <v>0.63751864573007222</v>
      </c>
      <c r="P147" s="93">
        <f t="shared" si="2"/>
        <v>0.65211867020986414</v>
      </c>
      <c r="Q147" s="83">
        <f t="shared" si="2"/>
        <v>0.66566952989870665</v>
      </c>
      <c r="R147" s="83">
        <f t="shared" si="2"/>
        <v>0.67828039260185036</v>
      </c>
      <c r="S147" s="83">
        <f t="shared" si="1"/>
        <v>0.69004578830330254</v>
      </c>
      <c r="T147" s="83">
        <f t="shared" si="1"/>
        <v>0.7010479829916394</v>
      </c>
      <c r="U147" s="83">
        <f t="shared" si="1"/>
        <v>0.71135890504031796</v>
      </c>
      <c r="V147" s="83">
        <f t="shared" si="1"/>
        <v>0.72104171954168006</v>
      </c>
      <c r="W147" s="92">
        <f t="shared" si="1"/>
        <v>0.73015212343531288</v>
      </c>
      <c r="X147" s="83">
        <f t="shared" si="1"/>
        <v>0.73873941754169492</v>
      </c>
      <c r="Y147" s="89">
        <f t="shared" si="1"/>
        <v>0.74684739908439424</v>
      </c>
      <c r="Z147" s="83"/>
      <c r="AA147" s="83"/>
      <c r="AB147" s="83"/>
      <c r="AC147" s="83"/>
    </row>
    <row r="148" spans="2:29" ht="15.75" x14ac:dyDescent="0.3">
      <c r="B148" s="171">
        <v>25</v>
      </c>
      <c r="C148" s="81">
        <f t="shared" si="2"/>
        <v>0.28914044108169173</v>
      </c>
      <c r="D148" s="81">
        <f t="shared" si="2"/>
        <v>0.33770829075425518</v>
      </c>
      <c r="E148" s="85">
        <f t="shared" si="2"/>
        <v>0.3802944821347693</v>
      </c>
      <c r="F148" s="85">
        <f t="shared" si="2"/>
        <v>0.41793997195668953</v>
      </c>
      <c r="G148" s="85">
        <f t="shared" si="2"/>
        <v>0.45145742351110374</v>
      </c>
      <c r="H148" s="85">
        <f t="shared" si="2"/>
        <v>0.4814905377799486</v>
      </c>
      <c r="I148" s="85">
        <f t="shared" si="2"/>
        <v>0.50855579535426765</v>
      </c>
      <c r="J148" s="85">
        <f t="shared" si="2"/>
        <v>0.53307240625321739</v>
      </c>
      <c r="K148" s="85">
        <f t="shared" si="2"/>
        <v>0.55538417936529427</v>
      </c>
      <c r="L148" s="81">
        <f t="shared" si="2"/>
        <v>0.57577574547311283</v>
      </c>
      <c r="M148" s="81">
        <f t="shared" si="2"/>
        <v>0.59448476449987109</v>
      </c>
      <c r="N148" s="85">
        <f t="shared" si="2"/>
        <v>0.61171123075110245</v>
      </c>
      <c r="O148" s="81">
        <f t="shared" si="2"/>
        <v>0.62762465034628079</v>
      </c>
      <c r="P148" s="93">
        <f t="shared" si="2"/>
        <v>0.64236963765595056</v>
      </c>
      <c r="Q148" s="83">
        <f t="shared" si="2"/>
        <v>0.65607032264886955</v>
      </c>
      <c r="R148" s="83">
        <f t="shared" si="2"/>
        <v>0.66883385382549732</v>
      </c>
      <c r="S148" s="83">
        <f t="shared" si="1"/>
        <v>0.68075320610028456</v>
      </c>
      <c r="T148" s="83">
        <f t="shared" si="1"/>
        <v>0.69190944937943177</v>
      </c>
      <c r="U148" s="83">
        <f t="shared" si="1"/>
        <v>0.70237359493267593</v>
      </c>
      <c r="V148" s="83">
        <f t="shared" si="1"/>
        <v>0.71220810847419169</v>
      </c>
      <c r="W148" s="83">
        <f t="shared" si="1"/>
        <v>0.72146815809248432</v>
      </c>
      <c r="X148" s="92">
        <f t="shared" si="1"/>
        <v>0.73020264969992588</v>
      </c>
      <c r="Y148" s="83">
        <f t="shared" si="1"/>
        <v>0.73845509104516183</v>
      </c>
      <c r="Z148" s="89">
        <f t="shared" si="1"/>
        <v>0.74626431651434444</v>
      </c>
      <c r="AA148" s="83"/>
      <c r="AB148" s="83"/>
      <c r="AC148" s="83"/>
    </row>
    <row r="149" spans="2:29" ht="15.75" x14ac:dyDescent="0.3">
      <c r="B149" s="171">
        <v>26</v>
      </c>
      <c r="C149" s="81">
        <f t="shared" si="2"/>
        <v>0.28110128463120576</v>
      </c>
      <c r="D149" s="81">
        <f t="shared" si="2"/>
        <v>0.32891888861876639</v>
      </c>
      <c r="E149" s="81">
        <f t="shared" si="2"/>
        <v>0.37099130464385999</v>
      </c>
      <c r="F149" s="81">
        <f t="shared" si="2"/>
        <v>0.40829526546883654</v>
      </c>
      <c r="G149" s="81">
        <f t="shared" si="2"/>
        <v>0.4415979735793551</v>
      </c>
      <c r="H149" s="81">
        <f t="shared" si="2"/>
        <v>0.47151042724938586</v>
      </c>
      <c r="I149" s="81">
        <f t="shared" si="2"/>
        <v>0.49852524945386228</v>
      </c>
      <c r="J149" s="81">
        <f t="shared" si="2"/>
        <v>0.52304403114892495</v>
      </c>
      <c r="K149" s="81">
        <f t="shared" si="2"/>
        <v>0.54539743006478791</v>
      </c>
      <c r="L149" s="94">
        <f t="shared" si="2"/>
        <v>0.56586016960691399</v>
      </c>
      <c r="M149" s="94">
        <f t="shared" si="2"/>
        <v>0.58466238633737366</v>
      </c>
      <c r="N149" s="62">
        <f t="shared" si="2"/>
        <v>0.60199832267517628</v>
      </c>
      <c r="O149" s="94">
        <f t="shared" si="2"/>
        <v>0.61803306223240639</v>
      </c>
      <c r="P149" s="83">
        <f t="shared" si="2"/>
        <v>0.63290780339057828</v>
      </c>
      <c r="Q149" s="83">
        <f t="shared" si="2"/>
        <v>0.64674402831430955</v>
      </c>
      <c r="R149" s="83">
        <f t="shared" si="2"/>
        <v>0.65964682820991094</v>
      </c>
      <c r="S149" s="83">
        <f t="shared" si="1"/>
        <v>0.67170757755415611</v>
      </c>
      <c r="T149" s="83">
        <f t="shared" si="1"/>
        <v>0.6830061012984302</v>
      </c>
      <c r="U149" s="83">
        <f t="shared" si="1"/>
        <v>0.69361244376469844</v>
      </c>
      <c r="V149" s="83">
        <f t="shared" si="1"/>
        <v>0.70358832210037126</v>
      </c>
      <c r="W149" s="83">
        <f t="shared" si="1"/>
        <v>0.71298832802463974</v>
      </c>
      <c r="X149" s="83">
        <f t="shared" si="1"/>
        <v>0.72186092729546558</v>
      </c>
      <c r="Y149" s="92">
        <f t="shared" si="1"/>
        <v>0.73024929553582196</v>
      </c>
      <c r="Z149" s="83">
        <f t="shared" si="1"/>
        <v>0.7381920208468794</v>
      </c>
      <c r="AA149" s="89">
        <f t="shared" si="1"/>
        <v>0.74572369733710075</v>
      </c>
      <c r="AB149" s="83"/>
      <c r="AC149" s="83"/>
    </row>
    <row r="150" spans="2:29" ht="15.75" x14ac:dyDescent="0.3">
      <c r="B150" s="171">
        <v>27</v>
      </c>
      <c r="C150" s="81">
        <f t="shared" si="2"/>
        <v>0.27349707080108848</v>
      </c>
      <c r="D150" s="81">
        <f t="shared" si="2"/>
        <v>0.32057539761910669</v>
      </c>
      <c r="E150" s="85">
        <f t="shared" si="2"/>
        <v>0.36213242710850235</v>
      </c>
      <c r="F150" s="85">
        <f t="shared" si="2"/>
        <v>0.39908565578368099</v>
      </c>
      <c r="G150" s="85">
        <f t="shared" si="2"/>
        <v>0.4321599639137349</v>
      </c>
      <c r="H150" s="85">
        <f t="shared" si="2"/>
        <v>0.46193564145813204</v>
      </c>
      <c r="I150" s="85">
        <f t="shared" si="2"/>
        <v>0.48888272708225528</v>
      </c>
      <c r="J150" s="85">
        <f t="shared" si="2"/>
        <v>0.51338600464542439</v>
      </c>
      <c r="K150" s="85">
        <f t="shared" si="2"/>
        <v>0.53576349395836098</v>
      </c>
      <c r="L150" s="94">
        <f t="shared" si="2"/>
        <v>0.55628032910566283</v>
      </c>
      <c r="M150" s="94">
        <f t="shared" si="2"/>
        <v>0.57515931306457857</v>
      </c>
      <c r="N150" s="62">
        <f t="shared" si="2"/>
        <v>0.59258904163076331</v>
      </c>
      <c r="O150" s="94">
        <f t="shared" si="2"/>
        <v>0.60873022558779299</v>
      </c>
      <c r="P150" s="83">
        <f t="shared" si="2"/>
        <v>0.62372066070277421</v>
      </c>
      <c r="Q150" s="83">
        <f t="shared" si="2"/>
        <v>0.63767917133544028</v>
      </c>
      <c r="R150" s="83">
        <f t="shared" si="2"/>
        <v>0.65070876672572697</v>
      </c>
      <c r="S150" s="83">
        <f t="shared" si="1"/>
        <v>0.66289918743663845</v>
      </c>
      <c r="T150" s="83">
        <f t="shared" si="1"/>
        <v>0.6743289751338627</v>
      </c>
      <c r="U150" s="83">
        <f t="shared" si="1"/>
        <v>0.68506716664930789</v>
      </c>
      <c r="V150" s="83">
        <f t="shared" si="1"/>
        <v>0.69517468956066675</v>
      </c>
      <c r="W150" s="83">
        <f t="shared" si="1"/>
        <v>0.70470551889293276</v>
      </c>
      <c r="X150" s="83">
        <f t="shared" si="1"/>
        <v>0.71370764132164199</v>
      </c>
      <c r="Y150" s="83">
        <f t="shared" si="1"/>
        <v>0.72222386324398458</v>
      </c>
      <c r="Z150" s="92">
        <f t="shared" si="1"/>
        <v>0.73029249143864305</v>
      </c>
      <c r="AA150" s="83">
        <f t="shared" si="1"/>
        <v>0.73794790915180331</v>
      </c>
      <c r="AB150" s="89">
        <f t="shared" si="1"/>
        <v>0.74522106588537707</v>
      </c>
      <c r="AC150" s="83"/>
    </row>
    <row r="151" spans="2:29" ht="15.75" x14ac:dyDescent="0.3">
      <c r="B151" s="171">
        <v>28</v>
      </c>
      <c r="C151" s="81">
        <f t="shared" si="2"/>
        <v>0.26629343173163444</v>
      </c>
      <c r="D151" s="81">
        <f t="shared" si="2"/>
        <v>0.31264472373910429</v>
      </c>
      <c r="E151" s="81">
        <f t="shared" si="2"/>
        <v>0.3536867635973488</v>
      </c>
      <c r="F151" s="81">
        <f t="shared" si="2"/>
        <v>0.39028234990765648</v>
      </c>
      <c r="G151" s="81">
        <f t="shared" si="2"/>
        <v>0.42311693837247433</v>
      </c>
      <c r="H151" s="81">
        <f t="shared" si="2"/>
        <v>0.45274197951131728</v>
      </c>
      <c r="I151" s="81">
        <f t="shared" si="2"/>
        <v>0.47960613991095802</v>
      </c>
      <c r="J151" s="81">
        <f t="shared" si="2"/>
        <v>0.50407818319408149</v>
      </c>
      <c r="K151" s="81">
        <f t="shared" si="2"/>
        <v>0.52646399922069131</v>
      </c>
      <c r="L151" s="62">
        <f t="shared" si="2"/>
        <v>0.54701945615069747</v>
      </c>
      <c r="M151" s="62">
        <f t="shared" si="2"/>
        <v>0.56596022380892042</v>
      </c>
      <c r="N151" s="62">
        <f t="shared" si="2"/>
        <v>0.58346936957791073</v>
      </c>
      <c r="O151" s="94">
        <f t="shared" si="2"/>
        <v>0.59970329462557803</v>
      </c>
      <c r="P151" s="83">
        <f t="shared" si="2"/>
        <v>0.61479641866940327</v>
      </c>
      <c r="Q151" s="83">
        <f t="shared" si="2"/>
        <v>0.62886491063207151</v>
      </c>
      <c r="R151" s="83">
        <f t="shared" si="2"/>
        <v>0.64200968444770379</v>
      </c>
      <c r="S151" s="83">
        <f t="shared" si="1"/>
        <v>0.65431882352320181</v>
      </c>
      <c r="T151" s="83">
        <f t="shared" si="1"/>
        <v>0.66586955706307649</v>
      </c>
      <c r="U151" s="83">
        <f t="shared" si="1"/>
        <v>0.67672988200856354</v>
      </c>
      <c r="V151" s="83">
        <f t="shared" si="1"/>
        <v>0.68695990257764028</v>
      </c>
      <c r="W151" s="83">
        <f t="shared" si="1"/>
        <v>0.69661294315218802</v>
      </c>
      <c r="X151" s="83">
        <f t="shared" si="1"/>
        <v>0.70573647802697348</v>
      </c>
      <c r="Y151" s="83">
        <f t="shared" si="1"/>
        <v>0.71437291224222288</v>
      </c>
      <c r="Z151" s="83">
        <f t="shared" si="1"/>
        <v>0.72256024060325807</v>
      </c>
      <c r="AA151" s="92">
        <f t="shared" si="1"/>
        <v>0.73033260649586407</v>
      </c>
      <c r="AB151" s="83">
        <f t="shared" si="1"/>
        <v>0.73772077783352041</v>
      </c>
      <c r="AC151" s="89">
        <f t="shared" si="1"/>
        <v>0.74475255412755037</v>
      </c>
    </row>
    <row r="152" spans="2:29" ht="15.75" x14ac:dyDescent="0.3">
      <c r="B152" s="171">
        <v>29</v>
      </c>
      <c r="C152" s="81">
        <f t="shared" si="2"/>
        <v>0.2594595275008767</v>
      </c>
      <c r="D152" s="81">
        <f t="shared" si="2"/>
        <v>0.30509696873730668</v>
      </c>
      <c r="E152" s="85">
        <f t="shared" si="2"/>
        <v>0.34562606203591201</v>
      </c>
      <c r="F152" s="85">
        <f t="shared" si="2"/>
        <v>0.38185904055829212</v>
      </c>
      <c r="G152" s="85">
        <f t="shared" si="2"/>
        <v>0.41444460982508913</v>
      </c>
      <c r="H152" s="85">
        <f t="shared" si="2"/>
        <v>0.44390712954831008</v>
      </c>
      <c r="I152" s="85">
        <f t="shared" si="2"/>
        <v>0.47067504490284806</v>
      </c>
      <c r="J152" s="85">
        <f t="shared" si="2"/>
        <v>0.49510185806369977</v>
      </c>
      <c r="K152" s="85">
        <f t="shared" si="2"/>
        <v>0.51748182781690943</v>
      </c>
      <c r="L152" s="62">
        <f t="shared" si="2"/>
        <v>0.53806188123158005</v>
      </c>
      <c r="M152" s="62">
        <f t="shared" si="2"/>
        <v>0.55705076243504703</v>
      </c>
      <c r="N152" s="94">
        <f t="shared" si="2"/>
        <v>0.57462613832260756</v>
      </c>
      <c r="O152" s="62">
        <f t="shared" si="2"/>
        <v>0.5909401743913576</v>
      </c>
      <c r="P152" s="83">
        <f t="shared" si="2"/>
        <v>0.60612395166978583</v>
      </c>
      <c r="Q152" s="83">
        <f t="shared" si="2"/>
        <v>0.6202909963511003</v>
      </c>
      <c r="R152" s="83">
        <f t="shared" si="2"/>
        <v>0.63354012334566956</v>
      </c>
      <c r="S152" s="83">
        <f t="shared" si="1"/>
        <v>0.6459577444554141</v>
      </c>
      <c r="T152" s="83">
        <f t="shared" si="1"/>
        <v>0.65761975519200511</v>
      </c>
      <c r="U152" s="83">
        <f t="shared" si="1"/>
        <v>0.66859308732732681</v>
      </c>
      <c r="V152" s="83">
        <f t="shared" si="1"/>
        <v>0.67893699428324061</v>
      </c>
      <c r="W152" s="83">
        <f t="shared" si="1"/>
        <v>0.68870412150004945</v>
      </c>
      <c r="X152" s="83">
        <f t="shared" si="1"/>
        <v>0.69794140260924931</v>
      </c>
      <c r="Y152" s="83">
        <f t="shared" si="1"/>
        <v>0.70669081361128505</v>
      </c>
      <c r="Z152" s="83">
        <f t="shared" si="1"/>
        <v>0.71499001063128531</v>
      </c>
      <c r="AA152" s="83">
        <f t="shared" si="1"/>
        <v>0.72287287169419423</v>
      </c>
      <c r="AB152" s="92">
        <f t="shared" si="1"/>
        <v>0.73036995895924617</v>
      </c>
      <c r="AC152" s="95">
        <f t="shared" si="1"/>
        <v>0.73750891471242197</v>
      </c>
    </row>
    <row r="153" spans="2:29" ht="15.75" x14ac:dyDescent="0.3">
      <c r="B153" s="171">
        <v>30</v>
      </c>
      <c r="C153" s="62">
        <f t="shared" si="2"/>
        <v>0.25296760476289487</v>
      </c>
      <c r="D153" s="62">
        <f t="shared" si="2"/>
        <v>0.29790505348409513</v>
      </c>
      <c r="E153" s="62">
        <f t="shared" si="2"/>
        <v>0.33792458847699364</v>
      </c>
      <c r="F153" s="62">
        <f t="shared" si="2"/>
        <v>0.3737916435906446</v>
      </c>
      <c r="G153" s="62">
        <f t="shared" si="2"/>
        <v>0.40612064233341183</v>
      </c>
      <c r="H153" s="62">
        <f t="shared" si="2"/>
        <v>0.43541048795662757</v>
      </c>
      <c r="I153" s="62">
        <f t="shared" si="2"/>
        <v>0.46207049392185651</v>
      </c>
      <c r="J153" s="62">
        <f t="shared" si="2"/>
        <v>0.48643962982376127</v>
      </c>
      <c r="K153" s="62">
        <f t="shared" si="2"/>
        <v>0.50880101034020053</v>
      </c>
      <c r="L153" s="62">
        <f t="shared" si="2"/>
        <v>0.52939294466961639</v>
      </c>
      <c r="M153" s="62">
        <f t="shared" si="2"/>
        <v>0.54841746278623416</v>
      </c>
      <c r="N153" s="94">
        <f t="shared" si="2"/>
        <v>0.56604696607575622</v>
      </c>
      <c r="O153" s="62">
        <f t="shared" si="2"/>
        <v>0.5824294666958213</v>
      </c>
      <c r="P153" s="83">
        <f t="shared" si="2"/>
        <v>0.5976927531138333</v>
      </c>
      <c r="Q153" s="83">
        <f t="shared" si="2"/>
        <v>0.61194773010480874</v>
      </c>
      <c r="R153" s="83">
        <f t="shared" si="2"/>
        <v>0.62529111798235215</v>
      </c>
      <c r="S153" s="83">
        <f t="shared" si="1"/>
        <v>0.63780765003618556</v>
      </c>
      <c r="T153" s="83">
        <f t="shared" si="1"/>
        <v>0.64957187373757752</v>
      </c>
      <c r="U153" s="83">
        <f t="shared" si="1"/>
        <v>0.66064963663533083</v>
      </c>
      <c r="V153" s="83">
        <f t="shared" si="1"/>
        <v>0.67109931951258683</v>
      </c>
      <c r="W153" s="83">
        <f t="shared" si="1"/>
        <v>0.68097286557561443</v>
      </c>
      <c r="X153" s="83">
        <f t="shared" si="1"/>
        <v>0.69031664397842707</v>
      </c>
      <c r="Y153" s="83">
        <f t="shared" si="1"/>
        <v>0.69917217798105136</v>
      </c>
      <c r="Z153" s="83">
        <f t="shared" si="1"/>
        <v>0.70757676186784457</v>
      </c>
      <c r="AA153" s="83">
        <f t="shared" si="1"/>
        <v>0.71556398595992821</v>
      </c>
      <c r="AB153" s="83">
        <f t="shared" si="1"/>
        <v>0.72316418530844073</v>
      </c>
      <c r="AC153" s="92">
        <f t="shared" si="1"/>
        <v>0.73040482470572632</v>
      </c>
    </row>
    <row r="154" spans="2:29" ht="15.75" x14ac:dyDescent="0.3">
      <c r="B154" s="171">
        <v>31</v>
      </c>
      <c r="C154" s="62">
        <f t="shared" si="2"/>
        <v>0.24679262002843269</v>
      </c>
      <c r="D154" s="62">
        <f t="shared" si="2"/>
        <v>0.29104439334536886</v>
      </c>
      <c r="E154" s="62">
        <f t="shared" si="2"/>
        <v>0.3305588526628217</v>
      </c>
      <c r="F154" s="62">
        <f t="shared" si="2"/>
        <v>0.36605806801888174</v>
      </c>
      <c r="G154" s="62">
        <f t="shared" si="2"/>
        <v>0.3981244590646883</v>
      </c>
      <c r="H154" s="62">
        <f t="shared" si="2"/>
        <v>0.42723299895801725</v>
      </c>
      <c r="I154" s="62">
        <f t="shared" si="2"/>
        <v>0.45377489954248257</v>
      </c>
      <c r="J154" s="62">
        <f t="shared" si="2"/>
        <v>0.47807529577723923</v>
      </c>
      <c r="K154" s="62">
        <f t="shared" si="2"/>
        <v>0.50040663125944373</v>
      </c>
      <c r="L154" s="62">
        <f t="shared" si="2"/>
        <v>0.52099891655864738</v>
      </c>
      <c r="M154" s="94">
        <f t="shared" si="2"/>
        <v>0.54004768077145759</v>
      </c>
      <c r="N154" s="62">
        <f t="shared" si="2"/>
        <v>0.55772019961159325</v>
      </c>
      <c r="O154" s="62">
        <f t="shared" si="2"/>
        <v>0.57416042065311867</v>
      </c>
      <c r="P154" s="83">
        <f t="shared" si="2"/>
        <v>0.58949289297905838</v>
      </c>
      <c r="Q154" s="83">
        <f t="shared" si="2"/>
        <v>0.60382592837548121</v>
      </c>
      <c r="R154" s="83">
        <f t="shared" si="2"/>
        <v>0.6172541638565523</v>
      </c>
      <c r="S154" s="83">
        <f t="shared" si="1"/>
        <v>0.6298606537457202</v>
      </c>
      <c r="T154" s="83">
        <f t="shared" si="1"/>
        <v>0.64171858908293089</v>
      </c>
      <c r="U154" s="83">
        <f t="shared" si="1"/>
        <v>0.65289271957559325</v>
      </c>
      <c r="V154" s="83">
        <f t="shared" si="1"/>
        <v>0.66344053644711254</v>
      </c>
      <c r="W154" s="83">
        <f t="shared" si="1"/>
        <v>0.67341326181046568</v>
      </c>
      <c r="X154" s="83">
        <f t="shared" si="1"/>
        <v>0.68285668050749782</v>
      </c>
      <c r="Y154" s="83">
        <f t="shared" si="1"/>
        <v>0.69181184292161058</v>
      </c>
      <c r="Z154" s="83">
        <f t="shared" si="1"/>
        <v>0.70031566152431746</v>
      </c>
      <c r="AA154" s="83">
        <f t="shared" si="1"/>
        <v>0.70840141944038681</v>
      </c>
      <c r="AB154" s="83">
        <f t="shared" si="1"/>
        <v>0.71609920580692998</v>
      </c>
      <c r="AC154" s="96">
        <f t="shared" si="1"/>
        <v>0.72343628993242959</v>
      </c>
    </row>
    <row r="155" spans="2:29" ht="15.75" x14ac:dyDescent="0.3">
      <c r="B155" s="171">
        <v>32</v>
      </c>
      <c r="C155" s="62">
        <f t="shared" si="2"/>
        <v>0.24091191680551055</v>
      </c>
      <c r="D155" s="62">
        <f t="shared" si="2"/>
        <v>0.28449261741136228</v>
      </c>
      <c r="E155" s="62">
        <f t="shared" si="2"/>
        <v>0.32350736871305147</v>
      </c>
      <c r="F155" s="62">
        <f t="shared" si="2"/>
        <v>0.35863801400805512</v>
      </c>
      <c r="G155" s="62">
        <f t="shared" si="2"/>
        <v>0.39043707245871345</v>
      </c>
      <c r="H155" s="62">
        <f t="shared" si="2"/>
        <v>0.41935701193780323</v>
      </c>
      <c r="I155" s="62">
        <f t="shared" si="2"/>
        <v>0.44577191505918196</v>
      </c>
      <c r="J155" s="62">
        <f t="shared" si="2"/>
        <v>0.46999374881065314</v>
      </c>
      <c r="K155" s="62">
        <f t="shared" si="2"/>
        <v>0.49228474339416489</v>
      </c>
      <c r="L155" s="62">
        <f t="shared" si="2"/>
        <v>0.5128669242034477</v>
      </c>
      <c r="M155" s="94">
        <f t="shared" si="2"/>
        <v>0.5319295325777823</v>
      </c>
      <c r="N155" s="62">
        <f t="shared" si="2"/>
        <v>0.54963486145732909</v>
      </c>
      <c r="O155" s="62">
        <f t="shared" si="2"/>
        <v>0.5661228873736337</v>
      </c>
      <c r="P155" s="83">
        <f t="shared" si="2"/>
        <v>0.58151497879562752</v>
      </c>
      <c r="Q155" s="83">
        <f t="shared" si="2"/>
        <v>0.59591688879602212</v>
      </c>
      <c r="R155" s="83">
        <f t="shared" si="2"/>
        <v>0.60942118815667379</v>
      </c>
      <c r="S155" s="83">
        <f t="shared" si="1"/>
        <v>0.6221092572868625</v>
      </c>
      <c r="T155" s="83">
        <f t="shared" si="1"/>
        <v>0.63405292754881637</v>
      </c>
      <c r="U155" s="83">
        <f t="shared" si="1"/>
        <v>0.645315841930308</v>
      </c>
      <c r="V155" s="83">
        <f t="shared" si="1"/>
        <v>0.65595458950048879</v>
      </c>
      <c r="W155" s="83">
        <f t="shared" si="1"/>
        <v>0.66601965634352589</v>
      </c>
      <c r="X155" s="83">
        <f t="shared" si="1"/>
        <v>0.67555622669737836</v>
      </c>
      <c r="Y155" s="83">
        <f t="shared" si="1"/>
        <v>0.68460486112245789</v>
      </c>
      <c r="Z155" s="83">
        <f t="shared" si="1"/>
        <v>0.69320207317193105</v>
      </c>
      <c r="AA155" s="83">
        <f t="shared" si="1"/>
        <v>0.701380821854935</v>
      </c>
      <c r="AB155" s="83">
        <f t="shared" si="1"/>
        <v>0.70917093389739772</v>
      </c>
      <c r="AC155" s="96">
        <f t="shared" si="1"/>
        <v>0.71659946720503853</v>
      </c>
    </row>
    <row r="156" spans="2:29" ht="15.75" x14ac:dyDescent="0.3">
      <c r="B156" s="171">
        <v>33</v>
      </c>
      <c r="C156" s="62">
        <f t="shared" si="2"/>
        <v>0.23530494782529426</v>
      </c>
      <c r="D156" s="62">
        <f t="shared" si="2"/>
        <v>0.27822932481363899</v>
      </c>
      <c r="E156" s="62">
        <f t="shared" si="2"/>
        <v>0.3167504458030454</v>
      </c>
      <c r="F156" s="62">
        <f t="shared" si="2"/>
        <v>0.3515127949461907</v>
      </c>
      <c r="G156" s="62">
        <f t="shared" si="2"/>
        <v>0.38304093369806475</v>
      </c>
      <c r="H156" s="62">
        <f t="shared" si="2"/>
        <v>0.41176615426927626</v>
      </c>
      <c r="I156" s="62">
        <f t="shared" si="2"/>
        <v>0.43804632697296109</v>
      </c>
      <c r="J156" s="62">
        <f t="shared" si="2"/>
        <v>0.46218088633281973</v>
      </c>
      <c r="K156" s="62">
        <f t="shared" si="2"/>
        <v>0.48442229058519209</v>
      </c>
      <c r="L156" s="94">
        <f t="shared" si="2"/>
        <v>0.50498488624913829</v>
      </c>
      <c r="M156" s="62">
        <f t="shared" si="2"/>
        <v>0.5240518383730719</v>
      </c>
      <c r="N156" s="62">
        <f t="shared" si="2"/>
        <v>0.5417806016107356</v>
      </c>
      <c r="O156" s="62">
        <f t="shared" si="2"/>
        <v>0.55830727840969274</v>
      </c>
      <c r="P156" s="83">
        <f t="shared" si="2"/>
        <v>0.57375011975716828</v>
      </c>
      <c r="Q156" s="83">
        <f t="shared" si="2"/>
        <v>0.58821235904629732</v>
      </c>
      <c r="R156" s="83">
        <f t="shared" si="2"/>
        <v>0.60178452271318095</v>
      </c>
      <c r="S156" s="83">
        <f t="shared" si="1"/>
        <v>0.61454632698714684</v>
      </c>
      <c r="T156" s="83">
        <f t="shared" si="1"/>
        <v>0.62656824473939288</v>
      </c>
      <c r="U156" s="83">
        <f t="shared" si="1"/>
        <v>0.63791280748717205</v>
      </c>
      <c r="V156" s="83">
        <f t="shared" si="1"/>
        <v>0.64863569335026294</v>
      </c>
      <c r="W156" s="83">
        <f t="shared" si="1"/>
        <v>0.65878664091886741</v>
      </c>
      <c r="X156" s="83">
        <f t="shared" si="1"/>
        <v>0.66841022068815403</v>
      </c>
      <c r="Y156" s="83">
        <f t="shared" si="1"/>
        <v>0.67754648930294092</v>
      </c>
      <c r="Z156" s="83">
        <f t="shared" si="1"/>
        <v>0.68623154686922949</v>
      </c>
      <c r="AA156" s="83">
        <f t="shared" si="1"/>
        <v>0.69449801368407715</v>
      </c>
      <c r="AB156" s="83">
        <f t="shared" si="1"/>
        <v>0.70237543965712912</v>
      </c>
      <c r="AC156" s="96">
        <f t="shared" si="1"/>
        <v>0.70989065725586831</v>
      </c>
    </row>
    <row r="157" spans="2:29" ht="15.75" x14ac:dyDescent="0.3">
      <c r="B157" s="171">
        <v>34</v>
      </c>
      <c r="C157" s="62">
        <f t="shared" si="2"/>
        <v>0.22995303517510238</v>
      </c>
      <c r="D157" s="62">
        <f t="shared" si="2"/>
        <v>0.27223587253774084</v>
      </c>
      <c r="E157" s="62">
        <f t="shared" si="2"/>
        <v>0.310270004537406</v>
      </c>
      <c r="F157" s="62">
        <f t="shared" si="2"/>
        <v>0.34466518031303534</v>
      </c>
      <c r="G157" s="62">
        <f t="shared" si="2"/>
        <v>0.37591979896937772</v>
      </c>
      <c r="H157" s="62">
        <f t="shared" si="2"/>
        <v>0.40444521770468617</v>
      </c>
      <c r="I157" s="62">
        <f t="shared" si="2"/>
        <v>0.43058395846728481</v>
      </c>
      <c r="J157" s="62">
        <f t="shared" si="2"/>
        <v>0.45462352814754081</v>
      </c>
      <c r="K157" s="62">
        <f t="shared" si="2"/>
        <v>0.47680703765914417</v>
      </c>
      <c r="L157" s="94">
        <f t="shared" si="2"/>
        <v>0.49734145279268804</v>
      </c>
      <c r="M157" s="62">
        <f t="shared" si="2"/>
        <v>0.51640407093815621</v>
      </c>
      <c r="N157" s="62">
        <f t="shared" si="2"/>
        <v>0.53414765333913228</v>
      </c>
      <c r="O157" s="62">
        <f t="shared" si="2"/>
        <v>0.55070452759646682</v>
      </c>
      <c r="P157" s="83">
        <f t="shared" si="2"/>
        <v>0.56618989366901928</v>
      </c>
      <c r="Q157" s="83">
        <f t="shared" si="2"/>
        <v>0.58070450813148655</v>
      </c>
      <c r="R157" s="83">
        <f t="shared" si="2"/>
        <v>0.59433687895948795</v>
      </c>
      <c r="S157" s="83">
        <f t="shared" si="1"/>
        <v>0.60716507190144253</v>
      </c>
      <c r="T157" s="83">
        <f t="shared" si="1"/>
        <v>0.61925820633383044</v>
      </c>
      <c r="U157" s="83">
        <f t="shared" si="1"/>
        <v>0.63067770113972965</v>
      </c>
      <c r="V157" s="83">
        <f t="shared" si="1"/>
        <v>0.64147831802671462</v>
      </c>
      <c r="W157" s="83">
        <f t="shared" si="1"/>
        <v>0.65170903969255423</v>
      </c>
      <c r="X157" s="83">
        <f t="shared" si="1"/>
        <v>0.6614138125546577</v>
      </c>
      <c r="Y157" s="83">
        <f t="shared" si="1"/>
        <v>0.67063217780171103</v>
      </c>
      <c r="Z157" s="83">
        <f t="shared" si="1"/>
        <v>0.67939980987925774</v>
      </c>
      <c r="AA157" s="83">
        <f t="shared" si="1"/>
        <v>0.68774897787229172</v>
      </c>
      <c r="AB157" s="83">
        <f t="shared" si="1"/>
        <v>0.69570894236463543</v>
      </c>
      <c r="AC157" s="96">
        <f t="shared" si="1"/>
        <v>0.70330629806263611</v>
      </c>
    </row>
    <row r="158" spans="2:29" ht="15.75" x14ac:dyDescent="0.3">
      <c r="B158" s="171">
        <v>35</v>
      </c>
      <c r="C158" s="62">
        <f t="shared" si="2"/>
        <v>0.22483916243749552</v>
      </c>
      <c r="D158" s="62">
        <f t="shared" si="2"/>
        <v>0.26649519008241307</v>
      </c>
      <c r="E158" s="62">
        <f t="shared" si="2"/>
        <v>0.30404941541262021</v>
      </c>
      <c r="F158" s="62">
        <f t="shared" si="2"/>
        <v>0.33807925656375437</v>
      </c>
      <c r="G158" s="62">
        <f t="shared" si="2"/>
        <v>0.36905861037040333</v>
      </c>
      <c r="H158" s="62">
        <f t="shared" si="2"/>
        <v>0.39738005667389315</v>
      </c>
      <c r="I158" s="62">
        <f t="shared" si="2"/>
        <v>0.42337158258478141</v>
      </c>
      <c r="J158" s="62">
        <f t="shared" si="2"/>
        <v>0.44730934225409513</v>
      </c>
      <c r="K158" s="94">
        <f t="shared" si="2"/>
        <v>0.46942750689654678</v>
      </c>
      <c r="L158" s="94">
        <f t="shared" si="2"/>
        <v>0.4899259508521428</v>
      </c>
      <c r="M158" s="94">
        <f t="shared" si="2"/>
        <v>0.50897630873213151</v>
      </c>
      <c r="N158" s="94">
        <f t="shared" si="2"/>
        <v>0.5267267926628546</v>
      </c>
      <c r="O158" s="94">
        <f t="shared" si="2"/>
        <v>0.54330605596877612</v>
      </c>
      <c r="P158" s="93">
        <f t="shared" si="2"/>
        <v>0.55882631647560399</v>
      </c>
      <c r="Q158" s="93">
        <f t="shared" si="2"/>
        <v>0.57338589983230792</v>
      </c>
      <c r="R158" s="93">
        <f t="shared" si="2"/>
        <v>0.58707132472941137</v>
      </c>
      <c r="S158" s="93">
        <f t="shared" si="1"/>
        <v>0.59995902347391084</v>
      </c>
      <c r="T158" s="93">
        <f t="shared" si="1"/>
        <v>0.61211677020700705</v>
      </c>
      <c r="U158" s="93">
        <f t="shared" si="1"/>
        <v>0.62360487312485635</v>
      </c>
      <c r="V158" s="93">
        <f t="shared" si="1"/>
        <v>0.63447717497816025</v>
      </c>
      <c r="W158" s="93">
        <f t="shared" si="1"/>
        <v>0.64478189688087917</v>
      </c>
      <c r="X158" s="93">
        <f t="shared" si="1"/>
        <v>0.65456235332951263</v>
      </c>
      <c r="Y158" s="93">
        <f t="shared" si="1"/>
        <v>0.66385756079717062</v>
      </c>
      <c r="Z158" s="93">
        <f t="shared" si="1"/>
        <v>0.67270275793576606</v>
      </c>
      <c r="AA158" s="93">
        <f t="shared" si="1"/>
        <v>0.68112985200999265</v>
      </c>
      <c r="AB158" s="93">
        <f t="shared" si="1"/>
        <v>0.68916780348561435</v>
      </c>
      <c r="AC158" s="96">
        <f t="shared" si="1"/>
        <v>0.69684295854207967</v>
      </c>
    </row>
    <row r="159" spans="2:29" ht="15.75" x14ac:dyDescent="0.3">
      <c r="B159" s="172">
        <v>36</v>
      </c>
      <c r="C159" s="97">
        <f t="shared" si="2"/>
        <v>0.21994779396140848</v>
      </c>
      <c r="D159" s="97">
        <f t="shared" si="2"/>
        <v>0.26099161708441865</v>
      </c>
      <c r="E159" s="97">
        <f t="shared" si="2"/>
        <v>0.29807335632970167</v>
      </c>
      <c r="F159" s="97">
        <f t="shared" si="2"/>
        <v>0.33174030366313234</v>
      </c>
      <c r="G159" s="97">
        <f t="shared" si="2"/>
        <v>0.36244338962521266</v>
      </c>
      <c r="H159" s="97">
        <f t="shared" si="2"/>
        <v>0.39055749705959142</v>
      </c>
      <c r="I159" s="97">
        <f t="shared" si="2"/>
        <v>0.41639684398605181</v>
      </c>
      <c r="J159" s="97">
        <f t="shared" si="2"/>
        <v>0.44022677769685037</v>
      </c>
      <c r="K159" s="97">
        <f t="shared" si="2"/>
        <v>0.46227292030971884</v>
      </c>
      <c r="L159" s="97">
        <f t="shared" si="2"/>
        <v>0.48272833464259979</v>
      </c>
      <c r="M159" s="97">
        <f t="shared" si="2"/>
        <v>0.50175919295077376</v>
      </c>
      <c r="N159" s="97">
        <f t="shared" si="2"/>
        <v>0.51950930116979788</v>
      </c>
      <c r="O159" s="97">
        <f t="shared" si="2"/>
        <v>0.53610373946837153</v>
      </c>
      <c r="P159" s="98">
        <f t="shared" si="2"/>
        <v>0.55165181413514675</v>
      </c>
      <c r="Q159" s="98">
        <f t="shared" si="2"/>
        <v>0.56624946813789279</v>
      </c>
      <c r="R159" s="98">
        <f t="shared" si="2"/>
        <v>0.57998126273592809</v>
      </c>
      <c r="S159" s="98">
        <f t="shared" si="1"/>
        <v>0.59292201663125099</v>
      </c>
      <c r="T159" s="98">
        <f t="shared" si="1"/>
        <v>0.60513816977323498</v>
      </c>
      <c r="U159" s="98">
        <f t="shared" si="1"/>
        <v>0.61668892430910915</v>
      </c>
      <c r="V159" s="98">
        <f t="shared" si="1"/>
        <v>0.62762720403891248</v>
      </c>
      <c r="W159" s="98">
        <f t="shared" si="1"/>
        <v>0.63800046518805253</v>
      </c>
      <c r="X159" s="98">
        <f t="shared" si="1"/>
        <v>0.64785138470142878</v>
      </c>
      <c r="Y159" s="98">
        <f t="shared" si="1"/>
        <v>0.65721844711474076</v>
      </c>
      <c r="Z159" s="98">
        <f t="shared" si="1"/>
        <v>0.66613644702092378</v>
      </c>
      <c r="AA159" s="98">
        <f t="shared" si="1"/>
        <v>0.67463692096264927</v>
      </c>
      <c r="AB159" s="98">
        <f t="shared" si="1"/>
        <v>0.68274852005090714</v>
      </c>
      <c r="AC159" s="99">
        <f t="shared" si="1"/>
        <v>0.69049733258813983</v>
      </c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0"/>
  </sheetPr>
  <dimension ref="A1:BN1151"/>
  <sheetViews>
    <sheetView tabSelected="1" zoomScale="55" zoomScaleNormal="55" workbookViewId="0">
      <selection activeCell="AF136" sqref="AF136:AK136"/>
    </sheetView>
  </sheetViews>
  <sheetFormatPr baseColWidth="10" defaultColWidth="11.42578125" defaultRowHeight="15" x14ac:dyDescent="0.25"/>
  <cols>
    <col min="1" max="1" width="6.5703125" style="150" bestFit="1" customWidth="1"/>
    <col min="2" max="2" width="11.7109375" style="10" bestFit="1" customWidth="1"/>
    <col min="4" max="4" width="13.5703125" style="61" customWidth="1"/>
    <col min="5" max="5" width="13.5703125" style="216" customWidth="1"/>
    <col min="6" max="6" width="4.7109375" style="10" customWidth="1"/>
    <col min="7" max="7" width="11.42578125" style="10" bestFit="1" customWidth="1"/>
    <col min="8" max="8" width="7.7109375" style="10" customWidth="1"/>
    <col min="9" max="9" width="4.7109375" style="10" customWidth="1"/>
    <col min="10" max="10" width="11.7109375" style="10" customWidth="1"/>
    <col min="11" max="37" width="7.5703125" style="10" customWidth="1"/>
    <col min="38" max="38" width="4.7109375" style="10" customWidth="1"/>
    <col min="39" max="16384" width="11.42578125" style="10"/>
  </cols>
  <sheetData>
    <row r="1" spans="1:34" ht="15.75" thickBot="1" x14ac:dyDescent="0.3">
      <c r="A1" s="147" t="s">
        <v>0</v>
      </c>
      <c r="B1" s="148" t="s">
        <v>1</v>
      </c>
      <c r="C1" t="s">
        <v>1808</v>
      </c>
      <c r="D1" s="214" t="s">
        <v>1809</v>
      </c>
      <c r="E1" s="215" t="s">
        <v>1810</v>
      </c>
      <c r="V1" s="198" t="s">
        <v>1798</v>
      </c>
      <c r="W1" s="199" t="s">
        <v>1800</v>
      </c>
      <c r="X1" s="198" t="s">
        <v>1795</v>
      </c>
      <c r="Y1" s="198" t="s">
        <v>1796</v>
      </c>
      <c r="Z1" s="198" t="s">
        <v>1797</v>
      </c>
      <c r="AA1" s="200" t="s">
        <v>1799</v>
      </c>
      <c r="AC1" s="196"/>
      <c r="AE1" s="208" t="s">
        <v>1804</v>
      </c>
      <c r="AF1" s="209"/>
      <c r="AG1" s="210"/>
      <c r="AH1" s="207"/>
    </row>
    <row r="2" spans="1:34" ht="18" thickBot="1" x14ac:dyDescent="0.3">
      <c r="A2" s="229" t="s">
        <v>1816</v>
      </c>
      <c r="B2" s="230" t="s">
        <v>1812</v>
      </c>
      <c r="C2" s="226"/>
      <c r="D2" s="234"/>
      <c r="E2" s="232" t="e">
        <f t="shared" ref="E2:E5" si="0">D2/C2</f>
        <v>#DIV/0!</v>
      </c>
      <c r="K2" s="152" t="s">
        <v>328</v>
      </c>
      <c r="L2" s="248"/>
      <c r="M2" s="249"/>
      <c r="O2" s="250" t="s">
        <v>1558</v>
      </c>
      <c r="P2" s="251"/>
      <c r="Q2" s="252"/>
      <c r="R2" s="253">
        <f>SUM(K43:AK71)</f>
        <v>60367.554930174985</v>
      </c>
      <c r="S2" s="254"/>
      <c r="V2" s="194">
        <f>SUM(K43:P48)</f>
        <v>12256.253525730077</v>
      </c>
      <c r="W2" s="195">
        <f>SUM(Q43:X48)</f>
        <v>19502.141673511469</v>
      </c>
      <c r="X2" s="194">
        <f>SUM(K49:Z52)</f>
        <v>7254.8991878914112</v>
      </c>
      <c r="Y2" s="194">
        <f>SUM(K53:T71)</f>
        <v>12358.374313650529</v>
      </c>
      <c r="Z2" s="194">
        <f>SUM(U53:AK71)</f>
        <v>8995.8862293914917</v>
      </c>
      <c r="AA2" s="197">
        <f>SUM(V2:Z2)</f>
        <v>60367.554930174978</v>
      </c>
      <c r="AC2" s="196"/>
      <c r="AE2" s="208" t="s">
        <v>1805</v>
      </c>
      <c r="AF2" s="209"/>
      <c r="AG2" s="210"/>
      <c r="AH2" s="207"/>
    </row>
    <row r="3" spans="1:34" ht="15" customHeight="1" thickBot="1" x14ac:dyDescent="0.3">
      <c r="A3" s="231" t="s">
        <v>1816</v>
      </c>
      <c r="B3" s="164" t="s">
        <v>1813</v>
      </c>
      <c r="C3" s="227"/>
      <c r="D3" s="234"/>
      <c r="E3" s="232" t="e">
        <f>D3/C3</f>
        <v>#DIV/0!</v>
      </c>
      <c r="V3" s="201" t="s">
        <v>1801</v>
      </c>
      <c r="W3" s="201"/>
      <c r="X3" s="203">
        <v>5</v>
      </c>
      <c r="Y3" s="202" t="s">
        <v>1802</v>
      </c>
      <c r="Z3" s="202"/>
      <c r="AA3" s="206" t="s">
        <v>1803</v>
      </c>
      <c r="AE3" s="211" t="s">
        <v>1806</v>
      </c>
      <c r="AF3" s="212"/>
      <c r="AG3" s="212"/>
      <c r="AH3" s="213"/>
    </row>
    <row r="4" spans="1:34" x14ac:dyDescent="0.25">
      <c r="A4" s="231" t="s">
        <v>1817</v>
      </c>
      <c r="B4" s="164" t="s">
        <v>1814</v>
      </c>
      <c r="C4" s="227"/>
      <c r="D4" s="234"/>
      <c r="E4" s="232" t="e">
        <f t="shared" si="0"/>
        <v>#DIV/0!</v>
      </c>
    </row>
    <row r="5" spans="1:34" x14ac:dyDescent="0.25">
      <c r="A5" s="167" t="s">
        <v>1817</v>
      </c>
      <c r="B5" s="165" t="s">
        <v>1815</v>
      </c>
      <c r="C5" s="228"/>
      <c r="D5" s="234"/>
      <c r="E5" s="232" t="e">
        <f t="shared" si="0"/>
        <v>#DIV/0!</v>
      </c>
      <c r="G5" s="148" t="s">
        <v>1794</v>
      </c>
      <c r="H5" s="149" t="s">
        <v>329</v>
      </c>
    </row>
    <row r="6" spans="1:34" x14ac:dyDescent="0.25">
      <c r="A6" s="150">
        <v>1</v>
      </c>
      <c r="B6" s="10" t="s">
        <v>663</v>
      </c>
      <c r="C6" s="236">
        <v>0</v>
      </c>
      <c r="D6" s="233"/>
      <c r="E6" s="232" t="e">
        <f>D6/C6</f>
        <v>#DIV/0!</v>
      </c>
      <c r="G6" s="10" t="s">
        <v>488</v>
      </c>
      <c r="H6" s="151">
        <f>IF(ISNUMBER(K43),K43/SUM($K$43:$AK$71),0)</f>
        <v>0</v>
      </c>
    </row>
    <row r="7" spans="1:34" x14ac:dyDescent="0.25">
      <c r="A7" s="150">
        <v>2</v>
      </c>
      <c r="B7" s="10" t="s">
        <v>664</v>
      </c>
      <c r="C7" s="236">
        <v>0</v>
      </c>
      <c r="D7" s="233"/>
      <c r="E7" s="232">
        <v>0.1</v>
      </c>
      <c r="G7" s="10" t="s">
        <v>489</v>
      </c>
      <c r="H7" s="151">
        <f>IF(ISNUMBER(L43),L43/SUM($K$43:$AK$71),0)</f>
        <v>0</v>
      </c>
    </row>
    <row r="8" spans="1:34" x14ac:dyDescent="0.25">
      <c r="A8" s="150">
        <v>3</v>
      </c>
      <c r="B8" s="10" t="s">
        <v>665</v>
      </c>
      <c r="C8" s="236">
        <v>3812.1071418914948</v>
      </c>
      <c r="D8" s="233"/>
      <c r="E8" s="232">
        <v>0.1</v>
      </c>
      <c r="G8" s="10" t="s">
        <v>490</v>
      </c>
      <c r="H8" s="151">
        <f>IF(ISNUMBER(M43),M43/SUM($K$43:$AK$71),0)</f>
        <v>0</v>
      </c>
    </row>
    <row r="9" spans="1:34" x14ac:dyDescent="0.25">
      <c r="A9" s="150">
        <v>4</v>
      </c>
      <c r="B9" s="10" t="s">
        <v>666</v>
      </c>
      <c r="C9" s="236">
        <v>462.09120986741624</v>
      </c>
      <c r="D9" s="233"/>
      <c r="E9" s="232">
        <v>0</v>
      </c>
      <c r="G9" s="10" t="s">
        <v>491</v>
      </c>
      <c r="H9" s="151">
        <f>IF(ISNUMBER(N43),N43/SUM($K$43:$AK$71),0)</f>
        <v>0</v>
      </c>
    </row>
    <row r="10" spans="1:34" x14ac:dyDescent="0.25">
      <c r="A10" s="150">
        <v>5</v>
      </c>
      <c r="B10" s="10" t="s">
        <v>667</v>
      </c>
      <c r="C10" s="236">
        <v>3719.6472828750975</v>
      </c>
      <c r="D10" s="233"/>
      <c r="E10" s="232">
        <v>10.1</v>
      </c>
      <c r="G10" s="10" t="s">
        <v>492</v>
      </c>
      <c r="H10" s="151">
        <f>IF(ISNUMBER(O43),O43/SUM($K$43:$AK$71),0)</f>
        <v>0</v>
      </c>
    </row>
    <row r="11" spans="1:34" x14ac:dyDescent="0.25">
      <c r="A11" s="150">
        <v>6</v>
      </c>
      <c r="B11" s="10" t="s">
        <v>668</v>
      </c>
      <c r="C11" s="236">
        <v>10227.276105758574</v>
      </c>
      <c r="D11" s="233"/>
      <c r="E11" s="232">
        <v>0.2</v>
      </c>
      <c r="G11" s="10" t="s">
        <v>1559</v>
      </c>
      <c r="H11" s="151">
        <f>IF(ISNUMBER(P43),P43/SUM($K$43:$AK$71),0)</f>
        <v>3.6094149081641012E-7</v>
      </c>
    </row>
    <row r="12" spans="1:34" x14ac:dyDescent="0.25">
      <c r="A12" s="150">
        <v>7</v>
      </c>
      <c r="B12" s="10" t="s">
        <v>669</v>
      </c>
      <c r="C12" s="236">
        <v>749.97082478334755</v>
      </c>
      <c r="D12" s="233"/>
      <c r="E12" s="232">
        <v>0.2</v>
      </c>
      <c r="G12" s="10" t="s">
        <v>1560</v>
      </c>
      <c r="H12" s="151">
        <f>IF(ISNUMBER(Q43),Q43/SUM($K$43:$AK$71),0)</f>
        <v>0</v>
      </c>
    </row>
    <row r="13" spans="1:34" x14ac:dyDescent="0.25">
      <c r="A13" s="150">
        <v>8</v>
      </c>
      <c r="B13" s="10" t="s">
        <v>670</v>
      </c>
      <c r="C13" s="236">
        <v>9095.0131301653</v>
      </c>
      <c r="D13" s="233"/>
      <c r="E13" s="232">
        <v>0.2</v>
      </c>
      <c r="G13" s="10" t="s">
        <v>493</v>
      </c>
      <c r="H13" s="151">
        <f>IF(ISNUMBER(K44),K44/SUM($K$43:$AK$71),0)</f>
        <v>0</v>
      </c>
    </row>
    <row r="14" spans="1:34" x14ac:dyDescent="0.25">
      <c r="A14" s="150">
        <v>9</v>
      </c>
      <c r="B14" s="10" t="s">
        <v>671</v>
      </c>
      <c r="C14" s="236">
        <v>3051.7511391295739</v>
      </c>
      <c r="D14" s="233"/>
      <c r="E14" s="232">
        <v>0.2</v>
      </c>
      <c r="G14" s="10" t="s">
        <v>341</v>
      </c>
      <c r="H14" s="151">
        <f>IF(ISNUMBER(L44),L44/SUM($K$43:$AK$71),0)</f>
        <v>0</v>
      </c>
    </row>
    <row r="15" spans="1:34" x14ac:dyDescent="0.25">
      <c r="A15" s="150">
        <v>10</v>
      </c>
      <c r="B15" s="10" t="s">
        <v>672</v>
      </c>
      <c r="C15" s="236">
        <v>6219.8821378403509</v>
      </c>
      <c r="D15" s="233"/>
      <c r="E15" s="232">
        <f t="shared" ref="E15:E70" si="1">D15/C15</f>
        <v>0</v>
      </c>
      <c r="G15" s="10" t="s">
        <v>342</v>
      </c>
      <c r="H15" s="151">
        <f>IF(ISNUMBER(M44),M44/SUM($K$43:$AK$71),0)</f>
        <v>0</v>
      </c>
    </row>
    <row r="16" spans="1:34" x14ac:dyDescent="0.25">
      <c r="A16" s="150">
        <v>11</v>
      </c>
      <c r="B16" s="10" t="s">
        <v>1089</v>
      </c>
      <c r="C16" s="236">
        <v>5719.234448593229</v>
      </c>
      <c r="D16" s="233"/>
      <c r="E16" s="232">
        <f t="shared" si="1"/>
        <v>0</v>
      </c>
      <c r="G16" s="10" t="s">
        <v>343</v>
      </c>
      <c r="H16" s="151">
        <f>IF(ISNUMBER(N44),N44/SUM($K$43:$AK$71),0)</f>
        <v>4.9941259842968626E-7</v>
      </c>
    </row>
    <row r="17" spans="1:8" x14ac:dyDescent="0.25">
      <c r="A17" s="150">
        <v>12</v>
      </c>
      <c r="B17" s="10" t="s">
        <v>1090</v>
      </c>
      <c r="C17" s="236">
        <v>5027.7539969178843</v>
      </c>
      <c r="D17" s="233"/>
      <c r="E17" s="232">
        <f t="shared" si="1"/>
        <v>0</v>
      </c>
      <c r="G17" s="10" t="s">
        <v>344</v>
      </c>
      <c r="H17" s="151">
        <f>IF(ISNUMBER(O44),O44/SUM($K$43:$AK$71),0)</f>
        <v>4.286477088522457E-6</v>
      </c>
    </row>
    <row r="18" spans="1:8" x14ac:dyDescent="0.25">
      <c r="A18" s="150">
        <v>13</v>
      </c>
      <c r="B18" s="10" t="s">
        <v>1091</v>
      </c>
      <c r="C18" s="236">
        <v>17734.019692361591</v>
      </c>
      <c r="D18" s="233"/>
      <c r="E18" s="232">
        <f t="shared" si="1"/>
        <v>0</v>
      </c>
      <c r="G18" s="10" t="s">
        <v>345</v>
      </c>
      <c r="H18" s="151">
        <f>IF(ISNUMBER(P44),P44/SUM($K$43:$AK$71),0)</f>
        <v>0</v>
      </c>
    </row>
    <row r="19" spans="1:8" x14ac:dyDescent="0.25">
      <c r="A19" s="150">
        <v>14</v>
      </c>
      <c r="B19" s="10" t="s">
        <v>1092</v>
      </c>
      <c r="C19" s="236">
        <v>5661.5330552904625</v>
      </c>
      <c r="D19" s="233"/>
      <c r="E19" s="232">
        <f t="shared" si="1"/>
        <v>0</v>
      </c>
      <c r="G19" s="10" t="s">
        <v>1561</v>
      </c>
      <c r="H19" s="151">
        <f>IF(ISNUMBER(Q44),Q44/SUM($K$43:$AK$71),0)</f>
        <v>0</v>
      </c>
    </row>
    <row r="20" spans="1:8" x14ac:dyDescent="0.25">
      <c r="A20" s="150">
        <v>15</v>
      </c>
      <c r="B20" s="10" t="s">
        <v>673</v>
      </c>
      <c r="C20" s="236">
        <v>633.34450811194074</v>
      </c>
      <c r="D20" s="233"/>
      <c r="E20" s="232">
        <f t="shared" si="1"/>
        <v>0</v>
      </c>
      <c r="G20" s="10" t="s">
        <v>1562</v>
      </c>
      <c r="H20" s="151">
        <f>IF(ISNUMBER(R44),R44/SUM($K$43:$AK$71),0)</f>
        <v>0</v>
      </c>
    </row>
    <row r="21" spans="1:8" x14ac:dyDescent="0.25">
      <c r="A21" s="150">
        <v>16</v>
      </c>
      <c r="B21" s="10" t="s">
        <v>674</v>
      </c>
      <c r="C21" s="236">
        <v>15477.554568519536</v>
      </c>
      <c r="D21" s="233"/>
      <c r="E21" s="232">
        <f t="shared" si="1"/>
        <v>0</v>
      </c>
      <c r="G21" s="10" t="s">
        <v>494</v>
      </c>
      <c r="H21" s="151">
        <f>IF(ISNUMBER(K45),K45/SUM($K$43:$AK$71),0)</f>
        <v>0</v>
      </c>
    </row>
    <row r="22" spans="1:8" x14ac:dyDescent="0.25">
      <c r="A22" s="150">
        <v>17</v>
      </c>
      <c r="B22" s="10" t="s">
        <v>25</v>
      </c>
      <c r="C22" s="236">
        <v>6769.2985243838002</v>
      </c>
      <c r="D22" s="233"/>
      <c r="E22" s="232">
        <f t="shared" si="1"/>
        <v>0</v>
      </c>
      <c r="G22" s="10" t="s">
        <v>346</v>
      </c>
      <c r="H22" s="151">
        <f>IF(ISNUMBER(L45),L45/SUM($K$43:$AK$71),0)</f>
        <v>3.9038696382784111E-4</v>
      </c>
    </row>
    <row r="23" spans="1:8" x14ac:dyDescent="0.25">
      <c r="A23" s="150">
        <v>18</v>
      </c>
      <c r="B23" s="10" t="s">
        <v>26</v>
      </c>
      <c r="C23" s="236">
        <v>118.466126495361</v>
      </c>
      <c r="D23" s="233"/>
      <c r="E23" s="232">
        <f t="shared" si="1"/>
        <v>0</v>
      </c>
      <c r="G23" s="10" t="s">
        <v>347</v>
      </c>
      <c r="H23" s="151">
        <f>IF(ISNUMBER(M45),M45/SUM($K$43:$AK$71),0)</f>
        <v>2.113321392249414E-3</v>
      </c>
    </row>
    <row r="24" spans="1:8" x14ac:dyDescent="0.25">
      <c r="A24" s="150">
        <v>19</v>
      </c>
      <c r="B24" s="10" t="s">
        <v>27</v>
      </c>
      <c r="C24" s="236">
        <v>2813.8592456359452</v>
      </c>
      <c r="D24" s="233"/>
      <c r="E24" s="232">
        <f t="shared" si="1"/>
        <v>0</v>
      </c>
      <c r="G24" s="10" t="s">
        <v>348</v>
      </c>
      <c r="H24" s="151">
        <f>IF(ISNUMBER(N45),N45/SUM($K$43:$AK$71),0)</f>
        <v>1.7829721625133778E-3</v>
      </c>
    </row>
    <row r="25" spans="1:8" x14ac:dyDescent="0.25">
      <c r="A25" s="150">
        <v>20</v>
      </c>
      <c r="B25" s="10" t="s">
        <v>28</v>
      </c>
      <c r="C25" s="236">
        <v>1177.5532203597456</v>
      </c>
      <c r="D25" s="233"/>
      <c r="E25" s="232">
        <f t="shared" si="1"/>
        <v>0</v>
      </c>
      <c r="G25" s="10" t="s">
        <v>349</v>
      </c>
      <c r="H25" s="151">
        <f>IF(ISNUMBER(O45),O45/SUM($K$43:$AK$71),0)</f>
        <v>2.3331082775359859E-3</v>
      </c>
    </row>
    <row r="26" spans="1:8" x14ac:dyDescent="0.25">
      <c r="A26" s="150">
        <v>21</v>
      </c>
      <c r="B26" s="10" t="s">
        <v>29</v>
      </c>
      <c r="C26" s="236">
        <v>8500.8025954207806</v>
      </c>
      <c r="D26" s="233"/>
      <c r="E26" s="232">
        <v>0.3</v>
      </c>
      <c r="G26" s="10" t="s">
        <v>350</v>
      </c>
      <c r="H26" s="151">
        <f>IF(ISNUMBER(P45),P45/SUM($K$43:$AK$71),0)</f>
        <v>6.0137778410416353E-3</v>
      </c>
    </row>
    <row r="27" spans="1:8" x14ac:dyDescent="0.25">
      <c r="A27" s="150">
        <v>22</v>
      </c>
      <c r="B27" s="10" t="s">
        <v>30</v>
      </c>
      <c r="C27" s="236">
        <v>7266.7481118773649</v>
      </c>
      <c r="D27" s="233"/>
      <c r="E27" s="232">
        <v>0.3</v>
      </c>
      <c r="G27" s="10" t="s">
        <v>351</v>
      </c>
      <c r="H27" s="151">
        <f>IF(ISNUMBER(Q45),Q45/SUM($K$43:$AK$71),0)</f>
        <v>5.8140589324470826E-3</v>
      </c>
    </row>
    <row r="28" spans="1:8" x14ac:dyDescent="0.25">
      <c r="A28" s="150">
        <v>23</v>
      </c>
      <c r="B28" s="10" t="s">
        <v>31</v>
      </c>
      <c r="C28" s="236">
        <v>70999.646580290995</v>
      </c>
      <c r="D28" s="233"/>
      <c r="E28" s="232">
        <v>0.3</v>
      </c>
      <c r="G28" s="10" t="s">
        <v>1563</v>
      </c>
      <c r="H28" s="151">
        <f>IF(ISNUMBER(R45),R45/SUM($K$43:$AK$71),0)</f>
        <v>1.8891958703861967E-3</v>
      </c>
    </row>
    <row r="29" spans="1:8" x14ac:dyDescent="0.25">
      <c r="A29" s="150">
        <v>24</v>
      </c>
      <c r="B29" s="10" t="s">
        <v>32</v>
      </c>
      <c r="C29" s="236">
        <v>46894.675184204243</v>
      </c>
      <c r="D29" s="233"/>
      <c r="E29" s="232">
        <v>0.3</v>
      </c>
      <c r="G29" s="10" t="s">
        <v>1564</v>
      </c>
      <c r="H29" s="151">
        <f>IF(ISNUMBER(S45),S45/SUM($K$43:$AK$71),0)</f>
        <v>7.1330519392651429E-5</v>
      </c>
    </row>
    <row r="30" spans="1:8" x14ac:dyDescent="0.25">
      <c r="A30" s="150">
        <v>25</v>
      </c>
      <c r="B30" s="10" t="s">
        <v>33</v>
      </c>
      <c r="C30" s="236">
        <v>129414.13989120448</v>
      </c>
      <c r="D30" s="233"/>
      <c r="E30" s="232">
        <v>0.3</v>
      </c>
      <c r="G30" s="10" t="s">
        <v>495</v>
      </c>
      <c r="H30" s="151">
        <f>IF(ISNUMBER(K46),K46/SUM($K$43:$AK$71),0)</f>
        <v>0</v>
      </c>
    </row>
    <row r="31" spans="1:8" x14ac:dyDescent="0.25">
      <c r="A31" s="150">
        <v>26</v>
      </c>
      <c r="B31" s="10" t="s">
        <v>34</v>
      </c>
      <c r="C31" s="236">
        <v>42945.577358821873</v>
      </c>
      <c r="D31" s="233"/>
      <c r="E31" s="232">
        <f t="shared" si="1"/>
        <v>0</v>
      </c>
      <c r="G31" s="10" t="s">
        <v>352</v>
      </c>
      <c r="H31" s="151">
        <f>IF(ISNUMBER(L46),L46/SUM($K$43:$AK$71),0)</f>
        <v>1.9199703865176319E-3</v>
      </c>
    </row>
    <row r="32" spans="1:8" x14ac:dyDescent="0.25">
      <c r="A32" s="150">
        <v>27</v>
      </c>
      <c r="B32" s="10" t="s">
        <v>1093</v>
      </c>
      <c r="C32" s="236">
        <v>3413.6347756576715</v>
      </c>
      <c r="D32" s="233"/>
      <c r="E32" s="232">
        <f t="shared" si="1"/>
        <v>0</v>
      </c>
      <c r="G32" s="10" t="s">
        <v>353</v>
      </c>
      <c r="H32" s="151">
        <f>IF(ISNUMBER(M46),M46/SUM($K$43:$AK$71),0)</f>
        <v>1.3246597323930059E-2</v>
      </c>
    </row>
    <row r="33" spans="1:66" x14ac:dyDescent="0.25">
      <c r="A33" s="150">
        <v>28</v>
      </c>
      <c r="B33" s="10" t="s">
        <v>1094</v>
      </c>
      <c r="C33" s="236">
        <v>7141.4139834863263</v>
      </c>
      <c r="D33" s="233"/>
      <c r="E33" s="232">
        <f t="shared" si="1"/>
        <v>0</v>
      </c>
      <c r="G33" s="10" t="s">
        <v>354</v>
      </c>
      <c r="H33" s="151">
        <f>IF(ISNUMBER(N46),N46/SUM($K$43:$AK$71),0)</f>
        <v>1.6828648715831729E-2</v>
      </c>
    </row>
    <row r="34" spans="1:66" x14ac:dyDescent="0.25">
      <c r="A34" s="150">
        <v>29</v>
      </c>
      <c r="B34" s="10" t="s">
        <v>1095</v>
      </c>
      <c r="C34" s="236">
        <v>3242.6160589638466</v>
      </c>
      <c r="D34" s="233"/>
      <c r="E34" s="232">
        <f t="shared" si="1"/>
        <v>0</v>
      </c>
      <c r="G34" s="10" t="s">
        <v>355</v>
      </c>
      <c r="H34" s="151">
        <f>IF(ISNUMBER(O46),O46/SUM($K$43:$AK$71),0)</f>
        <v>9.0959553935886211E-3</v>
      </c>
    </row>
    <row r="35" spans="1:66" x14ac:dyDescent="0.25">
      <c r="A35" s="150">
        <v>30</v>
      </c>
      <c r="B35" s="10" t="s">
        <v>1096</v>
      </c>
      <c r="C35" s="236">
        <v>10438.97932755277</v>
      </c>
      <c r="D35" s="233"/>
      <c r="E35" s="232">
        <f t="shared" si="1"/>
        <v>0</v>
      </c>
      <c r="G35" s="10" t="s">
        <v>356</v>
      </c>
      <c r="H35" s="151">
        <f>IF(ISNUMBER(P46),P46/SUM($K$43:$AK$71),0)</f>
        <v>1.2442150123435374E-2</v>
      </c>
    </row>
    <row r="36" spans="1:66" x14ac:dyDescent="0.25">
      <c r="A36" s="150">
        <v>31</v>
      </c>
      <c r="B36" s="10" t="s">
        <v>675</v>
      </c>
      <c r="C36" s="236">
        <v>807.93653257185247</v>
      </c>
      <c r="D36" s="233"/>
      <c r="E36" s="232">
        <f t="shared" si="1"/>
        <v>0</v>
      </c>
      <c r="G36" s="10" t="s">
        <v>357</v>
      </c>
      <c r="H36" s="151">
        <f>IF(ISNUMBER(Q46),Q46/SUM($K$43:$AK$71),0)</f>
        <v>2.453595139228848E-2</v>
      </c>
    </row>
    <row r="37" spans="1:66" x14ac:dyDescent="0.25">
      <c r="A37" s="150">
        <v>32</v>
      </c>
      <c r="B37" s="10" t="s">
        <v>676</v>
      </c>
      <c r="C37" s="236">
        <v>53735.819668392622</v>
      </c>
      <c r="D37" s="233"/>
      <c r="E37" s="232">
        <f t="shared" si="1"/>
        <v>0</v>
      </c>
      <c r="G37" s="10" t="s">
        <v>358</v>
      </c>
      <c r="H37" s="151">
        <f>IF(ISNUMBER(R46),R46/SUM($K$43:$AK$71),0)</f>
        <v>1.9635493348644555E-2</v>
      </c>
    </row>
    <row r="38" spans="1:66" x14ac:dyDescent="0.25">
      <c r="A38" s="150">
        <v>33</v>
      </c>
      <c r="B38" s="10" t="s">
        <v>35</v>
      </c>
      <c r="C38" s="236">
        <v>7644618.3674593875</v>
      </c>
      <c r="D38" s="233"/>
      <c r="E38" s="232">
        <f t="shared" si="1"/>
        <v>0</v>
      </c>
      <c r="G38" s="10" t="s">
        <v>1565</v>
      </c>
      <c r="H38" s="151">
        <f>IF(ISNUMBER(S46),S46/SUM($K$43:$AK$71),0)</f>
        <v>5.8286260087069414E-3</v>
      </c>
    </row>
    <row r="39" spans="1:66" x14ac:dyDescent="0.25">
      <c r="A39" s="150">
        <v>34</v>
      </c>
      <c r="B39" s="10" t="s">
        <v>36</v>
      </c>
      <c r="C39" s="236">
        <v>6215602.3271513004</v>
      </c>
      <c r="D39" s="233"/>
      <c r="E39" s="232">
        <f t="shared" si="1"/>
        <v>0</v>
      </c>
      <c r="G39" s="10" t="s">
        <v>1566</v>
      </c>
      <c r="H39" s="151">
        <f>IF(ISNUMBER(T46),T46/SUM($K$43:$AK$71),0)</f>
        <v>5.0119252906699499E-4</v>
      </c>
    </row>
    <row r="40" spans="1:66" x14ac:dyDescent="0.25">
      <c r="A40" s="150">
        <v>35</v>
      </c>
      <c r="B40" s="10" t="s">
        <v>37</v>
      </c>
      <c r="C40" s="236">
        <v>36545209.677670926</v>
      </c>
      <c r="D40" s="233"/>
      <c r="E40" s="232">
        <f t="shared" si="1"/>
        <v>0</v>
      </c>
      <c r="G40" s="10" t="s">
        <v>496</v>
      </c>
      <c r="H40" s="151">
        <f>IF(ISNUMBER(K47),K47/SUM($K$43:$AK$71),0)</f>
        <v>0</v>
      </c>
    </row>
    <row r="41" spans="1:66" x14ac:dyDescent="0.25">
      <c r="A41" s="150">
        <v>36</v>
      </c>
      <c r="B41" s="10" t="s">
        <v>38</v>
      </c>
      <c r="C41" s="236">
        <v>35352772.69431065</v>
      </c>
      <c r="D41" s="233"/>
      <c r="E41" s="232">
        <f t="shared" si="1"/>
        <v>0</v>
      </c>
      <c r="G41" s="10" t="s">
        <v>359</v>
      </c>
      <c r="H41" s="151">
        <f>IF(ISNUMBER(L47),L47/SUM($K$43:$AK$71),0)</f>
        <v>2.0115735921625668E-3</v>
      </c>
      <c r="J41" s="246" t="s">
        <v>1557</v>
      </c>
      <c r="K41" s="153"/>
      <c r="L41" s="153"/>
      <c r="AM41" s="255" t="s">
        <v>1807</v>
      </c>
      <c r="AN41" s="153"/>
      <c r="AO41" s="153"/>
    </row>
    <row r="42" spans="1:66" ht="15.75" x14ac:dyDescent="0.3">
      <c r="A42" s="150">
        <v>37</v>
      </c>
      <c r="B42" s="10" t="s">
        <v>39</v>
      </c>
      <c r="C42" s="236">
        <v>30016765.360475302</v>
      </c>
      <c r="D42" s="233"/>
      <c r="E42" s="232">
        <f t="shared" si="1"/>
        <v>0</v>
      </c>
      <c r="G42" s="10" t="s">
        <v>360</v>
      </c>
      <c r="H42" s="151">
        <f>IF(ISNUMBER(M47),M47/SUM($K$43:$AK$71),0)</f>
        <v>1.8997610282621358E-2</v>
      </c>
      <c r="J42" s="247"/>
      <c r="K42" s="173" t="s">
        <v>1012</v>
      </c>
      <c r="L42" s="174" t="s">
        <v>322</v>
      </c>
      <c r="M42" s="174" t="s">
        <v>323</v>
      </c>
      <c r="N42" s="174" t="s">
        <v>324</v>
      </c>
      <c r="O42" s="175" t="s">
        <v>325</v>
      </c>
      <c r="P42" s="174" t="s">
        <v>326</v>
      </c>
      <c r="Q42" s="174" t="s">
        <v>2</v>
      </c>
      <c r="R42" s="174" t="s">
        <v>3</v>
      </c>
      <c r="S42" s="174" t="s">
        <v>4</v>
      </c>
      <c r="T42" s="174" t="s">
        <v>5</v>
      </c>
      <c r="U42" s="174" t="s">
        <v>6</v>
      </c>
      <c r="V42" s="174" t="s">
        <v>7</v>
      </c>
      <c r="W42" s="174" t="s">
        <v>8</v>
      </c>
      <c r="X42" s="174" t="s">
        <v>1016</v>
      </c>
      <c r="Y42" s="174" t="s">
        <v>1017</v>
      </c>
      <c r="Z42" s="174" t="s">
        <v>1018</v>
      </c>
      <c r="AA42" s="174" t="s">
        <v>1074</v>
      </c>
      <c r="AB42" s="174" t="s">
        <v>1075</v>
      </c>
      <c r="AC42" s="174" t="s">
        <v>1076</v>
      </c>
      <c r="AD42" s="174" t="s">
        <v>1077</v>
      </c>
      <c r="AE42" s="174" t="s">
        <v>1078</v>
      </c>
      <c r="AF42" s="174" t="s">
        <v>1079</v>
      </c>
      <c r="AG42" s="174" t="s">
        <v>1080</v>
      </c>
      <c r="AH42" s="174" t="s">
        <v>1081</v>
      </c>
      <c r="AI42" s="174" t="s">
        <v>1082</v>
      </c>
      <c r="AJ42" s="174" t="s">
        <v>1083</v>
      </c>
      <c r="AK42" s="176" t="s">
        <v>1084</v>
      </c>
      <c r="AM42" s="247"/>
      <c r="AN42" s="173" t="s">
        <v>1012</v>
      </c>
      <c r="AO42" s="174" t="s">
        <v>322</v>
      </c>
      <c r="AP42" s="174" t="s">
        <v>323</v>
      </c>
      <c r="AQ42" s="174" t="s">
        <v>324</v>
      </c>
      <c r="AR42" s="175" t="s">
        <v>325</v>
      </c>
      <c r="AS42" s="174" t="s">
        <v>326</v>
      </c>
      <c r="AT42" s="174" t="s">
        <v>2</v>
      </c>
      <c r="AU42" s="174" t="s">
        <v>3</v>
      </c>
      <c r="AV42" s="174" t="s">
        <v>4</v>
      </c>
      <c r="AW42" s="174" t="s">
        <v>5</v>
      </c>
      <c r="AX42" s="174" t="s">
        <v>6</v>
      </c>
      <c r="AY42" s="174" t="s">
        <v>7</v>
      </c>
      <c r="AZ42" s="174" t="s">
        <v>8</v>
      </c>
      <c r="BA42" s="174" t="s">
        <v>1016</v>
      </c>
      <c r="BB42" s="174" t="s">
        <v>1017</v>
      </c>
      <c r="BC42" s="174" t="s">
        <v>1018</v>
      </c>
      <c r="BD42" s="174" t="s">
        <v>1074</v>
      </c>
      <c r="BE42" s="174" t="s">
        <v>1075</v>
      </c>
      <c r="BF42" s="174" t="s">
        <v>1076</v>
      </c>
      <c r="BG42" s="174" t="s">
        <v>1077</v>
      </c>
      <c r="BH42" s="174" t="s">
        <v>1078</v>
      </c>
      <c r="BI42" s="174" t="s">
        <v>1079</v>
      </c>
      <c r="BJ42" s="174" t="s">
        <v>1080</v>
      </c>
      <c r="BK42" s="174" t="s">
        <v>1081</v>
      </c>
      <c r="BL42" s="174" t="s">
        <v>1082</v>
      </c>
      <c r="BM42" s="174" t="s">
        <v>1083</v>
      </c>
      <c r="BN42" s="176" t="s">
        <v>1084</v>
      </c>
    </row>
    <row r="43" spans="1:66" ht="15.75" x14ac:dyDescent="0.3">
      <c r="A43" s="150">
        <v>38</v>
      </c>
      <c r="B43" s="10" t="s">
        <v>40</v>
      </c>
      <c r="C43" s="236">
        <v>26957613.032143101</v>
      </c>
      <c r="D43" s="233"/>
      <c r="E43" s="232">
        <f t="shared" si="1"/>
        <v>0</v>
      </c>
      <c r="G43" s="10" t="s">
        <v>361</v>
      </c>
      <c r="H43" s="151">
        <f>IF(ISNUMBER(N47),N47/SUM($K$43:$AK$71),0)</f>
        <v>3.8665387213974181E-2</v>
      </c>
      <c r="J43" s="158" t="s">
        <v>1011</v>
      </c>
      <c r="K43" s="177" t="str">
        <f>IF(AND(ISNUMBER(K74),K74&gt;0.8*'Ratio_M+Cl'!C67,K74&lt;1.2*'Ratio_M+Cl'!C67),K106/'Ratio_M+Cl'!C99,IF(OR(K106="N/A",K138="N/A"),"N/A",""))</f>
        <v/>
      </c>
      <c r="L43" s="177" t="str">
        <f>IF(AND(ISNUMBER(L74),L74&gt;0.8*'Ratio_M+Cl'!D67,L74&lt;1.2*'Ratio_M+Cl'!D67),L106/'Ratio_M+Cl'!D99,IF(OR(L106="N/A",L138="N/A"),"N/A",""))</f>
        <v/>
      </c>
      <c r="M43" s="177" t="str">
        <f>IF(AND(ISNUMBER(M74),M74&gt;0.8*'Ratio_M+Cl'!E67,M74&lt;1.2*'Ratio_M+Cl'!E67),M106/'Ratio_M+Cl'!E99,IF(OR(M106="N/A",M138="N/A"),"N/A",""))</f>
        <v/>
      </c>
      <c r="N43" s="177" t="str">
        <f>IF(AND(ISNUMBER(N74),N74&gt;0.8*'Ratio_M+Cl'!F67,N74&lt;1.2*'Ratio_M+Cl'!F67),N106/'Ratio_M+Cl'!F99,IF(OR(N106="N/A",N138="N/A"),"N/A",""))</f>
        <v/>
      </c>
      <c r="O43" s="178" t="str">
        <f>IF(AND(ISNUMBER(O74),O74&gt;0.8*'Ratio_M+Cl'!G67,O74&lt;1.2*'Ratio_M+Cl'!G67),O106/'Ratio_M+Cl'!G99,IF(OR(O106="N/A",O138="N/A"),"N/A",""))</f>
        <v/>
      </c>
      <c r="P43" s="177">
        <f>IF(AND(ISNUMBER(P74),P74&gt;0.8*'Ratio_M+Cl'!H67,P74&lt;1.2*'Ratio_M+Cl'!H67),P106/'Ratio_M+Cl'!H99,IF(OR(P106="N/A",P138="N/A"),"N/A",""))</f>
        <v>2.1789155273438887E-2</v>
      </c>
      <c r="Q43" s="179" t="str">
        <f>IF(AND(ISNUMBER(Q74),Q74&gt;0.8*'Ratio_M+Cl'!I67,Q74&lt;1.2*'Ratio_M+Cl'!I67),Q106/'Ratio_M+Cl'!I99,IF(OR(Q106="N/A",Q138="N/A"),"N/A",""))</f>
        <v/>
      </c>
      <c r="R43" s="177" t="str">
        <f>IF(AND(ISNUMBER(R74),R74&gt;0.8*'Ratio_M+Cl'!J67,R74&lt;1.2*'Ratio_M+Cl'!J67),R106/'Ratio_M+Cl'!J99,IF(OR(R106="N/A",R138="N/A"),"N/A",""))</f>
        <v/>
      </c>
      <c r="S43" s="177" t="str">
        <f>IF(AND(ISNUMBER(S74),S74&gt;0.8*'Ratio_M+Cl'!K67,S74&lt;1.2*'Ratio_M+Cl'!K67),S106/'Ratio_M+Cl'!K99,IF(OR(S106="N/A",S138="N/A"),"N/A",""))</f>
        <v/>
      </c>
      <c r="T43" s="177" t="str">
        <f>IF(AND(ISNUMBER(T74),T74&gt;0.8*'Ratio_M+Cl'!L67,T74&lt;1.2*'Ratio_M+Cl'!L67),T106/'Ratio_M+Cl'!L99,IF(OR(T106="N/A",T138="N/A"),"N/A",""))</f>
        <v/>
      </c>
      <c r="U43" s="177" t="str">
        <f>IF(AND(ISNUMBER(U74),U74&gt;0.8*'Ratio_M+Cl'!M67,U74&lt;1.2*'Ratio_M+Cl'!M67),U106/'Ratio_M+Cl'!M99,IF(OR(U106="N/A",U138="N/A"),"N/A",""))</f>
        <v/>
      </c>
      <c r="V43" s="177" t="str">
        <f>IF(AND(ISNUMBER(V74),V74&gt;0.8*'Ratio_M+Cl'!N67,V74&lt;1.2*'Ratio_M+Cl'!N67),V106/'Ratio_M+Cl'!N99,IF(OR(V106="N/A",V138="N/A"),"N/A",""))</f>
        <v/>
      </c>
      <c r="W43" s="180" t="str">
        <f>IF(AND(ISNUMBER(W74),W74&gt;0.8*'Ratio_M+Cl'!O67,W74&lt;1.2*'Ratio_M+Cl'!O67),W106/'Ratio_M+Cl'!O99,IF(OR(W106="N/A",W138="N/A"),"N/A",""))</f>
        <v/>
      </c>
      <c r="X43" s="177" t="str">
        <f>IF(AND(ISNUMBER(X74),X74&gt;0.8*'Ratio_M+Cl'!P67,X74&lt;1.2*'Ratio_M+Cl'!P67),X106/'Ratio_M+Cl'!P99,IF(OR(X106="N/A",X138="N/A"),"N/A",""))</f>
        <v/>
      </c>
      <c r="Y43" s="177" t="str">
        <f>IF(AND(ISNUMBER(Y74),Y74&gt;0.8*'Ratio_M+Cl'!Q67,Y74&lt;1.2*'Ratio_M+Cl'!Q67),Y106/'Ratio_M+Cl'!Q99,IF(OR(Y106="N/A",Y138="N/A"),"N/A",""))</f>
        <v/>
      </c>
      <c r="Z43" s="177" t="str">
        <f>IF(AND(ISNUMBER(Z74),Z74&gt;0.8*'Ratio_M+Cl'!R67,Z74&lt;1.2*'Ratio_M+Cl'!R67),Z106/'Ratio_M+Cl'!R99,IF(OR(Z106="N/A",Z138="N/A"),"N/A",""))</f>
        <v/>
      </c>
      <c r="AA43" s="177" t="str">
        <f>IF(AND(ISNUMBER(AA74),AA74&gt;0.8*'Ratio_M+Cl'!S67,AA74&lt;1.2*'Ratio_M+Cl'!S67),AA106/'Ratio_M+Cl'!S99,IF(OR(AA106="N/A",AA138="N/A"),"N/A",""))</f>
        <v/>
      </c>
      <c r="AB43" s="177" t="str">
        <f>IF(AND(ISNUMBER(AB74),AB74&gt;0.8*'Ratio_M+Cl'!T67,AB74&lt;1.2*'Ratio_M+Cl'!T67),AB106/'Ratio_M+Cl'!T99,IF(OR(AB106="N/A",AB138="N/A"),"N/A",""))</f>
        <v/>
      </c>
      <c r="AC43" s="177" t="str">
        <f>IF(AND(ISNUMBER(AC74),AC74&gt;0.8*'Ratio_M+Cl'!U67,AC74&lt;1.2*'Ratio_M+Cl'!U67),AC106/'Ratio_M+Cl'!U99,IF(OR(AC106="N/A",AC138="N/A"),"N/A",""))</f>
        <v/>
      </c>
      <c r="AD43" s="177" t="str">
        <f>IF(AND(ISNUMBER(AD74),AD74&gt;0.8*'Ratio_M+Cl'!V67,AD74&lt;1.2*'Ratio_M+Cl'!V67),AD106/'Ratio_M+Cl'!V99,IF(OR(AD106="N/A",AD138="N/A"),"N/A",""))</f>
        <v/>
      </c>
      <c r="AE43" s="177" t="str">
        <f>IF(AND(ISNUMBER(AE74),AE74&gt;0.8*'Ratio_M+Cl'!W67,AE74&lt;1.2*'Ratio_M+Cl'!W67),AE106/'Ratio_M+Cl'!W99,IF(OR(AE106="N/A",AE138="N/A"),"N/A",""))</f>
        <v/>
      </c>
      <c r="AF43" s="180" t="str">
        <f>IF(AND(ISNUMBER(AF74),AF74&gt;0.8*'Ratio_M+Cl'!X67,AF74&lt;1.2*'Ratio_M+Cl'!X67),AF106/'Ratio_M+Cl'!X99,IF(OR(AF106="N/A",AF138="N/A"),"N/A",""))</f>
        <v/>
      </c>
      <c r="AG43" s="177" t="str">
        <f>IF(AND(ISNUMBER(AG74),AG74&gt;0.8*'Ratio_M+Cl'!Y67,AG74&lt;1.2*'Ratio_M+Cl'!Y67),AG106/'Ratio_M+Cl'!Y99,IF(OR(AG106="N/A",AG138="N/A"),"N/A",""))</f>
        <v/>
      </c>
      <c r="AH43" s="177" t="str">
        <f>IF(AND(ISNUMBER(AH74),AH74&gt;0.8*'Ratio_M+Cl'!Z67,AH74&lt;1.2*'Ratio_M+Cl'!Z67),AH106/'Ratio_M+Cl'!Z99,IF(OR(AH106="N/A",AH138="N/A"),"N/A",""))</f>
        <v/>
      </c>
      <c r="AI43" s="177" t="str">
        <f>IF(AND(ISNUMBER(AI74),AI74&gt;0.8*'Ratio_M+Cl'!AA67,AI74&lt;1.2*'Ratio_M+Cl'!AA67),AI106/'Ratio_M+Cl'!AA99,IF(OR(AI106="N/A",AI138="N/A"),"N/A",""))</f>
        <v/>
      </c>
      <c r="AJ43" s="177" t="str">
        <f>IF(AND(ISNUMBER(AJ74),AJ74&gt;0.8*'Ratio_M+Cl'!AB67,AJ74&lt;1.2*'Ratio_M+Cl'!AB67),AJ106/'Ratio_M+Cl'!AB99,IF(OR(AJ106="N/A",AJ138="N/A"),"N/A",""))</f>
        <v/>
      </c>
      <c r="AK43" s="180" t="str">
        <f>IF(AND(ISNUMBER(AK74),AK74&gt;0.8*'Ratio_M+Cl'!AC67,AK74&lt;1.2*'Ratio_M+Cl'!AC67),AK106/'Ratio_M+Cl'!AC99,IF(OR(AK106="N/A",AK138="N/A"),"N/A",""))</f>
        <v/>
      </c>
      <c r="AM43" s="158" t="s">
        <v>1011</v>
      </c>
      <c r="AN43" s="225" t="str">
        <f>IF(ISNUMBER(K43),AN106,"")</f>
        <v/>
      </c>
      <c r="AO43" s="225" t="str">
        <f t="shared" ref="AO43:BN52" si="2">IF(ISNUMBER(L43),AO106,"")</f>
        <v/>
      </c>
      <c r="AP43" s="225" t="str">
        <f t="shared" si="2"/>
        <v/>
      </c>
      <c r="AQ43" s="225" t="str">
        <f t="shared" si="2"/>
        <v/>
      </c>
      <c r="AR43" s="225" t="str">
        <f t="shared" si="2"/>
        <v/>
      </c>
      <c r="AS43" s="225">
        <f t="shared" si="2"/>
        <v>0</v>
      </c>
      <c r="AT43" s="225" t="str">
        <f t="shared" si="2"/>
        <v/>
      </c>
      <c r="AU43" s="225" t="str">
        <f t="shared" si="2"/>
        <v/>
      </c>
      <c r="AV43" s="225" t="str">
        <f t="shared" si="2"/>
        <v/>
      </c>
      <c r="AW43" s="225" t="str">
        <f t="shared" si="2"/>
        <v/>
      </c>
      <c r="AX43" s="225" t="str">
        <f t="shared" si="2"/>
        <v/>
      </c>
      <c r="AY43" s="225" t="str">
        <f t="shared" si="2"/>
        <v/>
      </c>
      <c r="AZ43" s="225" t="str">
        <f t="shared" si="2"/>
        <v/>
      </c>
      <c r="BA43" s="225" t="str">
        <f t="shared" si="2"/>
        <v/>
      </c>
      <c r="BB43" s="225" t="str">
        <f t="shared" si="2"/>
        <v/>
      </c>
      <c r="BC43" s="225" t="str">
        <f t="shared" si="2"/>
        <v/>
      </c>
      <c r="BD43" s="225" t="str">
        <f t="shared" si="2"/>
        <v/>
      </c>
      <c r="BE43" s="225" t="str">
        <f t="shared" si="2"/>
        <v/>
      </c>
      <c r="BF43" s="225" t="str">
        <f t="shared" si="2"/>
        <v/>
      </c>
      <c r="BG43" s="225" t="str">
        <f t="shared" si="2"/>
        <v/>
      </c>
      <c r="BH43" s="225" t="str">
        <f t="shared" si="2"/>
        <v/>
      </c>
      <c r="BI43" s="225" t="str">
        <f t="shared" si="2"/>
        <v/>
      </c>
      <c r="BJ43" s="225" t="str">
        <f t="shared" si="2"/>
        <v/>
      </c>
      <c r="BK43" s="225" t="str">
        <f t="shared" si="2"/>
        <v/>
      </c>
      <c r="BL43" s="225" t="str">
        <f t="shared" si="2"/>
        <v/>
      </c>
      <c r="BM43" s="225" t="str">
        <f t="shared" si="2"/>
        <v/>
      </c>
      <c r="BN43" s="225" t="str">
        <f t="shared" si="2"/>
        <v/>
      </c>
    </row>
    <row r="44" spans="1:66" ht="15.75" x14ac:dyDescent="0.3">
      <c r="A44" s="150">
        <v>39</v>
      </c>
      <c r="B44" s="10" t="s">
        <v>41</v>
      </c>
      <c r="C44" s="236">
        <v>38222789.301618345</v>
      </c>
      <c r="D44" s="233"/>
      <c r="E44" s="232">
        <f t="shared" si="1"/>
        <v>0</v>
      </c>
      <c r="G44" s="10" t="s">
        <v>362</v>
      </c>
      <c r="H44" s="151">
        <f>IF(ISNUMBER(O47),O47/SUM($K$43:$AK$71),0)</f>
        <v>2.9071821248219318E-2</v>
      </c>
      <c r="J44" s="159" t="s">
        <v>321</v>
      </c>
      <c r="K44" s="181" t="str">
        <f>IF(AND(ISNUMBER(K75),K75&gt;0.8*'Ratio_M+Cl'!C68,K75&lt;1.2*'Ratio_M+Cl'!C68),K107/'Ratio_M+Cl'!C100,IF(OR(K107="N/A",K139="N/A"),"N/A",""))</f>
        <v/>
      </c>
      <c r="L44" s="181" t="str">
        <f>IF(AND(ISNUMBER(L75),L75&gt;0.8*'Ratio_M+Cl'!D68,L75&lt;1.2*'Ratio_M+Cl'!D68),L107/'Ratio_M+Cl'!D100,IF(OR(L107="N/A",L139="N/A"),"N/A",""))</f>
        <v/>
      </c>
      <c r="M44" s="181" t="str">
        <f>IF(AND(ISNUMBER(M75),M75&gt;0.8*'Ratio_M+Cl'!E68,M75&lt;1.2*'Ratio_M+Cl'!E68),M107/'Ratio_M+Cl'!E100,IF(OR(M107="N/A",M139="N/A"),"N/A",""))</f>
        <v/>
      </c>
      <c r="N44" s="181">
        <f>IF(AND(ISNUMBER(N75),N75&gt;0.8*'Ratio_M+Cl'!F68,N75&lt;1.2*'Ratio_M+Cl'!F68),N107/'Ratio_M+Cl'!F100,IF(OR(N107="N/A",N139="N/A"),"N/A",""))</f>
        <v>3.0148317468525507E-2</v>
      </c>
      <c r="O44" s="181">
        <f>IF(AND(ISNUMBER(O75),O75&gt;0.8*'Ratio_M+Cl'!G68,O75&lt;1.2*'Ratio_M+Cl'!G68),O107/'Ratio_M+Cl'!G100,IF(OR(O107="N/A",O139="N/A"),"N/A",""))</f>
        <v>0.25876414109831597</v>
      </c>
      <c r="P44" s="182" t="str">
        <f>IF(AND(ISNUMBER(P75),P75&gt;0.8*'Ratio_M+Cl'!H68,P75&lt;1.2*'Ratio_M+Cl'!H68),P107/'Ratio_M+Cl'!H100,IF(OR(P107="N/A",P139="N/A"),"N/A",""))</f>
        <v/>
      </c>
      <c r="Q44" s="183" t="str">
        <f>IF(AND(ISNUMBER(Q75),Q75&gt;0.8*'Ratio_M+Cl'!I68,Q75&lt;1.2*'Ratio_M+Cl'!I68),Q107/'Ratio_M+Cl'!I100,IF(OR(Q107="N/A",Q139="N/A"),"N/A",""))</f>
        <v/>
      </c>
      <c r="R44" s="184" t="str">
        <f>IF(AND(ISNUMBER(R75),R75&gt;0.8*'Ratio_M+Cl'!J68,R75&lt;1.2*'Ratio_M+Cl'!J68),R107/'Ratio_M+Cl'!J100,IF(OR(R107="N/A",R139="N/A"),"N/A",""))</f>
        <v/>
      </c>
      <c r="S44" s="183" t="str">
        <f>IF(AND(ISNUMBER(S75),S75&gt;0.8*'Ratio_M+Cl'!K68,S75&lt;1.2*'Ratio_M+Cl'!K68),S107/'Ratio_M+Cl'!K100,IF(OR(S107="N/A",S139="N/A"),"N/A",""))</f>
        <v/>
      </c>
      <c r="T44" s="183" t="str">
        <f>IF(AND(ISNUMBER(T75),T75&gt;0.8*'Ratio_M+Cl'!L68,T75&lt;1.2*'Ratio_M+Cl'!L68),T107/'Ratio_M+Cl'!L100,IF(OR(T107="N/A",T139="N/A"),"N/A",""))</f>
        <v/>
      </c>
      <c r="U44" s="183" t="str">
        <f>IF(AND(ISNUMBER(U75),U75&gt;0.8*'Ratio_M+Cl'!M68,U75&lt;1.2*'Ratio_M+Cl'!M68),U107/'Ratio_M+Cl'!M100,IF(OR(U107="N/A",U139="N/A"),"N/A",""))</f>
        <v/>
      </c>
      <c r="V44" s="183" t="str">
        <f>IF(AND(ISNUMBER(V75),V75&gt;0.8*'Ratio_M+Cl'!N68,V75&lt;1.2*'Ratio_M+Cl'!N68),V107/'Ratio_M+Cl'!N100,IF(OR(V107="N/A",V139="N/A"),"N/A",""))</f>
        <v/>
      </c>
      <c r="W44" s="183" t="str">
        <f>IF(AND(ISNUMBER(W75),W75&gt;0.8*'Ratio_M+Cl'!O68,W75&lt;1.2*'Ratio_M+Cl'!O68),W107/'Ratio_M+Cl'!O100,IF(OR(W107="N/A",W139="N/A"),"N/A",""))</f>
        <v/>
      </c>
      <c r="X44" s="183" t="str">
        <f>IF(AND(ISNUMBER(X75),X75&gt;0.8*'Ratio_M+Cl'!P68,X75&lt;1.2*'Ratio_M+Cl'!P68),X107/'Ratio_M+Cl'!P100,IF(OR(X107="N/A",X139="N/A"),"N/A",""))</f>
        <v/>
      </c>
      <c r="Y44" s="183" t="str">
        <f>IF(AND(ISNUMBER(Y75),Y75&gt;0.8*'Ratio_M+Cl'!Q68,Y75&lt;1.2*'Ratio_M+Cl'!Q68),Y107/'Ratio_M+Cl'!Q100,IF(OR(Y107="N/A",Y139="N/A"),"N/A",""))</f>
        <v/>
      </c>
      <c r="Z44" s="183" t="str">
        <f>IF(AND(ISNUMBER(Z75),Z75&gt;0.8*'Ratio_M+Cl'!R68,Z75&lt;1.2*'Ratio_M+Cl'!R68),Z107/'Ratio_M+Cl'!R100,IF(OR(Z107="N/A",Z139="N/A"),"N/A",""))</f>
        <v/>
      </c>
      <c r="AA44" s="183" t="str">
        <f>IF(AND(ISNUMBER(AA75),AA75&gt;0.8*'Ratio_M+Cl'!S68,AA75&lt;1.2*'Ratio_M+Cl'!S68),AA107/'Ratio_M+Cl'!S100,IF(OR(AA107="N/A",AA139="N/A"),"N/A",""))</f>
        <v/>
      </c>
      <c r="AB44" s="183" t="str">
        <f>IF(AND(ISNUMBER(AB75),AB75&gt;0.8*'Ratio_M+Cl'!T68,AB75&lt;1.2*'Ratio_M+Cl'!T68),AB107/'Ratio_M+Cl'!T100,IF(OR(AB107="N/A",AB139="N/A"),"N/A",""))</f>
        <v/>
      </c>
      <c r="AC44" s="183" t="str">
        <f>IF(AND(ISNUMBER(AC75),AC75&gt;0.8*'Ratio_M+Cl'!U68,AC75&lt;1.2*'Ratio_M+Cl'!U68),AC107/'Ratio_M+Cl'!U100,IF(OR(AC107="N/A",AC139="N/A"),"N/A",""))</f>
        <v/>
      </c>
      <c r="AD44" s="183" t="str">
        <f>IF(AND(ISNUMBER(AD75),AD75&gt;0.8*'Ratio_M+Cl'!V68,AD75&lt;1.2*'Ratio_M+Cl'!V68),AD107/'Ratio_M+Cl'!V100,IF(OR(AD107="N/A",AD139="N/A"),"N/A",""))</f>
        <v/>
      </c>
      <c r="AE44" s="183" t="str">
        <f>IF(AND(ISNUMBER(AE75),AE75&gt;0.8*'Ratio_M+Cl'!W68,AE75&lt;1.2*'Ratio_M+Cl'!W68),AE107/'Ratio_M+Cl'!W100,IF(OR(AE107="N/A",AE139="N/A"),"N/A",""))</f>
        <v/>
      </c>
      <c r="AF44" s="183" t="str">
        <f>IF(AND(ISNUMBER(AF75),AF75&gt;0.8*'Ratio_M+Cl'!X68,AF75&lt;1.2*'Ratio_M+Cl'!X68),AF107/'Ratio_M+Cl'!X100,IF(OR(AF107="N/A",AF139="N/A"),"N/A",""))</f>
        <v/>
      </c>
      <c r="AG44" s="183" t="str">
        <f>IF(AND(ISNUMBER(AG75),AG75&gt;0.8*'Ratio_M+Cl'!Y68,AG75&lt;1.2*'Ratio_M+Cl'!Y68),AG107/'Ratio_M+Cl'!Y100,IF(OR(AG107="N/A",AG139="N/A"),"N/A",""))</f>
        <v/>
      </c>
      <c r="AH44" s="183" t="str">
        <f>IF(AND(ISNUMBER(AH75),AH75&gt;0.8*'Ratio_M+Cl'!Z68,AH75&lt;1.2*'Ratio_M+Cl'!Z68),AH107/'Ratio_M+Cl'!Z100,IF(OR(AH107="N/A",AH139="N/A"),"N/A",""))</f>
        <v/>
      </c>
      <c r="AI44" s="183" t="str">
        <f>IF(AND(ISNUMBER(AI75),AI75&gt;0.8*'Ratio_M+Cl'!AA68,AI75&lt;1.2*'Ratio_M+Cl'!AA68),AI107/'Ratio_M+Cl'!AA100,IF(OR(AI107="N/A",AI139="N/A"),"N/A",""))</f>
        <v/>
      </c>
      <c r="AJ44" s="183" t="str">
        <f>IF(AND(ISNUMBER(AJ75),AJ75&gt;0.8*'Ratio_M+Cl'!AB68,AJ75&lt;1.2*'Ratio_M+Cl'!AB68),AJ107/'Ratio_M+Cl'!AB100,IF(OR(AJ107="N/A",AJ139="N/A"),"N/A",""))</f>
        <v/>
      </c>
      <c r="AK44" s="183" t="str">
        <f>IF(AND(ISNUMBER(AK75),AK75&gt;0.8*'Ratio_M+Cl'!AC68,AK75&lt;1.2*'Ratio_M+Cl'!AC68),AK107/'Ratio_M+Cl'!AC100,IF(OR(AK107="N/A",AK139="N/A"),"N/A",""))</f>
        <v/>
      </c>
      <c r="AM44" s="159" t="s">
        <v>321</v>
      </c>
      <c r="AN44" s="225" t="str">
        <f t="shared" ref="AN44:AN71" si="3">IF(ISNUMBER(K44),AN107,"")</f>
        <v/>
      </c>
      <c r="AO44" s="225" t="str">
        <f t="shared" si="2"/>
        <v/>
      </c>
      <c r="AP44" s="225" t="str">
        <f t="shared" si="2"/>
        <v/>
      </c>
      <c r="AQ44" s="225">
        <f t="shared" si="2"/>
        <v>0.3</v>
      </c>
      <c r="AR44" s="225">
        <f t="shared" si="2"/>
        <v>0.3</v>
      </c>
      <c r="AS44" s="225" t="str">
        <f t="shared" si="2"/>
        <v/>
      </c>
      <c r="AT44" s="225" t="str">
        <f t="shared" si="2"/>
        <v/>
      </c>
      <c r="AU44" s="225" t="str">
        <f t="shared" si="2"/>
        <v/>
      </c>
      <c r="AV44" s="225" t="str">
        <f t="shared" si="2"/>
        <v/>
      </c>
      <c r="AW44" s="225" t="str">
        <f t="shared" si="2"/>
        <v/>
      </c>
      <c r="AX44" s="225" t="str">
        <f t="shared" si="2"/>
        <v/>
      </c>
      <c r="AY44" s="225" t="str">
        <f t="shared" si="2"/>
        <v/>
      </c>
      <c r="AZ44" s="225" t="str">
        <f t="shared" si="2"/>
        <v/>
      </c>
      <c r="BA44" s="225" t="str">
        <f t="shared" si="2"/>
        <v/>
      </c>
      <c r="BB44" s="225" t="str">
        <f t="shared" si="2"/>
        <v/>
      </c>
      <c r="BC44" s="225" t="str">
        <f t="shared" si="2"/>
        <v/>
      </c>
      <c r="BD44" s="225" t="str">
        <f t="shared" si="2"/>
        <v/>
      </c>
      <c r="BE44" s="225" t="str">
        <f t="shared" si="2"/>
        <v/>
      </c>
      <c r="BF44" s="225" t="str">
        <f t="shared" si="2"/>
        <v/>
      </c>
      <c r="BG44" s="225" t="str">
        <f t="shared" si="2"/>
        <v/>
      </c>
      <c r="BH44" s="225" t="str">
        <f t="shared" si="2"/>
        <v/>
      </c>
      <c r="BI44" s="225" t="str">
        <f t="shared" si="2"/>
        <v/>
      </c>
      <c r="BJ44" s="225" t="str">
        <f t="shared" si="2"/>
        <v/>
      </c>
      <c r="BK44" s="225" t="str">
        <f t="shared" si="2"/>
        <v/>
      </c>
      <c r="BL44" s="225" t="str">
        <f t="shared" si="2"/>
        <v/>
      </c>
      <c r="BM44" s="225" t="str">
        <f t="shared" si="2"/>
        <v/>
      </c>
      <c r="BN44" s="225" t="str">
        <f t="shared" si="2"/>
        <v/>
      </c>
    </row>
    <row r="45" spans="1:66" ht="15.75" x14ac:dyDescent="0.3">
      <c r="A45" s="150">
        <v>40</v>
      </c>
      <c r="B45" s="10" t="s">
        <v>42</v>
      </c>
      <c r="C45" s="236">
        <v>29368463.2841537</v>
      </c>
      <c r="D45" s="233"/>
      <c r="E45" s="232">
        <f t="shared" si="1"/>
        <v>0</v>
      </c>
      <c r="G45" s="10" t="s">
        <v>363</v>
      </c>
      <c r="H45" s="151">
        <f>IF(ISNUMBER(P47),P47/SUM($K$43:$AK$71),0)</f>
        <v>1.4475098187935341E-2</v>
      </c>
      <c r="J45" s="160" t="s">
        <v>10</v>
      </c>
      <c r="K45" s="183" t="str">
        <f>IF(AND(ISNUMBER(K76),K76&gt;0.8*'Ratio_M+Cl'!C69,K76&lt;1.2*'Ratio_M+Cl'!C69),K108/'Ratio_M+Cl'!C101,IF(OR(K108="N/A",K140="N/A"),"N/A",""))</f>
        <v/>
      </c>
      <c r="L45" s="183">
        <f>IF(AND(ISNUMBER(L76),L76&gt;0.8*'Ratio_M+Cl'!D69,L76&lt;1.2*'Ratio_M+Cl'!D69),L108/'Ratio_M+Cl'!D101,IF(OR(L108="N/A",L140="N/A"),"N/A",""))</f>
        <v>23.566706482901434</v>
      </c>
      <c r="M45" s="180">
        <f>IF(AND(ISNUMBER(M76),M76&gt;0.8*'Ratio_M+Cl'!E69,M76&lt;1.2*'Ratio_M+Cl'!E69),M108/'Ratio_M+Cl'!E101,IF(OR(M108="N/A",M140="N/A"),"N/A",""))</f>
        <v>127.57604523173036</v>
      </c>
      <c r="N45" s="180">
        <f>IF(AND(ISNUMBER(N76),N76&gt;0.8*'Ratio_M+Cl'!F69,N76&lt;1.2*'Ratio_M+Cl'!F69),N108/'Ratio_M+Cl'!F101,IF(OR(N108="N/A",N140="N/A"),"N/A",""))</f>
        <v>107.63366995949922</v>
      </c>
      <c r="O45" s="180">
        <f>IF(AND(ISNUMBER(O76),O76&gt;0.8*'Ratio_M+Cl'!G69,O76&lt;1.2*'Ratio_M+Cl'!G69),O108/'Ratio_M+Cl'!G101,IF(OR(O108="N/A",O140="N/A"),"N/A",""))</f>
        <v>140.84404210219958</v>
      </c>
      <c r="P45" s="183">
        <f>IF(AND(ISNUMBER(P76),P76&gt;0.8*'Ratio_M+Cl'!H69,P76&lt;1.2*'Ratio_M+Cl'!H69),P108/'Ratio_M+Cl'!H101,IF(OR(P108="N/A",P140="N/A"),"N/A",""))</f>
        <v>363.03706415695007</v>
      </c>
      <c r="Q45" s="185">
        <f>IF(AND(ISNUMBER(Q76),Q76&gt;0.8*'Ratio_M+Cl'!I69,Q76&lt;1.2*'Ratio_M+Cl'!I69),Q108/'Ratio_M+Cl'!I101,IF(OR(Q108="N/A",Q140="N/A"),"N/A",""))</f>
        <v>350.98052197177378</v>
      </c>
      <c r="R45" s="183">
        <f>IF(AND(ISNUMBER(R76),R76&gt;0.8*'Ratio_M+Cl'!J69,R76&lt;1.2*'Ratio_M+Cl'!J69),R108/'Ratio_M+Cl'!J101,IF(OR(R108="N/A",R140="N/A"),"N/A",""))</f>
        <v>114.04613547939847</v>
      </c>
      <c r="S45" s="184">
        <f>IF(AND(ISNUMBER(S76),S76&gt;0.8*'Ratio_M+Cl'!K69,S76&lt;1.2*'Ratio_M+Cl'!K69),S108/'Ratio_M+Cl'!K101,IF(OR(S108="N/A",S140="N/A"),"N/A",""))</f>
        <v>4.3060490476337971</v>
      </c>
      <c r="T45" s="183" t="str">
        <f>IF(AND(ISNUMBER(T76),T76&gt;0.8*'Ratio_M+Cl'!L69,T76&lt;1.2*'Ratio_M+Cl'!L69),T108/'Ratio_M+Cl'!L101,IF(OR(T108="N/A",T140="N/A"),"N/A",""))</f>
        <v/>
      </c>
      <c r="U45" s="183" t="str">
        <f>IF(AND(ISNUMBER(U76),U76&gt;0.8*'Ratio_M+Cl'!M69,U76&lt;1.2*'Ratio_M+Cl'!M69),U108/'Ratio_M+Cl'!M101,IF(OR(U108="N/A",U140="N/A"),"N/A",""))</f>
        <v/>
      </c>
      <c r="V45" s="183" t="str">
        <f>IF(AND(ISNUMBER(V76),V76&gt;0.8*'Ratio_M+Cl'!N69,V76&lt;1.2*'Ratio_M+Cl'!N69),V108/'Ratio_M+Cl'!N101,IF(OR(V108="N/A",V140="N/A"),"N/A",""))</f>
        <v/>
      </c>
      <c r="W45" s="183" t="str">
        <f>IF(AND(ISNUMBER(W76),W76&gt;0.8*'Ratio_M+Cl'!O69,W76&lt;1.2*'Ratio_M+Cl'!O69),W108/'Ratio_M+Cl'!O101,IF(OR(W108="N/A",W140="N/A"),"N/A",""))</f>
        <v/>
      </c>
      <c r="X45" s="183" t="str">
        <f>IF(AND(ISNUMBER(X76),X76&gt;0.8*'Ratio_M+Cl'!P69,X76&lt;1.2*'Ratio_M+Cl'!P69),X108/'Ratio_M+Cl'!P101,IF(OR(X108="N/A",X140="N/A"),"N/A",""))</f>
        <v/>
      </c>
      <c r="Y45" s="183" t="str">
        <f>IF(AND(ISNUMBER(Y76),Y76&gt;0.8*'Ratio_M+Cl'!Q69,Y76&lt;1.2*'Ratio_M+Cl'!Q69),Y108/'Ratio_M+Cl'!Q101,IF(OR(Y108="N/A",Y140="N/A"),"N/A",""))</f>
        <v/>
      </c>
      <c r="Z45" s="183" t="str">
        <f>IF(AND(ISNUMBER(Z76),Z76&gt;0.8*'Ratio_M+Cl'!R69,Z76&lt;1.2*'Ratio_M+Cl'!R69),Z108/'Ratio_M+Cl'!R101,IF(OR(Z108="N/A",Z140="N/A"),"N/A",""))</f>
        <v/>
      </c>
      <c r="AA45" s="183" t="str">
        <f>IF(AND(ISNUMBER(AA76),AA76&gt;0.8*'Ratio_M+Cl'!S69,AA76&lt;1.2*'Ratio_M+Cl'!S69),AA108/'Ratio_M+Cl'!S101,IF(OR(AA108="N/A",AA140="N/A"),"N/A",""))</f>
        <v/>
      </c>
      <c r="AB45" s="183" t="str">
        <f>IF(AND(ISNUMBER(AB76),AB76&gt;0.8*'Ratio_M+Cl'!T69,AB76&lt;1.2*'Ratio_M+Cl'!T69),AB108/'Ratio_M+Cl'!T101,IF(OR(AB108="N/A",AB140="N/A"),"N/A",""))</f>
        <v/>
      </c>
      <c r="AC45" s="183" t="str">
        <f>IF(AND(ISNUMBER(AC76),AC76&gt;0.8*'Ratio_M+Cl'!U69,AC76&lt;1.2*'Ratio_M+Cl'!U69),AC108/'Ratio_M+Cl'!U101,IF(OR(AC108="N/A",AC140="N/A"),"N/A",""))</f>
        <v/>
      </c>
      <c r="AD45" s="183" t="str">
        <f>IF(AND(ISNUMBER(AD76),AD76&gt;0.8*'Ratio_M+Cl'!V69,AD76&lt;1.2*'Ratio_M+Cl'!V69),AD108/'Ratio_M+Cl'!V101,IF(OR(AD108="N/A",AD140="N/A"),"N/A",""))</f>
        <v/>
      </c>
      <c r="AE45" s="183" t="str">
        <f>IF(AND(ISNUMBER(AE76),AE76&gt;0.8*'Ratio_M+Cl'!W69,AE76&lt;1.2*'Ratio_M+Cl'!W69),AE108/'Ratio_M+Cl'!W101,IF(OR(AE108="N/A",AE140="N/A"),"N/A",""))</f>
        <v/>
      </c>
      <c r="AF45" s="183" t="str">
        <f>IF(AND(ISNUMBER(AF76),AF76&gt;0.8*'Ratio_M+Cl'!X69,AF76&lt;1.2*'Ratio_M+Cl'!X69),AF108/'Ratio_M+Cl'!X101,IF(OR(AF108="N/A",AF140="N/A"),"N/A",""))</f>
        <v/>
      </c>
      <c r="AG45" s="183" t="str">
        <f>IF(AND(ISNUMBER(AG76),AG76&gt;0.8*'Ratio_M+Cl'!Y69,AG76&lt;1.2*'Ratio_M+Cl'!Y69),AG108/'Ratio_M+Cl'!Y101,IF(OR(AG108="N/A",AG140="N/A"),"N/A",""))</f>
        <v/>
      </c>
      <c r="AH45" s="183" t="str">
        <f>IF(AND(ISNUMBER(AH76),AH76&gt;0.8*'Ratio_M+Cl'!Z69,AH76&lt;1.2*'Ratio_M+Cl'!Z69),AH108/'Ratio_M+Cl'!Z101,IF(OR(AH108="N/A",AH140="N/A"),"N/A",""))</f>
        <v/>
      </c>
      <c r="AI45" s="183" t="str">
        <f>IF(AND(ISNUMBER(AI76),AI76&gt;0.8*'Ratio_M+Cl'!AA69,AI76&lt;1.2*'Ratio_M+Cl'!AA69),AI108/'Ratio_M+Cl'!AA101,IF(OR(AI108="N/A",AI140="N/A"),"N/A",""))</f>
        <v/>
      </c>
      <c r="AJ45" s="183" t="str">
        <f>IF(AND(ISNUMBER(AJ76),AJ76&gt;0.8*'Ratio_M+Cl'!AB69,AJ76&lt;1.2*'Ratio_M+Cl'!AB69),AJ108/'Ratio_M+Cl'!AB101,IF(OR(AJ108="N/A",AJ140="N/A"),"N/A",""))</f>
        <v/>
      </c>
      <c r="AK45" s="183" t="str">
        <f>IF(AND(ISNUMBER(AK76),AK76&gt;0.8*'Ratio_M+Cl'!AC69,AK76&lt;1.2*'Ratio_M+Cl'!AC69),AK108/'Ratio_M+Cl'!AC101,IF(OR(AK108="N/A",AK140="N/A"),"N/A",""))</f>
        <v/>
      </c>
      <c r="AM45" s="160" t="s">
        <v>10</v>
      </c>
      <c r="AN45" s="225" t="str">
        <f t="shared" si="3"/>
        <v/>
      </c>
      <c r="AO45" s="225">
        <f t="shared" si="2"/>
        <v>0</v>
      </c>
      <c r="AP45" s="225">
        <f t="shared" si="2"/>
        <v>0</v>
      </c>
      <c r="AQ45" s="225">
        <f t="shared" si="2"/>
        <v>0</v>
      </c>
      <c r="AR45" s="225">
        <f t="shared" si="2"/>
        <v>0</v>
      </c>
      <c r="AS45" s="225">
        <f t="shared" si="2"/>
        <v>0</v>
      </c>
      <c r="AT45" s="225">
        <f t="shared" si="2"/>
        <v>0</v>
      </c>
      <c r="AU45" s="225">
        <f t="shared" si="2"/>
        <v>0</v>
      </c>
      <c r="AV45" s="225">
        <f t="shared" si="2"/>
        <v>0</v>
      </c>
      <c r="AW45" s="225" t="str">
        <f t="shared" si="2"/>
        <v/>
      </c>
      <c r="AX45" s="225" t="str">
        <f t="shared" si="2"/>
        <v/>
      </c>
      <c r="AY45" s="225" t="str">
        <f t="shared" si="2"/>
        <v/>
      </c>
      <c r="AZ45" s="225" t="str">
        <f t="shared" si="2"/>
        <v/>
      </c>
      <c r="BA45" s="225" t="str">
        <f t="shared" si="2"/>
        <v/>
      </c>
      <c r="BB45" s="225" t="str">
        <f t="shared" si="2"/>
        <v/>
      </c>
      <c r="BC45" s="225" t="str">
        <f t="shared" si="2"/>
        <v/>
      </c>
      <c r="BD45" s="225" t="str">
        <f t="shared" si="2"/>
        <v/>
      </c>
      <c r="BE45" s="225" t="str">
        <f t="shared" si="2"/>
        <v/>
      </c>
      <c r="BF45" s="225" t="str">
        <f t="shared" si="2"/>
        <v/>
      </c>
      <c r="BG45" s="225" t="str">
        <f t="shared" si="2"/>
        <v/>
      </c>
      <c r="BH45" s="225" t="str">
        <f t="shared" si="2"/>
        <v/>
      </c>
      <c r="BI45" s="225" t="str">
        <f t="shared" si="2"/>
        <v/>
      </c>
      <c r="BJ45" s="225" t="str">
        <f t="shared" si="2"/>
        <v/>
      </c>
      <c r="BK45" s="225" t="str">
        <f t="shared" si="2"/>
        <v/>
      </c>
      <c r="BL45" s="225" t="str">
        <f t="shared" si="2"/>
        <v/>
      </c>
      <c r="BM45" s="225" t="str">
        <f t="shared" si="2"/>
        <v/>
      </c>
      <c r="BN45" s="225" t="str">
        <f t="shared" si="2"/>
        <v/>
      </c>
    </row>
    <row r="46" spans="1:66" ht="15.75" x14ac:dyDescent="0.3">
      <c r="A46" s="150">
        <v>41</v>
      </c>
      <c r="B46" s="10" t="s">
        <v>43</v>
      </c>
      <c r="C46" s="236">
        <v>93224454.730905592</v>
      </c>
      <c r="D46" s="233"/>
      <c r="E46" s="232">
        <f t="shared" si="1"/>
        <v>0</v>
      </c>
      <c r="G46" s="10" t="s">
        <v>364</v>
      </c>
      <c r="H46" s="151">
        <f>IF(ISNUMBER(Q47),Q47/SUM($K$43:$AK$71),0)</f>
        <v>2.8138180299353353E-2</v>
      </c>
      <c r="J46" s="160" t="s">
        <v>11</v>
      </c>
      <c r="K46" s="183" t="str">
        <f>IF(AND(ISNUMBER(K77),K77&gt;0.8*'Ratio_M+Cl'!C70,K77&lt;1.2*'Ratio_M+Cl'!C70),K109/'Ratio_M+Cl'!C102,IF(OR(K109="N/A",K141="N/A"),"N/A",""))</f>
        <v/>
      </c>
      <c r="L46" s="183">
        <f>IF(AND(ISNUMBER(L77),L77&gt;0.8*'Ratio_M+Cl'!D70,L77&lt;1.2*'Ratio_M+Cl'!D70),L109/'Ratio_M+Cl'!D102,IF(OR(L109="N/A",L141="N/A"),"N/A",""))</f>
        <v>115.90391777241244</v>
      </c>
      <c r="M46" s="180">
        <f>IF(AND(ISNUMBER(M77),M77&gt;0.8*'Ratio_M+Cl'!E70,M77&lt;1.2*'Ratio_M+Cl'!E70),M109/'Ratio_M+Cl'!E102,IF(OR(M109="N/A",M141="N/A"),"N/A",""))</f>
        <v>799.66469159025678</v>
      </c>
      <c r="N46" s="180">
        <f>IF(AND(ISNUMBER(N77),N77&gt;0.8*'Ratio_M+Cl'!F70,N77&lt;1.2*'Ratio_M+Cl'!F70),N109/'Ratio_M+Cl'!F102,IF(OR(N109="N/A",N141="N/A"),"N/A",""))</f>
        <v>1015.9043757535906</v>
      </c>
      <c r="O46" s="180">
        <f>IF(AND(ISNUMBER(O77),O77&gt;0.8*'Ratio_M+Cl'!G70,O77&lt;1.2*'Ratio_M+Cl'!G70),O109/'Ratio_M+Cl'!G102,IF(OR(O109="N/A",O141="N/A"),"N/A",""))</f>
        <v>549.10058686488253</v>
      </c>
      <c r="P46" s="183">
        <f>IF(AND(ISNUMBER(P77),P77&gt;0.8*'Ratio_M+Cl'!H70,P77&lt;1.2*'Ratio_M+Cl'!H70),P109/'Ratio_M+Cl'!H102,IF(OR(P109="N/A",P141="N/A"),"N/A",""))</f>
        <v>751.10218102596843</v>
      </c>
      <c r="Q46" s="183">
        <f>IF(AND(ISNUMBER(Q77),Q77&gt;0.8*'Ratio_M+Cl'!I70,Q77&lt;1.2*'Ratio_M+Cl'!I70),Q109/'Ratio_M+Cl'!I102,IF(OR(Q109="N/A",Q141="N/A"),"N/A",""))</f>
        <v>1481.1753934380781</v>
      </c>
      <c r="R46" s="185">
        <f>IF(AND(ISNUMBER(R77),R77&gt;0.8*'Ratio_M+Cl'!J70,R77&lt;1.2*'Ratio_M+Cl'!J70),R109/'Ratio_M+Cl'!J102,IF(OR(R109="N/A",R141="N/A"),"N/A",""))</f>
        <v>1185.3467233053857</v>
      </c>
      <c r="S46" s="183">
        <f>IF(AND(ISNUMBER(S77),S77&gt;0.8*'Ratio_M+Cl'!K70,S77&lt;1.2*'Ratio_M+Cl'!K70),S109/'Ratio_M+Cl'!K102,IF(OR(S109="N/A",S141="N/A"),"N/A",""))</f>
        <v>351.85990074806284</v>
      </c>
      <c r="T46" s="184">
        <f>IF(AND(ISNUMBER(T77),T77&gt;0.8*'Ratio_M+Cl'!L70,T77&lt;1.2*'Ratio_M+Cl'!L70),T109/'Ratio_M+Cl'!L102,IF(OR(T109="N/A",T141="N/A"),"N/A",""))</f>
        <v>30.255767529045141</v>
      </c>
      <c r="U46" s="183" t="str">
        <f>IF(AND(ISNUMBER(U77),U77&gt;0.8*'Ratio_M+Cl'!M70,U77&lt;1.2*'Ratio_M+Cl'!M70),U109/'Ratio_M+Cl'!M102,IF(OR(U109="N/A",U141="N/A"),"N/A",""))</f>
        <v/>
      </c>
      <c r="V46" s="183" t="str">
        <f>IF(AND(ISNUMBER(V77),V77&gt;0.8*'Ratio_M+Cl'!N70,V77&lt;1.2*'Ratio_M+Cl'!N70),V109/'Ratio_M+Cl'!N102,IF(OR(V109="N/A",V141="N/A"),"N/A",""))</f>
        <v/>
      </c>
      <c r="W46" s="183" t="str">
        <f>IF(AND(ISNUMBER(W77),W77&gt;0.8*'Ratio_M+Cl'!O70,W77&lt;1.2*'Ratio_M+Cl'!O70),W109/'Ratio_M+Cl'!O102,IF(OR(W109="N/A",W141="N/A"),"N/A",""))</f>
        <v/>
      </c>
      <c r="X46" s="183" t="str">
        <f>IF(AND(ISNUMBER(X77),X77&gt;0.8*'Ratio_M+Cl'!P70,X77&lt;1.2*'Ratio_M+Cl'!P70),X109/'Ratio_M+Cl'!P102,IF(OR(X109="N/A",X141="N/A"),"N/A",""))</f>
        <v/>
      </c>
      <c r="Y46" s="183" t="str">
        <f>IF(AND(ISNUMBER(Y77),Y77&gt;0.8*'Ratio_M+Cl'!Q70,Y77&lt;1.2*'Ratio_M+Cl'!Q70),Y109/'Ratio_M+Cl'!Q102,IF(OR(Y109="N/A",Y141="N/A"),"N/A",""))</f>
        <v/>
      </c>
      <c r="Z46" s="183" t="str">
        <f>IF(AND(ISNUMBER(Z77),Z77&gt;0.8*'Ratio_M+Cl'!R70,Z77&lt;1.2*'Ratio_M+Cl'!R70),Z109/'Ratio_M+Cl'!R102,IF(OR(Z109="N/A",Z141="N/A"),"N/A",""))</f>
        <v/>
      </c>
      <c r="AA46" s="183" t="str">
        <f>IF(AND(ISNUMBER(AA77),AA77&gt;0.8*'Ratio_M+Cl'!S70,AA77&lt;1.2*'Ratio_M+Cl'!S70),AA109/'Ratio_M+Cl'!S102,IF(OR(AA109="N/A",AA141="N/A"),"N/A",""))</f>
        <v/>
      </c>
      <c r="AB46" s="183" t="str">
        <f>IF(AND(ISNUMBER(AB77),AB77&gt;0.8*'Ratio_M+Cl'!T70,AB77&lt;1.2*'Ratio_M+Cl'!T70),AB109/'Ratio_M+Cl'!T102,IF(OR(AB109="N/A",AB141="N/A"),"N/A",""))</f>
        <v/>
      </c>
      <c r="AC46" s="183" t="str">
        <f>IF(AND(ISNUMBER(AC77),AC77&gt;0.8*'Ratio_M+Cl'!U70,AC77&lt;1.2*'Ratio_M+Cl'!U70),AC109/'Ratio_M+Cl'!U102,IF(OR(AC109="N/A",AC141="N/A"),"N/A",""))</f>
        <v/>
      </c>
      <c r="AD46" s="183" t="str">
        <f>IF(AND(ISNUMBER(AD77),AD77&gt;0.8*'Ratio_M+Cl'!V70,AD77&lt;1.2*'Ratio_M+Cl'!V70),AD109/'Ratio_M+Cl'!V102,IF(OR(AD109="N/A",AD141="N/A"),"N/A",""))</f>
        <v/>
      </c>
      <c r="AE46" s="183" t="str">
        <f>IF(AND(ISNUMBER(AE77),AE77&gt;0.8*'Ratio_M+Cl'!W70,AE77&lt;1.2*'Ratio_M+Cl'!W70),AE109/'Ratio_M+Cl'!W102,IF(OR(AE109="N/A",AE141="N/A"),"N/A",""))</f>
        <v/>
      </c>
      <c r="AF46" s="183" t="str">
        <f>IF(AND(ISNUMBER(AF77),AF77&gt;0.8*'Ratio_M+Cl'!X70,AF77&lt;1.2*'Ratio_M+Cl'!X70),AF109/'Ratio_M+Cl'!X102,IF(OR(AF109="N/A",AF141="N/A"),"N/A",""))</f>
        <v/>
      </c>
      <c r="AG46" s="183" t="str">
        <f>IF(AND(ISNUMBER(AG77),AG77&gt;0.8*'Ratio_M+Cl'!Y70,AG77&lt;1.2*'Ratio_M+Cl'!Y70),AG109/'Ratio_M+Cl'!Y102,IF(OR(AG109="N/A",AG141="N/A"),"N/A",""))</f>
        <v/>
      </c>
      <c r="AH46" s="183" t="str">
        <f>IF(AND(ISNUMBER(AH77),AH77&gt;0.8*'Ratio_M+Cl'!Z70,AH77&lt;1.2*'Ratio_M+Cl'!Z70),AH109/'Ratio_M+Cl'!Z102,IF(OR(AH109="N/A",AH141="N/A"),"N/A",""))</f>
        <v/>
      </c>
      <c r="AI46" s="183" t="str">
        <f>IF(AND(ISNUMBER(AI77),AI77&gt;0.8*'Ratio_M+Cl'!AA70,AI77&lt;1.2*'Ratio_M+Cl'!AA70),AI109/'Ratio_M+Cl'!AA102,IF(OR(AI109="N/A",AI141="N/A"),"N/A",""))</f>
        <v/>
      </c>
      <c r="AJ46" s="183" t="str">
        <f>IF(AND(ISNUMBER(AJ77),AJ77&gt;0.8*'Ratio_M+Cl'!AB70,AJ77&lt;1.2*'Ratio_M+Cl'!AB70),AJ109/'Ratio_M+Cl'!AB102,IF(OR(AJ109="N/A",AJ141="N/A"),"N/A",""))</f>
        <v/>
      </c>
      <c r="AK46" s="183" t="str">
        <f>IF(AND(ISNUMBER(AK77),AK77&gt;0.8*'Ratio_M+Cl'!AC70,AK77&lt;1.2*'Ratio_M+Cl'!AC70),AK109/'Ratio_M+Cl'!AC102,IF(OR(AK109="N/A",AK141="N/A"),"N/A",""))</f>
        <v/>
      </c>
      <c r="AM46" s="160" t="s">
        <v>11</v>
      </c>
      <c r="AN46" s="225" t="str">
        <f t="shared" si="3"/>
        <v/>
      </c>
      <c r="AO46" s="225">
        <f t="shared" si="2"/>
        <v>0.5</v>
      </c>
      <c r="AP46" s="225">
        <f t="shared" si="2"/>
        <v>0</v>
      </c>
      <c r="AQ46" s="225">
        <f t="shared" si="2"/>
        <v>0</v>
      </c>
      <c r="AR46" s="225">
        <f t="shared" si="2"/>
        <v>0</v>
      </c>
      <c r="AS46" s="225">
        <f t="shared" si="2"/>
        <v>0</v>
      </c>
      <c r="AT46" s="225">
        <f t="shared" si="2"/>
        <v>0</v>
      </c>
      <c r="AU46" s="225">
        <f t="shared" si="2"/>
        <v>0</v>
      </c>
      <c r="AV46" s="225">
        <f t="shared" si="2"/>
        <v>0</v>
      </c>
      <c r="AW46" s="225">
        <f t="shared" si="2"/>
        <v>0</v>
      </c>
      <c r="AX46" s="225" t="str">
        <f t="shared" si="2"/>
        <v/>
      </c>
      <c r="AY46" s="225" t="str">
        <f t="shared" si="2"/>
        <v/>
      </c>
      <c r="AZ46" s="225" t="str">
        <f t="shared" si="2"/>
        <v/>
      </c>
      <c r="BA46" s="225" t="str">
        <f t="shared" si="2"/>
        <v/>
      </c>
      <c r="BB46" s="225" t="str">
        <f t="shared" si="2"/>
        <v/>
      </c>
      <c r="BC46" s="225" t="str">
        <f t="shared" si="2"/>
        <v/>
      </c>
      <c r="BD46" s="225" t="str">
        <f t="shared" si="2"/>
        <v/>
      </c>
      <c r="BE46" s="225" t="str">
        <f t="shared" si="2"/>
        <v/>
      </c>
      <c r="BF46" s="225" t="str">
        <f t="shared" si="2"/>
        <v/>
      </c>
      <c r="BG46" s="225" t="str">
        <f t="shared" si="2"/>
        <v/>
      </c>
      <c r="BH46" s="225" t="str">
        <f t="shared" si="2"/>
        <v/>
      </c>
      <c r="BI46" s="225" t="str">
        <f t="shared" si="2"/>
        <v/>
      </c>
      <c r="BJ46" s="225" t="str">
        <f t="shared" si="2"/>
        <v/>
      </c>
      <c r="BK46" s="225" t="str">
        <f t="shared" si="2"/>
        <v/>
      </c>
      <c r="BL46" s="225" t="str">
        <f t="shared" si="2"/>
        <v/>
      </c>
      <c r="BM46" s="225" t="str">
        <f t="shared" si="2"/>
        <v/>
      </c>
      <c r="BN46" s="225" t="str">
        <f t="shared" si="2"/>
        <v/>
      </c>
    </row>
    <row r="47" spans="1:66" ht="15.75" x14ac:dyDescent="0.3">
      <c r="A47" s="150">
        <v>42</v>
      </c>
      <c r="B47" s="10" t="s">
        <v>44</v>
      </c>
      <c r="C47" s="236">
        <v>79444807.592155427</v>
      </c>
      <c r="D47" s="233"/>
      <c r="E47" s="232">
        <f t="shared" si="1"/>
        <v>0</v>
      </c>
      <c r="G47" s="10" t="s">
        <v>365</v>
      </c>
      <c r="H47" s="151">
        <f>IF(ISNUMBER(R47),R47/SUM($K$43:$AK$71),0)</f>
        <v>4.7226778336613678E-2</v>
      </c>
      <c r="J47" s="160" t="s">
        <v>12</v>
      </c>
      <c r="K47" s="183" t="str">
        <f>IF(AND(ISNUMBER(K78),K78&gt;0.8*'Ratio_M+Cl'!C71,K78&lt;1.2*'Ratio_M+Cl'!C71),K110/'Ratio_M+Cl'!C103,IF(OR(K110="N/A",K142="N/A"),"N/A",""))</f>
        <v/>
      </c>
      <c r="L47" s="183">
        <f>IF(AND(ISNUMBER(L78),L78&gt;0.8*'Ratio_M+Cl'!D71,L78&lt;1.2*'Ratio_M+Cl'!D71),L110/'Ratio_M+Cl'!D103,IF(OR(L110="N/A",L142="N/A"),"N/A",""))</f>
        <v>121.43377932096315</v>
      </c>
      <c r="M47" s="180">
        <f>IF(AND(ISNUMBER(M78),M78&gt;0.8*'Ratio_M+Cl'!E71,M78&lt;1.2*'Ratio_M+Cl'!E71),M110/'Ratio_M+Cl'!E103,IF(OR(M110="N/A",M142="N/A"),"N/A",""))</f>
        <v>1146.8392822782021</v>
      </c>
      <c r="N47" s="180">
        <f>IF(AND(ISNUMBER(N78),N78&gt;0.8*'Ratio_M+Cl'!F71,N78&lt;1.2*'Ratio_M+Cl'!F71),N110/'Ratio_M+Cl'!F103,IF(OR(N110="N/A",N142="N/A"),"N/A",""))</f>
        <v>2334.1348865360719</v>
      </c>
      <c r="O47" s="180">
        <f>IF(AND(ISNUMBER(O78),O78&gt;0.8*'Ratio_M+Cl'!G71,O78&lt;1.2*'Ratio_M+Cl'!G71),O110/'Ratio_M+Cl'!G103,IF(OR(O110="N/A",O142="N/A"),"N/A",""))</f>
        <v>1754.9947661221079</v>
      </c>
      <c r="P47" s="183">
        <f>IF(AND(ISNUMBER(P78),P78&gt;0.8*'Ratio_M+Cl'!H71,P78&lt;1.2*'Ratio_M+Cl'!H71),P110/'Ratio_M+Cl'!H103,IF(OR(P110="N/A",P142="N/A"),"N/A",""))</f>
        <v>873.82628497986309</v>
      </c>
      <c r="Q47" s="183">
        <f>IF(AND(ISNUMBER(Q78),Q78&gt;0.8*'Ratio_M+Cl'!I71,Q78&lt;1.2*'Ratio_M+Cl'!I71),Q110/'Ratio_M+Cl'!I103,IF(OR(Q110="N/A",Q142="N/A"),"N/A",""))</f>
        <v>1698.6331448563813</v>
      </c>
      <c r="R47" s="183">
        <f>IF(AND(ISNUMBER(R78),R78&gt;0.8*'Ratio_M+Cl'!J71,R78&lt;1.2*'Ratio_M+Cl'!J71),R110/'Ratio_M+Cl'!J103,IF(OR(R110="N/A",R142="N/A"),"N/A",""))</f>
        <v>2850.9651354107241</v>
      </c>
      <c r="S47" s="185">
        <f>IF(AND(ISNUMBER(S78),S78&gt;0.8*'Ratio_M+Cl'!K71,S78&lt;1.2*'Ratio_M+Cl'!K71),S110/'Ratio_M+Cl'!K103,IF(OR(S110="N/A",S142="N/A"),"N/A",""))</f>
        <v>1871.8629457176926</v>
      </c>
      <c r="T47" s="183">
        <f>IF(AND(ISNUMBER(T78),T78&gt;0.8*'Ratio_M+Cl'!L71,T78&lt;1.2*'Ratio_M+Cl'!L71),T110/'Ratio_M+Cl'!L103,IF(OR(T110="N/A",T142="N/A"),"N/A",""))</f>
        <v>490.4879388369705</v>
      </c>
      <c r="U47" s="184">
        <f>IF(AND(ISNUMBER(U78),U78&gt;0.8*'Ratio_M+Cl'!M71,U78&lt;1.2*'Ratio_M+Cl'!M71),U110/'Ratio_M+Cl'!M103,IF(OR(U110="N/A",U142="N/A"),"N/A",""))</f>
        <v>40.821937178177279</v>
      </c>
      <c r="V47" s="183" t="str">
        <f>IF(AND(ISNUMBER(V78),V78&gt;0.8*'Ratio_M+Cl'!N71,V78&lt;1.2*'Ratio_M+Cl'!N71),V110/'Ratio_M+Cl'!N103,IF(OR(V110="N/A",V142="N/A"),"N/A",""))</f>
        <v/>
      </c>
      <c r="W47" s="183" t="str">
        <f>IF(AND(ISNUMBER(W78),W78&gt;0.8*'Ratio_M+Cl'!O71,W78&lt;1.2*'Ratio_M+Cl'!O71),W110/'Ratio_M+Cl'!O103,IF(OR(W110="N/A",W142="N/A"),"N/A",""))</f>
        <v/>
      </c>
      <c r="X47" s="183" t="str">
        <f>IF(AND(ISNUMBER(X78),X78&gt;0.8*'Ratio_M+Cl'!P71,X78&lt;1.2*'Ratio_M+Cl'!P71),X110/'Ratio_M+Cl'!P103,IF(OR(X110="N/A",X142="N/A"),"N/A",""))</f>
        <v/>
      </c>
      <c r="Y47" s="183" t="str">
        <f>IF(AND(ISNUMBER(Y78),Y78&gt;0.8*'Ratio_M+Cl'!Q71,Y78&lt;1.2*'Ratio_M+Cl'!Q71),Y110/'Ratio_M+Cl'!Q103,IF(OR(Y110="N/A",Y142="N/A"),"N/A",""))</f>
        <v/>
      </c>
      <c r="Z47" s="183" t="str">
        <f>IF(AND(ISNUMBER(Z78),Z78&gt;0.8*'Ratio_M+Cl'!R71,Z78&lt;1.2*'Ratio_M+Cl'!R71),Z110/'Ratio_M+Cl'!R103,IF(OR(Z110="N/A",Z142="N/A"),"N/A",""))</f>
        <v/>
      </c>
      <c r="AA47" s="183" t="str">
        <f>IF(AND(ISNUMBER(AA78),AA78&gt;0.8*'Ratio_M+Cl'!S71,AA78&lt;1.2*'Ratio_M+Cl'!S71),AA110/'Ratio_M+Cl'!S103,IF(OR(AA110="N/A",AA142="N/A"),"N/A",""))</f>
        <v/>
      </c>
      <c r="AB47" s="183" t="str">
        <f>IF(AND(ISNUMBER(AB78),AB78&gt;0.8*'Ratio_M+Cl'!T71,AB78&lt;1.2*'Ratio_M+Cl'!T71),AB110/'Ratio_M+Cl'!T103,IF(OR(AB110="N/A",AB142="N/A"),"N/A",""))</f>
        <v/>
      </c>
      <c r="AC47" s="183" t="str">
        <f>IF(AND(ISNUMBER(AC78),AC78&gt;0.8*'Ratio_M+Cl'!U71,AC78&lt;1.2*'Ratio_M+Cl'!U71),AC110/'Ratio_M+Cl'!U103,IF(OR(AC110="N/A",AC142="N/A"),"N/A",""))</f>
        <v/>
      </c>
      <c r="AD47" s="183" t="str">
        <f>IF(AND(ISNUMBER(AD78),AD78&gt;0.8*'Ratio_M+Cl'!V71,AD78&lt;1.2*'Ratio_M+Cl'!V71),AD110/'Ratio_M+Cl'!V103,IF(OR(AD110="N/A",AD142="N/A"),"N/A",""))</f>
        <v/>
      </c>
      <c r="AE47" s="183" t="str">
        <f>IF(AND(ISNUMBER(AE78),AE78&gt;0.8*'Ratio_M+Cl'!W71,AE78&lt;1.2*'Ratio_M+Cl'!W71),AE110/'Ratio_M+Cl'!W103,IF(OR(AE110="N/A",AE142="N/A"),"N/A",""))</f>
        <v/>
      </c>
      <c r="AF47" s="183" t="str">
        <f>IF(AND(ISNUMBER(AF78),AF78&gt;0.8*'Ratio_M+Cl'!X71,AF78&lt;1.2*'Ratio_M+Cl'!X71),AF110/'Ratio_M+Cl'!X103,IF(OR(AF110="N/A",AF142="N/A"),"N/A",""))</f>
        <v/>
      </c>
      <c r="AG47" s="183" t="str">
        <f>IF(AND(ISNUMBER(AG78),AG78&gt;0.8*'Ratio_M+Cl'!Y71,AG78&lt;1.2*'Ratio_M+Cl'!Y71),AG110/'Ratio_M+Cl'!Y103,IF(OR(AG110="N/A",AG142="N/A"),"N/A",""))</f>
        <v/>
      </c>
      <c r="AH47" s="183" t="str">
        <f>IF(AND(ISNUMBER(AH78),AH78&gt;0.8*'Ratio_M+Cl'!Z71,AH78&lt;1.2*'Ratio_M+Cl'!Z71),AH110/'Ratio_M+Cl'!Z103,IF(OR(AH110="N/A",AH142="N/A"),"N/A",""))</f>
        <v/>
      </c>
      <c r="AI47" s="183" t="str">
        <f>IF(AND(ISNUMBER(AI78),AI78&gt;0.8*'Ratio_M+Cl'!AA71,AI78&lt;1.2*'Ratio_M+Cl'!AA71),AI110/'Ratio_M+Cl'!AA103,IF(OR(AI110="N/A",AI142="N/A"),"N/A",""))</f>
        <v/>
      </c>
      <c r="AJ47" s="183" t="str">
        <f>IF(AND(ISNUMBER(AJ78),AJ78&gt;0.8*'Ratio_M+Cl'!AB71,AJ78&lt;1.2*'Ratio_M+Cl'!AB71),AJ110/'Ratio_M+Cl'!AB103,IF(OR(AJ110="N/A",AJ142="N/A"),"N/A",""))</f>
        <v/>
      </c>
      <c r="AK47" s="183" t="str">
        <f>IF(AND(ISNUMBER(AK78),AK78&gt;0.8*'Ratio_M+Cl'!AC71,AK78&lt;1.2*'Ratio_M+Cl'!AC71),AK110/'Ratio_M+Cl'!AC103,IF(OR(AK110="N/A",AK142="N/A"),"N/A",""))</f>
        <v/>
      </c>
      <c r="AM47" s="160" t="s">
        <v>12</v>
      </c>
      <c r="AN47" s="225" t="str">
        <f t="shared" si="3"/>
        <v/>
      </c>
      <c r="AO47" s="225">
        <f t="shared" si="2"/>
        <v>0</v>
      </c>
      <c r="AP47" s="225">
        <f t="shared" si="2"/>
        <v>0.8</v>
      </c>
      <c r="AQ47" s="225">
        <f t="shared" si="2"/>
        <v>0.8</v>
      </c>
      <c r="AR47" s="225">
        <f t="shared" si="2"/>
        <v>0</v>
      </c>
      <c r="AS47" s="225">
        <f t="shared" si="2"/>
        <v>0</v>
      </c>
      <c r="AT47" s="225">
        <f t="shared" si="2"/>
        <v>0</v>
      </c>
      <c r="AU47" s="225">
        <f t="shared" si="2"/>
        <v>0</v>
      </c>
      <c r="AV47" s="225">
        <f t="shared" si="2"/>
        <v>0</v>
      </c>
      <c r="AW47" s="225">
        <f t="shared" si="2"/>
        <v>0</v>
      </c>
      <c r="AX47" s="225">
        <f t="shared" si="2"/>
        <v>0</v>
      </c>
      <c r="AY47" s="225" t="str">
        <f t="shared" si="2"/>
        <v/>
      </c>
      <c r="AZ47" s="225" t="str">
        <f t="shared" si="2"/>
        <v/>
      </c>
      <c r="BA47" s="225" t="str">
        <f t="shared" si="2"/>
        <v/>
      </c>
      <c r="BB47" s="225" t="str">
        <f t="shared" si="2"/>
        <v/>
      </c>
      <c r="BC47" s="225" t="str">
        <f t="shared" si="2"/>
        <v/>
      </c>
      <c r="BD47" s="225" t="str">
        <f t="shared" si="2"/>
        <v/>
      </c>
      <c r="BE47" s="225" t="str">
        <f t="shared" si="2"/>
        <v/>
      </c>
      <c r="BF47" s="225" t="str">
        <f t="shared" si="2"/>
        <v/>
      </c>
      <c r="BG47" s="225" t="str">
        <f t="shared" si="2"/>
        <v/>
      </c>
      <c r="BH47" s="225" t="str">
        <f t="shared" si="2"/>
        <v/>
      </c>
      <c r="BI47" s="225" t="str">
        <f t="shared" si="2"/>
        <v/>
      </c>
      <c r="BJ47" s="225" t="str">
        <f t="shared" si="2"/>
        <v/>
      </c>
      <c r="BK47" s="225" t="str">
        <f t="shared" si="2"/>
        <v/>
      </c>
      <c r="BL47" s="225" t="str">
        <f t="shared" si="2"/>
        <v/>
      </c>
      <c r="BM47" s="225" t="str">
        <f t="shared" si="2"/>
        <v/>
      </c>
      <c r="BN47" s="225" t="str">
        <f t="shared" si="2"/>
        <v/>
      </c>
    </row>
    <row r="48" spans="1:66" ht="15.75" x14ac:dyDescent="0.3">
      <c r="A48" s="150">
        <v>43</v>
      </c>
      <c r="B48" s="10" t="s">
        <v>45</v>
      </c>
      <c r="C48" s="236">
        <v>83411583.50522995</v>
      </c>
      <c r="D48" s="233"/>
      <c r="E48" s="232">
        <f t="shared" si="1"/>
        <v>0</v>
      </c>
      <c r="G48" s="10" t="s">
        <v>366</v>
      </c>
      <c r="H48" s="151">
        <f>IF(ISNUMBER(S47),S47/SUM($K$43:$AK$71),0)</f>
        <v>3.1007764814771945E-2</v>
      </c>
      <c r="J48" s="159" t="s">
        <v>13</v>
      </c>
      <c r="K48" s="181" t="str">
        <f>IF(AND(ISNUMBER(K79),K79&gt;0.8*'Ratio_M+Cl'!C72,K79&lt;1.2*'Ratio_M+Cl'!C72),K111/'Ratio_M+Cl'!C104,IF(OR(K111="N/A",K143="N/A"),"N/A",""))</f>
        <v/>
      </c>
      <c r="L48" s="181">
        <f>IF(AND(ISNUMBER(L79),L79&gt;0.8*'Ratio_M+Cl'!D72,L79&lt;1.2*'Ratio_M+Cl'!D72),L111/'Ratio_M+Cl'!D104,IF(OR(L111="N/A",L143="N/A"),"N/A",""))</f>
        <v>13.628143723715709</v>
      </c>
      <c r="M48" s="181">
        <f>IF(AND(ISNUMBER(M79),M79&gt;0.8*'Ratio_M+Cl'!E72,M79&lt;1.2*'Ratio_M+Cl'!E72),M111/'Ratio_M+Cl'!E104,IF(OR(M111="N/A",M143="N/A"),"N/A",""))</f>
        <v>204.14289033052387</v>
      </c>
      <c r="N48" s="181">
        <f>IF(AND(ISNUMBER(N79),N79&gt;0.8*'Ratio_M+Cl'!F72,N79&lt;1.2*'Ratio_M+Cl'!F72),N111/'Ratio_M+Cl'!F104,IF(OR(N111="N/A",N143="N/A"),"N/A",""))</f>
        <v>628.86430308155559</v>
      </c>
      <c r="O48" s="181">
        <f>IF(AND(ISNUMBER(O79),O79&gt;0.8*'Ratio_M+Cl'!G72,O79&lt;1.2*'Ratio_M+Cl'!G72),O111/'Ratio_M+Cl'!G104,IF(OR(O111="N/A",O143="N/A"),"N/A",""))</f>
        <v>736.783884271131</v>
      </c>
      <c r="P48" s="181">
        <f>IF(AND(ISNUMBER(P79),P79&gt;0.8*'Ratio_M+Cl'!H72,P79&lt;1.2*'Ratio_M+Cl'!H72),P111/'Ratio_M+Cl'!H104,IF(OR(P111="N/A",P143="N/A"),"N/A",""))</f>
        <v>446.96132253170776</v>
      </c>
      <c r="Q48" s="181">
        <f>IF(AND(ISNUMBER(Q79),Q79&gt;0.8*'Ratio_M+Cl'!I72,Q79&lt;1.2*'Ratio_M+Cl'!I72),Q111/'Ratio_M+Cl'!I104,IF(OR(Q111="N/A",Q143="N/A"),"N/A",""))</f>
        <v>789.7129738725954</v>
      </c>
      <c r="R48" s="181">
        <f>IF(AND(ISNUMBER(R79),R79&gt;0.8*'Ratio_M+Cl'!J72,R79&lt;1.2*'Ratio_M+Cl'!J72),R111/'Ratio_M+Cl'!J104,IF(OR(R111="N/A",R143="N/A"),"N/A",""))</f>
        <v>2562.0220696426068</v>
      </c>
      <c r="S48" s="181">
        <f>IF(AND(ISNUMBER(S79),S79&gt;0.8*'Ratio_M+Cl'!K72,S79&lt;1.2*'Ratio_M+Cl'!K72),S111/'Ratio_M+Cl'!K104,IF(OR(S111="N/A",S143="N/A"),"N/A",""))</f>
        <v>3399.8359718663651</v>
      </c>
      <c r="T48" s="182">
        <f>IF(AND(ISNUMBER(T79),T79&gt;0.8*'Ratio_M+Cl'!L72,T79&lt;1.2*'Ratio_M+Cl'!L72),T111/'Ratio_M+Cl'!L104,IF(OR(T111="N/A",T143="N/A"),"N/A",""))</f>
        <v>1856.4167256888632</v>
      </c>
      <c r="U48" s="183">
        <f>IF(AND(ISNUMBER(U79),U79&gt;0.8*'Ratio_M+Cl'!M72,U79&lt;1.2*'Ratio_M+Cl'!M72),U111/'Ratio_M+Cl'!M104,IF(OR(U111="N/A",U143="N/A"),"N/A",""))</f>
        <v>397.870769982193</v>
      </c>
      <c r="V48" s="184">
        <f>IF(AND(ISNUMBER(V79),V79&gt;0.8*'Ratio_M+Cl'!N72,V79&lt;1.2*'Ratio_M+Cl'!N72),V111/'Ratio_M+Cl'!N104,IF(OR(V111="N/A",V143="N/A"),"N/A",""))</f>
        <v>25.541568939518232</v>
      </c>
      <c r="W48" s="183" t="str">
        <f>IF(AND(ISNUMBER(W79),W79&gt;0.8*'Ratio_M+Cl'!O72,W79&lt;1.2*'Ratio_M+Cl'!O72),W111/'Ratio_M+Cl'!O104,IF(OR(W111="N/A",W143="N/A"),"N/A",""))</f>
        <v/>
      </c>
      <c r="X48" s="183" t="str">
        <f>IF(AND(ISNUMBER(X79),X79&gt;0.8*'Ratio_M+Cl'!P72,X79&lt;1.2*'Ratio_M+Cl'!P72),X111/'Ratio_M+Cl'!P104,IF(OR(X111="N/A",X143="N/A"),"N/A",""))</f>
        <v/>
      </c>
      <c r="Y48" s="183" t="str">
        <f>IF(AND(ISNUMBER(Y79),Y79&gt;0.8*'Ratio_M+Cl'!Q72,Y79&lt;1.2*'Ratio_M+Cl'!Q72),Y111/'Ratio_M+Cl'!Q104,IF(OR(Y111="N/A",Y143="N/A"),"N/A",""))</f>
        <v/>
      </c>
      <c r="Z48" s="183" t="str">
        <f>IF(AND(ISNUMBER(Z79),Z79&gt;0.8*'Ratio_M+Cl'!R72,Z79&lt;1.2*'Ratio_M+Cl'!R72),Z111/'Ratio_M+Cl'!R104,IF(OR(Z111="N/A",Z143="N/A"),"N/A",""))</f>
        <v/>
      </c>
      <c r="AA48" s="183" t="str">
        <f>IF(AND(ISNUMBER(AA79),AA79&gt;0.8*'Ratio_M+Cl'!S72,AA79&lt;1.2*'Ratio_M+Cl'!S72),AA111/'Ratio_M+Cl'!S104,IF(OR(AA111="N/A",AA143="N/A"),"N/A",""))</f>
        <v/>
      </c>
      <c r="AB48" s="183" t="str">
        <f>IF(AND(ISNUMBER(AB79),AB79&gt;0.8*'Ratio_M+Cl'!T72,AB79&lt;1.2*'Ratio_M+Cl'!T72),AB111/'Ratio_M+Cl'!T104,IF(OR(AB111="N/A",AB143="N/A"),"N/A",""))</f>
        <v/>
      </c>
      <c r="AC48" s="183" t="str">
        <f>IF(AND(ISNUMBER(AC79),AC79&gt;0.8*'Ratio_M+Cl'!U72,AC79&lt;1.2*'Ratio_M+Cl'!U72),AC111/'Ratio_M+Cl'!U104,IF(OR(AC111="N/A",AC143="N/A"),"N/A",""))</f>
        <v/>
      </c>
      <c r="AD48" s="183" t="str">
        <f>IF(AND(ISNUMBER(AD79),AD79&gt;0.8*'Ratio_M+Cl'!V72,AD79&lt;1.2*'Ratio_M+Cl'!V72),AD111/'Ratio_M+Cl'!V104,IF(OR(AD111="N/A",AD143="N/A"),"N/A",""))</f>
        <v/>
      </c>
      <c r="AE48" s="183" t="str">
        <f>IF(AND(ISNUMBER(AE79),AE79&gt;0.8*'Ratio_M+Cl'!W72,AE79&lt;1.2*'Ratio_M+Cl'!W72),AE111/'Ratio_M+Cl'!W104,IF(OR(AE111="N/A",AE143="N/A"),"N/A",""))</f>
        <v/>
      </c>
      <c r="AF48" s="183" t="str">
        <f>IF(AND(ISNUMBER(AF79),AF79&gt;0.8*'Ratio_M+Cl'!X72,AF79&lt;1.2*'Ratio_M+Cl'!X72),AF111/'Ratio_M+Cl'!X104,IF(OR(AF111="N/A",AF143="N/A"),"N/A",""))</f>
        <v/>
      </c>
      <c r="AG48" s="183" t="str">
        <f>IF(AND(ISNUMBER(AG79),AG79&gt;0.8*'Ratio_M+Cl'!Y72,AG79&lt;1.2*'Ratio_M+Cl'!Y72),AG111/'Ratio_M+Cl'!Y104,IF(OR(AG111="N/A",AG143="N/A"),"N/A",""))</f>
        <v/>
      </c>
      <c r="AH48" s="183" t="str">
        <f>IF(AND(ISNUMBER(AH79),AH79&gt;0.8*'Ratio_M+Cl'!Z72,AH79&lt;1.2*'Ratio_M+Cl'!Z72),AH111/'Ratio_M+Cl'!Z104,IF(OR(AH111="N/A",AH143="N/A"),"N/A",""))</f>
        <v/>
      </c>
      <c r="AI48" s="183" t="str">
        <f>IF(AND(ISNUMBER(AI79),AI79&gt;0.8*'Ratio_M+Cl'!AA72,AI79&lt;1.2*'Ratio_M+Cl'!AA72),AI111/'Ratio_M+Cl'!AA104,IF(OR(AI111="N/A",AI143="N/A"),"N/A",""))</f>
        <v/>
      </c>
      <c r="AJ48" s="183" t="str">
        <f>IF(AND(ISNUMBER(AJ79),AJ79&gt;0.8*'Ratio_M+Cl'!AB72,AJ79&lt;1.2*'Ratio_M+Cl'!AB72),AJ111/'Ratio_M+Cl'!AB104,IF(OR(AJ111="N/A",AJ143="N/A"),"N/A",""))</f>
        <v/>
      </c>
      <c r="AK48" s="183" t="str">
        <f>IF(AND(ISNUMBER(AK79),AK79&gt;0.8*'Ratio_M+Cl'!AC72,AK79&lt;1.2*'Ratio_M+Cl'!AC72),AK111/'Ratio_M+Cl'!AC104,IF(OR(AK111="N/A",AK143="N/A"),"N/A",""))</f>
        <v/>
      </c>
      <c r="AM48" s="159" t="s">
        <v>13</v>
      </c>
      <c r="AN48" s="225" t="str">
        <f t="shared" si="3"/>
        <v/>
      </c>
      <c r="AO48" s="225">
        <f t="shared" si="2"/>
        <v>0</v>
      </c>
      <c r="AP48" s="225">
        <f t="shared" si="2"/>
        <v>0</v>
      </c>
      <c r="AQ48" s="225">
        <f t="shared" si="2"/>
        <v>0</v>
      </c>
      <c r="AR48" s="225">
        <f t="shared" si="2"/>
        <v>0</v>
      </c>
      <c r="AS48" s="225">
        <f t="shared" si="2"/>
        <v>0</v>
      </c>
      <c r="AT48" s="225">
        <f t="shared" si="2"/>
        <v>0</v>
      </c>
      <c r="AU48" s="225">
        <f t="shared" si="2"/>
        <v>0</v>
      </c>
      <c r="AV48" s="225">
        <f t="shared" si="2"/>
        <v>0</v>
      </c>
      <c r="AW48" s="225">
        <f t="shared" si="2"/>
        <v>0</v>
      </c>
      <c r="AX48" s="225">
        <f t="shared" si="2"/>
        <v>0</v>
      </c>
      <c r="AY48" s="225">
        <f t="shared" si="2"/>
        <v>0</v>
      </c>
      <c r="AZ48" s="225" t="str">
        <f t="shared" si="2"/>
        <v/>
      </c>
      <c r="BA48" s="225" t="str">
        <f t="shared" si="2"/>
        <v/>
      </c>
      <c r="BB48" s="225" t="str">
        <f t="shared" si="2"/>
        <v/>
      </c>
      <c r="BC48" s="225" t="str">
        <f t="shared" si="2"/>
        <v/>
      </c>
      <c r="BD48" s="225" t="str">
        <f t="shared" si="2"/>
        <v/>
      </c>
      <c r="BE48" s="225" t="str">
        <f t="shared" si="2"/>
        <v/>
      </c>
      <c r="BF48" s="225" t="str">
        <f t="shared" si="2"/>
        <v/>
      </c>
      <c r="BG48" s="225" t="str">
        <f t="shared" si="2"/>
        <v/>
      </c>
      <c r="BH48" s="225" t="str">
        <f t="shared" si="2"/>
        <v/>
      </c>
      <c r="BI48" s="225" t="str">
        <f t="shared" si="2"/>
        <v/>
      </c>
      <c r="BJ48" s="225" t="str">
        <f t="shared" si="2"/>
        <v/>
      </c>
      <c r="BK48" s="225" t="str">
        <f t="shared" si="2"/>
        <v/>
      </c>
      <c r="BL48" s="225" t="str">
        <f t="shared" si="2"/>
        <v/>
      </c>
      <c r="BM48" s="225" t="str">
        <f t="shared" si="2"/>
        <v/>
      </c>
      <c r="BN48" s="225" t="str">
        <f t="shared" si="2"/>
        <v/>
      </c>
    </row>
    <row r="49" spans="1:66" ht="15.75" x14ac:dyDescent="0.3">
      <c r="A49" s="150">
        <v>44</v>
      </c>
      <c r="B49" s="10" t="s">
        <v>46</v>
      </c>
      <c r="C49" s="236">
        <v>79600284.699281678</v>
      </c>
      <c r="D49" s="233"/>
      <c r="E49" s="232">
        <f t="shared" si="1"/>
        <v>0</v>
      </c>
      <c r="G49" s="10" t="s">
        <v>1567</v>
      </c>
      <c r="H49" s="151">
        <f>IF(ISNUMBER(T47),T47/SUM($K$43:$AK$71),0)</f>
        <v>8.1250257593553452E-3</v>
      </c>
      <c r="J49" s="160" t="s">
        <v>14</v>
      </c>
      <c r="K49" s="183" t="str">
        <f>IF(AND(ISNUMBER(K80),K80&gt;0.8*'Ratio_M+Cl'!C73,K80&lt;1.2*'Ratio_M+Cl'!C73),K112/'Ratio_M+Cl'!C105,IF(OR(K112="N/A",K144="N/A"),"N/A",""))</f>
        <v/>
      </c>
      <c r="L49" s="183">
        <f>IF(AND(ISNUMBER(L80),L80&gt;0.8*'Ratio_M+Cl'!D73,L80&lt;1.2*'Ratio_M+Cl'!D73),L112/'Ratio_M+Cl'!D105,IF(OR(L112="N/A",L144="N/A"),"N/A",""))</f>
        <v>41.790326110292952</v>
      </c>
      <c r="M49" s="180">
        <f>IF(AND(ISNUMBER(M80),M80&gt;0.8*'Ratio_M+Cl'!E73,M80&lt;1.2*'Ratio_M+Cl'!E73),M112/'Ratio_M+Cl'!E105,IF(OR(M112="N/A",M144="N/A"),"N/A",""))</f>
        <v>35.86739056777477</v>
      </c>
      <c r="N49" s="180">
        <f>IF(AND(ISNUMBER(N80),N80&gt;0.8*'Ratio_M+Cl'!F73,N80&lt;1.2*'Ratio_M+Cl'!F73),N112/'Ratio_M+Cl'!F105,IF(OR(N112="N/A",N144="N/A"),"N/A",""))</f>
        <v>61.784011518077435</v>
      </c>
      <c r="O49" s="180">
        <f>IF(AND(ISNUMBER(O80),O80&gt;0.8*'Ratio_M+Cl'!G73,O80&lt;1.2*'Ratio_M+Cl'!G73),O112/'Ratio_M+Cl'!G105,IF(OR(O112="N/A",O144="N/A"),"N/A",""))</f>
        <v>109.88093047165927</v>
      </c>
      <c r="P49" s="183">
        <f>IF(AND(ISNUMBER(P80),P80&gt;0.8*'Ratio_M+Cl'!H73,P80&lt;1.2*'Ratio_M+Cl'!H73),P112/'Ratio_M+Cl'!H105,IF(OR(P112="N/A",P144="N/A"),"N/A",""))</f>
        <v>95.367679034053737</v>
      </c>
      <c r="Q49" s="183">
        <f>IF(AND(ISNUMBER(Q80),Q80&gt;0.8*'Ratio_M+Cl'!I73,Q80&lt;1.2*'Ratio_M+Cl'!I73),Q112/'Ratio_M+Cl'!I105,IF(OR(Q112="N/A",Q144="N/A"),"N/A",""))</f>
        <v>140.24086184068591</v>
      </c>
      <c r="R49" s="183">
        <f>IF(AND(ISNUMBER(R80),R80&gt;0.8*'Ratio_M+Cl'!J73,R80&lt;1.2*'Ratio_M+Cl'!J73),R112/'Ratio_M+Cl'!J105,IF(OR(R112="N/A",R144="N/A"),"N/A",""))</f>
        <v>853.56561441009217</v>
      </c>
      <c r="S49" s="183">
        <f>IF(AND(ISNUMBER(S80),S80&gt;0.8*'Ratio_M+Cl'!K73,S80&lt;1.2*'Ratio_M+Cl'!K73),S112/'Ratio_M+Cl'!K105,IF(OR(S112="N/A",S144="N/A"),"N/A",""))</f>
        <v>2222.1856575100883</v>
      </c>
      <c r="T49" s="183">
        <f>IF(AND(ISNUMBER(T80),T80&gt;0.8*'Ratio_M+Cl'!L73,T80&lt;1.2*'Ratio_M+Cl'!L73),T112/'Ratio_M+Cl'!L105,IF(OR(T112="N/A",T144="N/A"),"N/A",""))</f>
        <v>2300.9890087418839</v>
      </c>
      <c r="U49" s="185">
        <f>IF(AND(ISNUMBER(U80),U80&gt;0.8*'Ratio_M+Cl'!M73,U80&lt;1.2*'Ratio_M+Cl'!M73),U112/'Ratio_M+Cl'!M105,IF(OR(U112="N/A",U144="N/A"),"N/A",""))</f>
        <v>985.29486204037767</v>
      </c>
      <c r="V49" s="183">
        <f>IF(AND(ISNUMBER(V80),V80&gt;0.8*'Ratio_M+Cl'!N73,V80&lt;1.2*'Ratio_M+Cl'!N73),V112/'Ratio_M+Cl'!N105,IF(OR(V112="N/A",V144="N/A"),"N/A",""))</f>
        <v>162.45364419662337</v>
      </c>
      <c r="W49" s="184">
        <f>IF(AND(ISNUMBER(W80),W80&gt;0.8*'Ratio_M+Cl'!O73,W80&lt;1.2*'Ratio_M+Cl'!O73),W112/'Ratio_M+Cl'!O105,IF(OR(W112="N/A",W144="N/A"),"N/A",""))</f>
        <v>6.5930866806833208</v>
      </c>
      <c r="X49" s="183" t="str">
        <f>IF(AND(ISNUMBER(X80),X80&gt;0.8*'Ratio_M+Cl'!P73,X80&lt;1.2*'Ratio_M+Cl'!P73),X112/'Ratio_M+Cl'!P105,IF(OR(X112="N/A",X144="N/A"),"N/A",""))</f>
        <v/>
      </c>
      <c r="Y49" s="183" t="str">
        <f>IF(AND(ISNUMBER(Y80),Y80&gt;0.8*'Ratio_M+Cl'!Q73,Y80&lt;1.2*'Ratio_M+Cl'!Q73),Y112/'Ratio_M+Cl'!Q105,IF(OR(Y112="N/A",Y144="N/A"),"N/A",""))</f>
        <v/>
      </c>
      <c r="Z49" s="183" t="str">
        <f>IF(AND(ISNUMBER(Z80),Z80&gt;0.8*'Ratio_M+Cl'!R73,Z80&lt;1.2*'Ratio_M+Cl'!R73),Z112/'Ratio_M+Cl'!R105,IF(OR(Z112="N/A",Z144="N/A"),"N/A",""))</f>
        <v/>
      </c>
      <c r="AA49" s="183" t="str">
        <f>IF(AND(ISNUMBER(AA80),AA80&gt;0.8*'Ratio_M+Cl'!S73,AA80&lt;1.2*'Ratio_M+Cl'!S73),AA112/'Ratio_M+Cl'!S105,IF(OR(AA112="N/A",AA144="N/A"),"N/A",""))</f>
        <v/>
      </c>
      <c r="AB49" s="183" t="str">
        <f>IF(AND(ISNUMBER(AB80),AB80&gt;0.8*'Ratio_M+Cl'!T73,AB80&lt;1.2*'Ratio_M+Cl'!T73),AB112/'Ratio_M+Cl'!T105,IF(OR(AB112="N/A",AB144="N/A"),"N/A",""))</f>
        <v/>
      </c>
      <c r="AC49" s="183" t="str">
        <f>IF(AND(ISNUMBER(AC80),AC80&gt;0.8*'Ratio_M+Cl'!U73,AC80&lt;1.2*'Ratio_M+Cl'!U73),AC112/'Ratio_M+Cl'!U105,IF(OR(AC112="N/A",AC144="N/A"),"N/A",""))</f>
        <v/>
      </c>
      <c r="AD49" s="183" t="str">
        <f>IF(AND(ISNUMBER(AD80),AD80&gt;0.8*'Ratio_M+Cl'!V73,AD80&lt;1.2*'Ratio_M+Cl'!V73),AD112/'Ratio_M+Cl'!V105,IF(OR(AD112="N/A",AD144="N/A"),"N/A",""))</f>
        <v/>
      </c>
      <c r="AE49" s="183" t="str">
        <f>IF(AND(ISNUMBER(AE80),AE80&gt;0.8*'Ratio_M+Cl'!W73,AE80&lt;1.2*'Ratio_M+Cl'!W73),AE112/'Ratio_M+Cl'!W105,IF(OR(AE112="N/A",AE144="N/A"),"N/A",""))</f>
        <v/>
      </c>
      <c r="AF49" s="183" t="str">
        <f>IF(AND(ISNUMBER(AF80),AF80&gt;0.8*'Ratio_M+Cl'!X73,AF80&lt;1.2*'Ratio_M+Cl'!X73),AF112/'Ratio_M+Cl'!X105,IF(OR(AF112="N/A",AF144="N/A"),"N/A",""))</f>
        <v/>
      </c>
      <c r="AG49" s="183" t="str">
        <f>IF(AND(ISNUMBER(AG80),AG80&gt;0.8*'Ratio_M+Cl'!Y73,AG80&lt;1.2*'Ratio_M+Cl'!Y73),AG112/'Ratio_M+Cl'!Y105,IF(OR(AG112="N/A",AG144="N/A"),"N/A",""))</f>
        <v/>
      </c>
      <c r="AH49" s="183" t="str">
        <f>IF(AND(ISNUMBER(AH80),AH80&gt;0.8*'Ratio_M+Cl'!Z73,AH80&lt;1.2*'Ratio_M+Cl'!Z73),AH112/'Ratio_M+Cl'!Z105,IF(OR(AH112="N/A",AH144="N/A"),"N/A",""))</f>
        <v/>
      </c>
      <c r="AI49" s="183" t="str">
        <f>IF(AND(ISNUMBER(AI80),AI80&gt;0.8*'Ratio_M+Cl'!AA73,AI80&lt;1.2*'Ratio_M+Cl'!AA73),AI112/'Ratio_M+Cl'!AA105,IF(OR(AI112="N/A",AI144="N/A"),"N/A",""))</f>
        <v/>
      </c>
      <c r="AJ49" s="183" t="str">
        <f>IF(AND(ISNUMBER(AJ80),AJ80&gt;0.8*'Ratio_M+Cl'!AB73,AJ80&lt;1.2*'Ratio_M+Cl'!AB73),AJ112/'Ratio_M+Cl'!AB105,IF(OR(AJ112="N/A",AJ144="N/A"),"N/A",""))</f>
        <v/>
      </c>
      <c r="AK49" s="183" t="str">
        <f>IF(AND(ISNUMBER(AK80),AK80&gt;0.8*'Ratio_M+Cl'!AC73,AK80&lt;1.2*'Ratio_M+Cl'!AC73),AK112/'Ratio_M+Cl'!AC105,IF(OR(AK112="N/A",AK144="N/A"),"N/A",""))</f>
        <v/>
      </c>
      <c r="AM49" s="160" t="s">
        <v>14</v>
      </c>
      <c r="AN49" s="225" t="str">
        <f t="shared" si="3"/>
        <v/>
      </c>
      <c r="AO49" s="225">
        <f t="shared" si="2"/>
        <v>0</v>
      </c>
      <c r="AP49" s="225">
        <f t="shared" si="2"/>
        <v>0</v>
      </c>
      <c r="AQ49" s="225">
        <f t="shared" si="2"/>
        <v>0</v>
      </c>
      <c r="AR49" s="225">
        <f t="shared" si="2"/>
        <v>0</v>
      </c>
      <c r="AS49" s="225">
        <f t="shared" si="2"/>
        <v>0</v>
      </c>
      <c r="AT49" s="225">
        <f t="shared" si="2"/>
        <v>0</v>
      </c>
      <c r="AU49" s="225">
        <f t="shared" si="2"/>
        <v>0</v>
      </c>
      <c r="AV49" s="225">
        <f t="shared" si="2"/>
        <v>0</v>
      </c>
      <c r="AW49" s="225">
        <f t="shared" si="2"/>
        <v>0</v>
      </c>
      <c r="AX49" s="225">
        <f t="shared" si="2"/>
        <v>0</v>
      </c>
      <c r="AY49" s="225">
        <f t="shared" si="2"/>
        <v>0</v>
      </c>
      <c r="AZ49" s="225">
        <f t="shared" si="2"/>
        <v>0</v>
      </c>
      <c r="BA49" s="225" t="str">
        <f t="shared" si="2"/>
        <v/>
      </c>
      <c r="BB49" s="225" t="str">
        <f t="shared" si="2"/>
        <v/>
      </c>
      <c r="BC49" s="225" t="str">
        <f t="shared" si="2"/>
        <v/>
      </c>
      <c r="BD49" s="225" t="str">
        <f t="shared" si="2"/>
        <v/>
      </c>
      <c r="BE49" s="225" t="str">
        <f t="shared" si="2"/>
        <v/>
      </c>
      <c r="BF49" s="225" t="str">
        <f t="shared" si="2"/>
        <v/>
      </c>
      <c r="BG49" s="225" t="str">
        <f t="shared" si="2"/>
        <v/>
      </c>
      <c r="BH49" s="225" t="str">
        <f t="shared" si="2"/>
        <v/>
      </c>
      <c r="BI49" s="225" t="str">
        <f t="shared" si="2"/>
        <v/>
      </c>
      <c r="BJ49" s="225" t="str">
        <f t="shared" si="2"/>
        <v/>
      </c>
      <c r="BK49" s="225" t="str">
        <f t="shared" si="2"/>
        <v/>
      </c>
      <c r="BL49" s="225" t="str">
        <f t="shared" si="2"/>
        <v/>
      </c>
      <c r="BM49" s="225" t="str">
        <f t="shared" si="2"/>
        <v/>
      </c>
      <c r="BN49" s="225" t="str">
        <f t="shared" si="2"/>
        <v/>
      </c>
    </row>
    <row r="50" spans="1:66" ht="15.75" x14ac:dyDescent="0.3">
      <c r="A50" s="150">
        <v>45</v>
      </c>
      <c r="B50" s="10" t="s">
        <v>1097</v>
      </c>
      <c r="C50" s="236">
        <v>26357348.741058599</v>
      </c>
      <c r="D50" s="233"/>
      <c r="E50" s="232">
        <f t="shared" si="1"/>
        <v>0</v>
      </c>
      <c r="G50" s="10" t="s">
        <v>1568</v>
      </c>
      <c r="H50" s="151">
        <f>IF(ISNUMBER(U47),U47/SUM($K$43:$AK$71),0)</f>
        <v>6.7622313385716168E-4</v>
      </c>
      <c r="J50" s="160" t="s">
        <v>15</v>
      </c>
      <c r="K50" s="183" t="str">
        <f>IF(AND(ISNUMBER(K81),K81&gt;0.8*'Ratio_M+Cl'!C74,K81&lt;1.2*'Ratio_M+Cl'!C74),K113/'Ratio_M+Cl'!C106,IF(OR(K113="N/A",K145="N/A"),"N/A",""))</f>
        <v/>
      </c>
      <c r="L50" s="183">
        <f>IF(AND(ISNUMBER(L81),L81&gt;0.8*'Ratio_M+Cl'!D74,L81&lt;1.2*'Ratio_M+Cl'!D74),L113/'Ratio_M+Cl'!D106,IF(OR(L113="N/A",L145="N/A"),"N/A",""))</f>
        <v>1.0765423067895887</v>
      </c>
      <c r="M50" s="180">
        <f>IF(AND(ISNUMBER(M81),M81&gt;0.8*'Ratio_M+Cl'!E74,M81&lt;1.2*'Ratio_M+Cl'!E74),M113/'Ratio_M+Cl'!E106,IF(OR(M113="N/A",M145="N/A"),"N/A",""))</f>
        <v>0.48771751771311345</v>
      </c>
      <c r="N50" s="180">
        <f>IF(AND(ISNUMBER(N81),N81&gt;0.8*'Ratio_M+Cl'!F74,N81&lt;1.2*'Ratio_M+Cl'!F74),N113/'Ratio_M+Cl'!F106,IF(OR(N113="N/A",N145="N/A"),"N/A",""))</f>
        <v>0.46562400125691172</v>
      </c>
      <c r="O50" s="180">
        <f>IF(AND(ISNUMBER(O81),O81&gt;0.8*'Ratio_M+Cl'!G74,O81&lt;1.2*'Ratio_M+Cl'!G74),O113/'Ratio_M+Cl'!G106,IF(OR(O113="N/A",O145="N/A"),"N/A",""))</f>
        <v>2.1527261655929677</v>
      </c>
      <c r="P50" s="183">
        <f>IF(AND(ISNUMBER(P81),P81&gt;0.8*'Ratio_M+Cl'!H74,P81&lt;1.2*'Ratio_M+Cl'!H74),P113/'Ratio_M+Cl'!H106,IF(OR(P113="N/A",P145="N/A"),"N/A",""))</f>
        <v>3.7733189404556415</v>
      </c>
      <c r="Q50" s="183">
        <f>IF(AND(ISNUMBER(Q81),Q81&gt;0.8*'Ratio_M+Cl'!I74,Q81&lt;1.2*'Ratio_M+Cl'!I74),Q113/'Ratio_M+Cl'!I106,IF(OR(Q113="N/A",Q145="N/A"),"N/A",""))</f>
        <v>0.79798091683407346</v>
      </c>
      <c r="R50" s="183" t="str">
        <f>IF(AND(ISNUMBER(R81),R81&gt;0.8*'Ratio_M+Cl'!J74,R81&lt;1.2*'Ratio_M+Cl'!J74),R113/'Ratio_M+Cl'!J106,IF(OR(R113="N/A",R145="N/A"),"N/A",""))</f>
        <v/>
      </c>
      <c r="S50" s="183">
        <f>IF(AND(ISNUMBER(S81),S81&gt;0.8*'Ratio_M+Cl'!K74,S81&lt;1.2*'Ratio_M+Cl'!K74),S113/'Ratio_M+Cl'!K106,IF(OR(S113="N/A",S145="N/A"),"N/A",""))</f>
        <v>43.735490824783597</v>
      </c>
      <c r="T50" s="183">
        <f>IF(AND(ISNUMBER(T81),T81&gt;0.8*'Ratio_M+Cl'!L74,T81&lt;1.2*'Ratio_M+Cl'!L74),T113/'Ratio_M+Cl'!L106,IF(OR(T113="N/A",T145="N/A"),"N/A",""))</f>
        <v>89.214548806229786</v>
      </c>
      <c r="U50" s="183">
        <f>IF(AND(ISNUMBER(U81),U81&gt;0.8*'Ratio_M+Cl'!M74,U81&lt;1.2*'Ratio_M+Cl'!M74),U113/'Ratio_M+Cl'!M106,IF(OR(U113="N/A",U145="N/A"),"N/A",""))</f>
        <v>73.30586539753952</v>
      </c>
      <c r="V50" s="185">
        <f>IF(AND(ISNUMBER(V81),V81&gt;0.8*'Ratio_M+Cl'!N74,V81&lt;1.2*'Ratio_M+Cl'!N74),V113/'Ratio_M+Cl'!N106,IF(OR(V113="N/A",V145="N/A"),"N/A",""))</f>
        <v>22.774777647711304</v>
      </c>
      <c r="W50" s="183" t="str">
        <f>IF(AND(ISNUMBER(W81),W81&gt;0.8*'Ratio_M+Cl'!O74,W81&lt;1.2*'Ratio_M+Cl'!O74),W113/'Ratio_M+Cl'!O106,IF(OR(W113="N/A",W145="N/A"),"N/A",""))</f>
        <v/>
      </c>
      <c r="X50" s="184" t="str">
        <f>IF(AND(ISNUMBER(X81),X81&gt;0.8*'Ratio_M+Cl'!P74,X81&lt;1.2*'Ratio_M+Cl'!P74),X113/'Ratio_M+Cl'!P106,IF(OR(X113="N/A",X145="N/A"),"N/A",""))</f>
        <v/>
      </c>
      <c r="Y50" s="183" t="str">
        <f>IF(AND(ISNUMBER(Y81),Y81&gt;0.8*'Ratio_M+Cl'!Q74,Y81&lt;1.2*'Ratio_M+Cl'!Q74),Y113/'Ratio_M+Cl'!Q106,IF(OR(Y113="N/A",Y145="N/A"),"N/A",""))</f>
        <v/>
      </c>
      <c r="Z50" s="183" t="str">
        <f>IF(AND(ISNUMBER(Z81),Z81&gt;0.8*'Ratio_M+Cl'!R74,Z81&lt;1.2*'Ratio_M+Cl'!R74),Z113/'Ratio_M+Cl'!R106,IF(OR(Z113="N/A",Z145="N/A"),"N/A",""))</f>
        <v/>
      </c>
      <c r="AA50" s="183" t="str">
        <f>IF(AND(ISNUMBER(AA81),AA81&gt;0.8*'Ratio_M+Cl'!S74,AA81&lt;1.2*'Ratio_M+Cl'!S74),AA113/'Ratio_M+Cl'!S106,IF(OR(AA113="N/A",AA145="N/A"),"N/A",""))</f>
        <v/>
      </c>
      <c r="AB50" s="183" t="str">
        <f>IF(AND(ISNUMBER(AB81),AB81&gt;0.8*'Ratio_M+Cl'!T74,AB81&lt;1.2*'Ratio_M+Cl'!T74),AB113/'Ratio_M+Cl'!T106,IF(OR(AB113="N/A",AB145="N/A"),"N/A",""))</f>
        <v/>
      </c>
      <c r="AC50" s="183" t="str">
        <f>IF(AND(ISNUMBER(AC81),AC81&gt;0.8*'Ratio_M+Cl'!U74,AC81&lt;1.2*'Ratio_M+Cl'!U74),AC113/'Ratio_M+Cl'!U106,IF(OR(AC113="N/A",AC145="N/A"),"N/A",""))</f>
        <v/>
      </c>
      <c r="AD50" s="183" t="str">
        <f>IF(AND(ISNUMBER(AD81),AD81&gt;0.8*'Ratio_M+Cl'!V74,AD81&lt;1.2*'Ratio_M+Cl'!V74),AD113/'Ratio_M+Cl'!V106,IF(OR(AD113="N/A",AD145="N/A"),"N/A",""))</f>
        <v/>
      </c>
      <c r="AE50" s="183" t="str">
        <f>IF(AND(ISNUMBER(AE81),AE81&gt;0.8*'Ratio_M+Cl'!W74,AE81&lt;1.2*'Ratio_M+Cl'!W74),AE113/'Ratio_M+Cl'!W106,IF(OR(AE113="N/A",AE145="N/A"),"N/A",""))</f>
        <v/>
      </c>
      <c r="AF50" s="183" t="str">
        <f>IF(AND(ISNUMBER(AF81),AF81&gt;0.8*'Ratio_M+Cl'!X74,AF81&lt;1.2*'Ratio_M+Cl'!X74),AF113/'Ratio_M+Cl'!X106,IF(OR(AF113="N/A",AF145="N/A"),"N/A",""))</f>
        <v/>
      </c>
      <c r="AG50" s="183" t="str">
        <f>IF(AND(ISNUMBER(AG81),AG81&gt;0.8*'Ratio_M+Cl'!Y74,AG81&lt;1.2*'Ratio_M+Cl'!Y74),AG113/'Ratio_M+Cl'!Y106,IF(OR(AG113="N/A",AG145="N/A"),"N/A",""))</f>
        <v/>
      </c>
      <c r="AH50" s="183" t="str">
        <f>IF(AND(ISNUMBER(AH81),AH81&gt;0.8*'Ratio_M+Cl'!Z74,AH81&lt;1.2*'Ratio_M+Cl'!Z74),AH113/'Ratio_M+Cl'!Z106,IF(OR(AH113="N/A",AH145="N/A"),"N/A",""))</f>
        <v/>
      </c>
      <c r="AI50" s="183" t="str">
        <f>IF(AND(ISNUMBER(AI81),AI81&gt;0.8*'Ratio_M+Cl'!AA74,AI81&lt;1.2*'Ratio_M+Cl'!AA74),AI113/'Ratio_M+Cl'!AA106,IF(OR(AI113="N/A",AI145="N/A"),"N/A",""))</f>
        <v/>
      </c>
      <c r="AJ50" s="183" t="str">
        <f>IF(AND(ISNUMBER(AJ81),AJ81&gt;0.8*'Ratio_M+Cl'!AB74,AJ81&lt;1.2*'Ratio_M+Cl'!AB74),AJ113/'Ratio_M+Cl'!AB106,IF(OR(AJ113="N/A",AJ145="N/A"),"N/A",""))</f>
        <v/>
      </c>
      <c r="AK50" s="183" t="str">
        <f>IF(AND(ISNUMBER(AK81),AK81&gt;0.8*'Ratio_M+Cl'!AC74,AK81&lt;1.2*'Ratio_M+Cl'!AC74),AK113/'Ratio_M+Cl'!AC106,IF(OR(AK113="N/A",AK145="N/A"),"N/A",""))</f>
        <v/>
      </c>
      <c r="AM50" s="160" t="s">
        <v>15</v>
      </c>
      <c r="AN50" s="225" t="str">
        <f t="shared" si="3"/>
        <v/>
      </c>
      <c r="AO50" s="225">
        <f t="shared" si="2"/>
        <v>0</v>
      </c>
      <c r="AP50" s="225">
        <f t="shared" si="2"/>
        <v>0</v>
      </c>
      <c r="AQ50" s="225">
        <f t="shared" si="2"/>
        <v>0</v>
      </c>
      <c r="AR50" s="225">
        <f t="shared" si="2"/>
        <v>0</v>
      </c>
      <c r="AS50" s="225">
        <f t="shared" si="2"/>
        <v>0</v>
      </c>
      <c r="AT50" s="225">
        <f t="shared" si="2"/>
        <v>0</v>
      </c>
      <c r="AU50" s="225" t="str">
        <f t="shared" si="2"/>
        <v/>
      </c>
      <c r="AV50" s="225">
        <f t="shared" si="2"/>
        <v>0</v>
      </c>
      <c r="AW50" s="225">
        <f t="shared" si="2"/>
        <v>0</v>
      </c>
      <c r="AX50" s="225">
        <f t="shared" si="2"/>
        <v>0</v>
      </c>
      <c r="AY50" s="225">
        <f t="shared" si="2"/>
        <v>0</v>
      </c>
      <c r="AZ50" s="225" t="str">
        <f t="shared" si="2"/>
        <v/>
      </c>
      <c r="BA50" s="225" t="str">
        <f t="shared" si="2"/>
        <v/>
      </c>
      <c r="BB50" s="225" t="str">
        <f t="shared" si="2"/>
        <v/>
      </c>
      <c r="BC50" s="225" t="str">
        <f t="shared" si="2"/>
        <v/>
      </c>
      <c r="BD50" s="225" t="str">
        <f t="shared" si="2"/>
        <v/>
      </c>
      <c r="BE50" s="225" t="str">
        <f t="shared" si="2"/>
        <v/>
      </c>
      <c r="BF50" s="225" t="str">
        <f t="shared" si="2"/>
        <v/>
      </c>
      <c r="BG50" s="225" t="str">
        <f t="shared" si="2"/>
        <v/>
      </c>
      <c r="BH50" s="225" t="str">
        <f t="shared" si="2"/>
        <v/>
      </c>
      <c r="BI50" s="225" t="str">
        <f t="shared" si="2"/>
        <v/>
      </c>
      <c r="BJ50" s="225" t="str">
        <f t="shared" si="2"/>
        <v/>
      </c>
      <c r="BK50" s="225" t="str">
        <f t="shared" si="2"/>
        <v/>
      </c>
      <c r="BL50" s="225" t="str">
        <f t="shared" si="2"/>
        <v/>
      </c>
      <c r="BM50" s="225" t="str">
        <f t="shared" si="2"/>
        <v/>
      </c>
      <c r="BN50" s="225" t="str">
        <f t="shared" si="2"/>
        <v/>
      </c>
    </row>
    <row r="51" spans="1:66" ht="15.75" x14ac:dyDescent="0.3">
      <c r="A51" s="150">
        <v>46</v>
      </c>
      <c r="B51" s="10" t="s">
        <v>1098</v>
      </c>
      <c r="C51" s="236">
        <v>24623228.702254776</v>
      </c>
      <c r="D51" s="233"/>
      <c r="E51" s="232">
        <f t="shared" si="1"/>
        <v>0</v>
      </c>
      <c r="G51" s="10" t="s">
        <v>497</v>
      </c>
      <c r="H51" s="151">
        <f>IF(ISNUMBER(K48),K48/SUM($K$43:$AK$71),0)</f>
        <v>0</v>
      </c>
      <c r="J51" s="160" t="s">
        <v>16</v>
      </c>
      <c r="K51" s="183" t="str">
        <f>IF(AND(ISNUMBER(K82),K82&gt;0.8*'Ratio_M+Cl'!C75,K82&lt;1.2*'Ratio_M+Cl'!C75),K114/'Ratio_M+Cl'!C107,IF(OR(K114="N/A",K146="N/A"),"N/A",""))</f>
        <v/>
      </c>
      <c r="L51" s="183" t="str">
        <f>IF(AND(ISNUMBER(L82),L82&gt;0.8*'Ratio_M+Cl'!D75,L82&lt;1.2*'Ratio_M+Cl'!D75),L114/'Ratio_M+Cl'!D107,IF(OR(L114="N/A",L146="N/A"),"N/A",""))</f>
        <v/>
      </c>
      <c r="M51" s="180" t="str">
        <f>IF(AND(ISNUMBER(M82),M82&gt;0.8*'Ratio_M+Cl'!E75,M82&lt;1.2*'Ratio_M+Cl'!E75),M114/'Ratio_M+Cl'!E107,IF(OR(M114="N/A",M146="N/A"),"N/A",""))</f>
        <v/>
      </c>
      <c r="N51" s="180">
        <f>IF(AND(ISNUMBER(N82),N82&gt;0.8*'Ratio_M+Cl'!F75,N82&lt;1.2*'Ratio_M+Cl'!F75),N114/'Ratio_M+Cl'!F107,IF(OR(N114="N/A",N146="N/A"),"N/A",""))</f>
        <v>7.1596831458387411E-2</v>
      </c>
      <c r="O51" s="180">
        <f>IF(AND(ISNUMBER(O82),O82&gt;0.8*'Ratio_M+Cl'!G75,O82&lt;1.2*'Ratio_M+Cl'!G75),O114/'Ratio_M+Cl'!G107,IF(OR(O114="N/A",O146="N/A"),"N/A",""))</f>
        <v>0.11651054247580438</v>
      </c>
      <c r="P51" s="183" t="str">
        <f>IF(AND(ISNUMBER(P82),P82&gt;0.8*'Ratio_M+Cl'!H75,P82&lt;1.2*'Ratio_M+Cl'!H75),P114/'Ratio_M+Cl'!H107,IF(OR(P114="N/A",P146="N/A"),"N/A",""))</f>
        <v/>
      </c>
      <c r="Q51" s="183" t="str">
        <f>IF(AND(ISNUMBER(Q82),Q82&gt;0.8*'Ratio_M+Cl'!I75,Q82&lt;1.2*'Ratio_M+Cl'!I75),Q114/'Ratio_M+Cl'!I107,IF(OR(Q114="N/A",Q146="N/A"),"N/A",""))</f>
        <v/>
      </c>
      <c r="R51" s="183">
        <f>IF(AND(ISNUMBER(R82),R82&gt;0.8*'Ratio_M+Cl'!J75,R82&lt;1.2*'Ratio_M+Cl'!J75),R114/'Ratio_M+Cl'!J107,IF(OR(R114="N/A",R146="N/A"),"N/A",""))</f>
        <v>0.47940654686409939</v>
      </c>
      <c r="S51" s="183" t="str">
        <f>IF(AND(ISNUMBER(S82),S82&gt;0.8*'Ratio_M+Cl'!K75,S82&lt;1.2*'Ratio_M+Cl'!K75),S114/'Ratio_M+Cl'!K107,IF(OR(S114="N/A",S146="N/A"),"N/A",""))</f>
        <v/>
      </c>
      <c r="T51" s="183" t="str">
        <f>IF(AND(ISNUMBER(T82),T82&gt;0.8*'Ratio_M+Cl'!L75,T82&lt;1.2*'Ratio_M+Cl'!L75),T114/'Ratio_M+Cl'!L107,IF(OR(T114="N/A",T146="N/A"),"N/A",""))</f>
        <v/>
      </c>
      <c r="U51" s="183">
        <f>IF(AND(ISNUMBER(U82),U82&gt;0.8*'Ratio_M+Cl'!M75,U82&lt;1.2*'Ratio_M+Cl'!M75),U114/'Ratio_M+Cl'!M107,IF(OR(U114="N/A",U146="N/A"),"N/A",""))</f>
        <v>0.33793962840237018</v>
      </c>
      <c r="V51" s="183" t="str">
        <f>IF(AND(ISNUMBER(V82),V82&gt;0.8*'Ratio_M+Cl'!N75,V82&lt;1.2*'Ratio_M+Cl'!N75),V114/'Ratio_M+Cl'!N107,IF(OR(V114="N/A",V146="N/A"),"N/A",""))</f>
        <v/>
      </c>
      <c r="W51" s="185" t="str">
        <f>IF(AND(ISNUMBER(W82),W82&gt;0.8*'Ratio_M+Cl'!O75,W82&lt;1.2*'Ratio_M+Cl'!O75),W114/'Ratio_M+Cl'!O107,IF(OR(W114="N/A",W146="N/A"),"N/A",""))</f>
        <v/>
      </c>
      <c r="X51" s="183" t="str">
        <f>IF(AND(ISNUMBER(X82),X82&gt;0.8*'Ratio_M+Cl'!P75,X82&lt;1.2*'Ratio_M+Cl'!P75),X114/'Ratio_M+Cl'!P107,IF(OR(X114="N/A",X146="N/A"),"N/A",""))</f>
        <v/>
      </c>
      <c r="Y51" s="184" t="str">
        <f>IF(AND(ISNUMBER(Y82),Y82&gt;0.8*'Ratio_M+Cl'!Q75,Y82&lt;1.2*'Ratio_M+Cl'!Q75),Y114/'Ratio_M+Cl'!Q107,IF(OR(Y114="N/A",Y146="N/A"),"N/A",""))</f>
        <v/>
      </c>
      <c r="Z51" s="183" t="str">
        <f>IF(AND(ISNUMBER(Z82),Z82&gt;0.8*'Ratio_M+Cl'!R75,Z82&lt;1.2*'Ratio_M+Cl'!R75),Z114/'Ratio_M+Cl'!R107,IF(OR(Z114="N/A",Z146="N/A"),"N/A",""))</f>
        <v/>
      </c>
      <c r="AA51" s="183" t="str">
        <f>IF(AND(ISNUMBER(AA82),AA82&gt;0.8*'Ratio_M+Cl'!S75,AA82&lt;1.2*'Ratio_M+Cl'!S75),AA114/'Ratio_M+Cl'!S107,IF(OR(AA114="N/A",AA146="N/A"),"N/A",""))</f>
        <v/>
      </c>
      <c r="AB51" s="183" t="str">
        <f>IF(AND(ISNUMBER(AB82),AB82&gt;0.8*'Ratio_M+Cl'!T75,AB82&lt;1.2*'Ratio_M+Cl'!T75),AB114/'Ratio_M+Cl'!T107,IF(OR(AB114="N/A",AB146="N/A"),"N/A",""))</f>
        <v/>
      </c>
      <c r="AC51" s="183" t="str">
        <f>IF(AND(ISNUMBER(AC82),AC82&gt;0.8*'Ratio_M+Cl'!U75,AC82&lt;1.2*'Ratio_M+Cl'!U75),AC114/'Ratio_M+Cl'!U107,IF(OR(AC114="N/A",AC146="N/A"),"N/A",""))</f>
        <v/>
      </c>
      <c r="AD51" s="183" t="str">
        <f>IF(AND(ISNUMBER(AD82),AD82&gt;0.8*'Ratio_M+Cl'!V75,AD82&lt;1.2*'Ratio_M+Cl'!V75),AD114/'Ratio_M+Cl'!V107,IF(OR(AD114="N/A",AD146="N/A"),"N/A",""))</f>
        <v/>
      </c>
      <c r="AE51" s="183" t="str">
        <f>IF(AND(ISNUMBER(AE82),AE82&gt;0.8*'Ratio_M+Cl'!W75,AE82&lt;1.2*'Ratio_M+Cl'!W75),AE114/'Ratio_M+Cl'!W107,IF(OR(AE114="N/A",AE146="N/A"),"N/A",""))</f>
        <v/>
      </c>
      <c r="AF51" s="183" t="str">
        <f>IF(AND(ISNUMBER(AF82),AF82&gt;0.8*'Ratio_M+Cl'!X75,AF82&lt;1.2*'Ratio_M+Cl'!X75),AF114/'Ratio_M+Cl'!X107,IF(OR(AF114="N/A",AF146="N/A"),"N/A",""))</f>
        <v/>
      </c>
      <c r="AG51" s="183" t="str">
        <f>IF(AND(ISNUMBER(AG82),AG82&gt;0.8*'Ratio_M+Cl'!Y75,AG82&lt;1.2*'Ratio_M+Cl'!Y75),AG114/'Ratio_M+Cl'!Y107,IF(OR(AG114="N/A",AG146="N/A"),"N/A",""))</f>
        <v/>
      </c>
      <c r="AH51" s="183" t="str">
        <f>IF(AND(ISNUMBER(AH82),AH82&gt;0.8*'Ratio_M+Cl'!Z75,AH82&lt;1.2*'Ratio_M+Cl'!Z75),AH114/'Ratio_M+Cl'!Z107,IF(OR(AH114="N/A",AH146="N/A"),"N/A",""))</f>
        <v/>
      </c>
      <c r="AI51" s="183" t="str">
        <f>IF(AND(ISNUMBER(AI82),AI82&gt;0.8*'Ratio_M+Cl'!AA75,AI82&lt;1.2*'Ratio_M+Cl'!AA75),AI114/'Ratio_M+Cl'!AA107,IF(OR(AI114="N/A",AI146="N/A"),"N/A",""))</f>
        <v/>
      </c>
      <c r="AJ51" s="183" t="str">
        <f>IF(AND(ISNUMBER(AJ82),AJ82&gt;0.8*'Ratio_M+Cl'!AB75,AJ82&lt;1.2*'Ratio_M+Cl'!AB75),AJ114/'Ratio_M+Cl'!AB107,IF(OR(AJ114="N/A",AJ146="N/A"),"N/A",""))</f>
        <v/>
      </c>
      <c r="AK51" s="183" t="str">
        <f>IF(AND(ISNUMBER(AK82),AK82&gt;0.8*'Ratio_M+Cl'!AC75,AK82&lt;1.2*'Ratio_M+Cl'!AC75),AK114/'Ratio_M+Cl'!AC107,IF(OR(AK114="N/A",AK146="N/A"),"N/A",""))</f>
        <v/>
      </c>
      <c r="AM51" s="160" t="s">
        <v>16</v>
      </c>
      <c r="AN51" s="225" t="str">
        <f t="shared" si="3"/>
        <v/>
      </c>
      <c r="AO51" s="225" t="str">
        <f t="shared" si="2"/>
        <v/>
      </c>
      <c r="AP51" s="225" t="str">
        <f t="shared" si="2"/>
        <v/>
      </c>
      <c r="AQ51" s="225">
        <f t="shared" si="2"/>
        <v>0</v>
      </c>
      <c r="AR51" s="225">
        <f t="shared" si="2"/>
        <v>0</v>
      </c>
      <c r="AS51" s="225" t="str">
        <f t="shared" si="2"/>
        <v/>
      </c>
      <c r="AT51" s="225" t="str">
        <f t="shared" si="2"/>
        <v/>
      </c>
      <c r="AU51" s="225">
        <f t="shared" si="2"/>
        <v>0</v>
      </c>
      <c r="AV51" s="225" t="str">
        <f t="shared" si="2"/>
        <v/>
      </c>
      <c r="AW51" s="225" t="str">
        <f t="shared" si="2"/>
        <v/>
      </c>
      <c r="AX51" s="225">
        <f t="shared" si="2"/>
        <v>0</v>
      </c>
      <c r="AY51" s="225" t="str">
        <f t="shared" si="2"/>
        <v/>
      </c>
      <c r="AZ51" s="225" t="str">
        <f t="shared" si="2"/>
        <v/>
      </c>
      <c r="BA51" s="225" t="str">
        <f t="shared" si="2"/>
        <v/>
      </c>
      <c r="BB51" s="225" t="str">
        <f t="shared" si="2"/>
        <v/>
      </c>
      <c r="BC51" s="225" t="str">
        <f t="shared" si="2"/>
        <v/>
      </c>
      <c r="BD51" s="225" t="str">
        <f t="shared" si="2"/>
        <v/>
      </c>
      <c r="BE51" s="225" t="str">
        <f t="shared" si="2"/>
        <v/>
      </c>
      <c r="BF51" s="225" t="str">
        <f t="shared" si="2"/>
        <v/>
      </c>
      <c r="BG51" s="225" t="str">
        <f t="shared" si="2"/>
        <v/>
      </c>
      <c r="BH51" s="225" t="str">
        <f t="shared" si="2"/>
        <v/>
      </c>
      <c r="BI51" s="225" t="str">
        <f t="shared" si="2"/>
        <v/>
      </c>
      <c r="BJ51" s="225" t="str">
        <f t="shared" si="2"/>
        <v/>
      </c>
      <c r="BK51" s="225" t="str">
        <f t="shared" si="2"/>
        <v/>
      </c>
      <c r="BL51" s="225" t="str">
        <f t="shared" si="2"/>
        <v/>
      </c>
      <c r="BM51" s="225" t="str">
        <f t="shared" si="2"/>
        <v/>
      </c>
      <c r="BN51" s="225" t="str">
        <f t="shared" si="2"/>
        <v/>
      </c>
    </row>
    <row r="52" spans="1:66" ht="15.75" x14ac:dyDescent="0.3">
      <c r="A52" s="150">
        <v>47</v>
      </c>
      <c r="B52" s="10" t="s">
        <v>1099</v>
      </c>
      <c r="C52" s="236">
        <v>979802.77416709182</v>
      </c>
      <c r="D52" s="233"/>
      <c r="E52" s="232">
        <f t="shared" si="1"/>
        <v>0</v>
      </c>
      <c r="G52" s="10" t="s">
        <v>367</v>
      </c>
      <c r="H52" s="151">
        <f>IF(ISNUMBER(L48),L48/SUM($K$43:$AK$71),0)</f>
        <v>2.2575278623556812E-4</v>
      </c>
      <c r="J52" s="159" t="s">
        <v>17</v>
      </c>
      <c r="K52" s="181" t="str">
        <f>IF(AND(ISNUMBER(K83),K83&gt;0.8*'Ratio_M+Cl'!C76,K83&lt;1.2*'Ratio_M+Cl'!C76),K115/'Ratio_M+Cl'!C108,IF(OR(K115="N/A",K147="N/A"),"N/A",""))</f>
        <v/>
      </c>
      <c r="L52" s="181" t="str">
        <f>IF(AND(ISNUMBER(L83),L83&gt;0.8*'Ratio_M+Cl'!D76,L83&lt;1.2*'Ratio_M+Cl'!D76),L115/'Ratio_M+Cl'!D108,IF(OR(L115="N/A",L147="N/A"),"N/A",""))</f>
        <v/>
      </c>
      <c r="M52" s="181" t="str">
        <f>IF(AND(ISNUMBER(M83),M83&gt;0.8*'Ratio_M+Cl'!E76,M83&lt;1.2*'Ratio_M+Cl'!E76),M115/'Ratio_M+Cl'!E108,IF(OR(M115="N/A",M147="N/A"),"N/A",""))</f>
        <v/>
      </c>
      <c r="N52" s="181" t="str">
        <f>IF(AND(ISNUMBER(N83),N83&gt;0.8*'Ratio_M+Cl'!F76,N83&lt;1.2*'Ratio_M+Cl'!F76),N115/'Ratio_M+Cl'!F108,IF(OR(N115="N/A",N147="N/A"),"N/A",""))</f>
        <v/>
      </c>
      <c r="O52" s="181" t="str">
        <f>IF(AND(ISNUMBER(O83),O83&gt;0.8*'Ratio_M+Cl'!G76,O83&lt;1.2*'Ratio_M+Cl'!G76),O115/'Ratio_M+Cl'!G108,IF(OR(O115="N/A",O147="N/A"),"N/A",""))</f>
        <v/>
      </c>
      <c r="P52" s="181" t="str">
        <f>IF(AND(ISNUMBER(P83),P83&gt;0.8*'Ratio_M+Cl'!H76,P83&lt;1.2*'Ratio_M+Cl'!H76),P115/'Ratio_M+Cl'!H108,IF(OR(P115="N/A",P147="N/A"),"N/A",""))</f>
        <v/>
      </c>
      <c r="Q52" s="181" t="str">
        <f>IF(AND(ISNUMBER(Q83),Q83&gt;0.8*'Ratio_M+Cl'!I76,Q83&lt;1.2*'Ratio_M+Cl'!I76),Q115/'Ratio_M+Cl'!I108,IF(OR(Q115="N/A",Q147="N/A"),"N/A",""))</f>
        <v/>
      </c>
      <c r="R52" s="181" t="str">
        <f>IF(AND(ISNUMBER(R83),R83&gt;0.8*'Ratio_M+Cl'!J76,R83&lt;1.2*'Ratio_M+Cl'!J76),R115/'Ratio_M+Cl'!J108,IF(OR(R115="N/A",R147="N/A"),"N/A",""))</f>
        <v/>
      </c>
      <c r="S52" s="181" t="str">
        <f>IF(AND(ISNUMBER(S83),S83&gt;0.8*'Ratio_M+Cl'!K76,S83&lt;1.2*'Ratio_M+Cl'!K76),S115/'Ratio_M+Cl'!K108,IF(OR(S115="N/A",S147="N/A"),"N/A",""))</f>
        <v/>
      </c>
      <c r="T52" s="181" t="str">
        <f>IF(AND(ISNUMBER(T83),T83&gt;0.8*'Ratio_M+Cl'!L76,T83&lt;1.2*'Ratio_M+Cl'!L76),T115/'Ratio_M+Cl'!L108,IF(OR(T115="N/A",T147="N/A"),"N/A",""))</f>
        <v/>
      </c>
      <c r="U52" s="181" t="str">
        <f>IF(AND(ISNUMBER(U83),U83&gt;0.8*'Ratio_M+Cl'!M76,U83&lt;1.2*'Ratio_M+Cl'!M76),U115/'Ratio_M+Cl'!M108,IF(OR(U115="N/A",U147="N/A"),"N/A",""))</f>
        <v/>
      </c>
      <c r="V52" s="181" t="str">
        <f>IF(AND(ISNUMBER(V83),V83&gt;0.8*'Ratio_M+Cl'!N76,V83&lt;1.2*'Ratio_M+Cl'!N76),V115/'Ratio_M+Cl'!N108,IF(OR(V115="N/A",V147="N/A"),"N/A",""))</f>
        <v/>
      </c>
      <c r="W52" s="181" t="str">
        <f>IF(AND(ISNUMBER(W83),W83&gt;0.8*'Ratio_M+Cl'!O76,W83&lt;1.2*'Ratio_M+Cl'!O76),W115/'Ratio_M+Cl'!O108,IF(OR(W115="N/A",W147="N/A"),"N/A",""))</f>
        <v/>
      </c>
      <c r="X52" s="182" t="str">
        <f>IF(AND(ISNUMBER(X83),X83&gt;0.8*'Ratio_M+Cl'!P76,X83&lt;1.2*'Ratio_M+Cl'!P76),X115/'Ratio_M+Cl'!P108,IF(OR(X115="N/A",X147="N/A"),"N/A",""))</f>
        <v/>
      </c>
      <c r="Y52" s="183" t="str">
        <f>IF(AND(ISNUMBER(Y83),Y83&gt;0.8*'Ratio_M+Cl'!Q76,Y83&lt;1.2*'Ratio_M+Cl'!Q76),Y115/'Ratio_M+Cl'!Q108,IF(OR(Y115="N/A",Y147="N/A"),"N/A",""))</f>
        <v/>
      </c>
      <c r="Z52" s="184">
        <f>IF(AND(ISNUMBER(Z83),Z83&gt;0.8*'Ratio_M+Cl'!R76,Z83&lt;1.2*'Ratio_M+Cl'!R76),Z115/'Ratio_M+Cl'!R108,IF(OR(Z115="N/A",Z147="N/A"),"N/A",""))</f>
        <v>9.6068695011554212E-2</v>
      </c>
      <c r="AA52" s="183" t="str">
        <f>IF(AND(ISNUMBER(AA83),AA83&gt;0.8*'Ratio_M+Cl'!S76,AA83&lt;1.2*'Ratio_M+Cl'!S76),AA115/'Ratio_M+Cl'!S108,IF(OR(AA115="N/A",AA147="N/A"),"N/A",""))</f>
        <v/>
      </c>
      <c r="AB52" s="183" t="str">
        <f>IF(AND(ISNUMBER(AB83),AB83&gt;0.8*'Ratio_M+Cl'!T76,AB83&lt;1.2*'Ratio_M+Cl'!T76),AB115/'Ratio_M+Cl'!T108,IF(OR(AB115="N/A",AB147="N/A"),"N/A",""))</f>
        <v/>
      </c>
      <c r="AC52" s="183" t="str">
        <f>IF(AND(ISNUMBER(AC83),AC83&gt;0.8*'Ratio_M+Cl'!U76,AC83&lt;1.2*'Ratio_M+Cl'!U76),AC115/'Ratio_M+Cl'!U108,IF(OR(AC115="N/A",AC147="N/A"),"N/A",""))</f>
        <v/>
      </c>
      <c r="AD52" s="183" t="str">
        <f>IF(AND(ISNUMBER(AD83),AD83&gt;0.8*'Ratio_M+Cl'!V76,AD83&lt;1.2*'Ratio_M+Cl'!V76),AD115/'Ratio_M+Cl'!V108,IF(OR(AD115="N/A",AD147="N/A"),"N/A",""))</f>
        <v/>
      </c>
      <c r="AE52" s="183" t="str">
        <f>IF(AND(ISNUMBER(AE83),AE83&gt;0.8*'Ratio_M+Cl'!W76,AE83&lt;1.2*'Ratio_M+Cl'!W76),AE115/'Ratio_M+Cl'!W108,IF(OR(AE115="N/A",AE147="N/A"),"N/A",""))</f>
        <v/>
      </c>
      <c r="AF52" s="183" t="str">
        <f>IF(AND(ISNUMBER(AF83),AF83&gt;0.8*'Ratio_M+Cl'!X76,AF83&lt;1.2*'Ratio_M+Cl'!X76),AF115/'Ratio_M+Cl'!X108,IF(OR(AF115="N/A",AF147="N/A"),"N/A",""))</f>
        <v/>
      </c>
      <c r="AG52" s="183" t="str">
        <f>IF(AND(ISNUMBER(AG83),AG83&gt;0.8*'Ratio_M+Cl'!Y76,AG83&lt;1.2*'Ratio_M+Cl'!Y76),AG115/'Ratio_M+Cl'!Y108,IF(OR(AG115="N/A",AG147="N/A"),"N/A",""))</f>
        <v/>
      </c>
      <c r="AH52" s="183" t="str">
        <f>IF(AND(ISNUMBER(AH83),AH83&gt;0.8*'Ratio_M+Cl'!Z76,AH83&lt;1.2*'Ratio_M+Cl'!Z76),AH115/'Ratio_M+Cl'!Z108,IF(OR(AH115="N/A",AH147="N/A"),"N/A",""))</f>
        <v/>
      </c>
      <c r="AI52" s="183" t="str">
        <f>IF(AND(ISNUMBER(AI83),AI83&gt;0.8*'Ratio_M+Cl'!AA76,AI83&lt;1.2*'Ratio_M+Cl'!AA76),AI115/'Ratio_M+Cl'!AA108,IF(OR(AI115="N/A",AI147="N/A"),"N/A",""))</f>
        <v/>
      </c>
      <c r="AJ52" s="183" t="str">
        <f>IF(AND(ISNUMBER(AJ83),AJ83&gt;0.8*'Ratio_M+Cl'!AB76,AJ83&lt;1.2*'Ratio_M+Cl'!AB76),AJ115/'Ratio_M+Cl'!AB108,IF(OR(AJ115="N/A",AJ147="N/A"),"N/A",""))</f>
        <v/>
      </c>
      <c r="AK52" s="183" t="str">
        <f>IF(AND(ISNUMBER(AK83),AK83&gt;0.8*'Ratio_M+Cl'!AC76,AK83&lt;1.2*'Ratio_M+Cl'!AC76),AK115/'Ratio_M+Cl'!AC108,IF(OR(AK115="N/A",AK147="N/A"),"N/A",""))</f>
        <v/>
      </c>
      <c r="AM52" s="159" t="s">
        <v>17</v>
      </c>
      <c r="AN52" s="225" t="str">
        <f t="shared" si="3"/>
        <v/>
      </c>
      <c r="AO52" s="225" t="str">
        <f t="shared" si="2"/>
        <v/>
      </c>
      <c r="AP52" s="225" t="str">
        <f t="shared" si="2"/>
        <v/>
      </c>
      <c r="AQ52" s="225" t="str">
        <f t="shared" si="2"/>
        <v/>
      </c>
      <c r="AR52" s="225" t="str">
        <f t="shared" si="2"/>
        <v/>
      </c>
      <c r="AS52" s="225" t="str">
        <f t="shared" si="2"/>
        <v/>
      </c>
      <c r="AT52" s="225" t="str">
        <f t="shared" si="2"/>
        <v/>
      </c>
      <c r="AU52" s="225" t="str">
        <f t="shared" si="2"/>
        <v/>
      </c>
      <c r="AV52" s="225" t="str">
        <f t="shared" si="2"/>
        <v/>
      </c>
      <c r="AW52" s="225" t="str">
        <f t="shared" si="2"/>
        <v/>
      </c>
      <c r="AX52" s="225" t="str">
        <f t="shared" si="2"/>
        <v/>
      </c>
      <c r="AY52" s="225" t="str">
        <f t="shared" si="2"/>
        <v/>
      </c>
      <c r="AZ52" s="225" t="str">
        <f t="shared" si="2"/>
        <v/>
      </c>
      <c r="BA52" s="225" t="str">
        <f t="shared" si="2"/>
        <v/>
      </c>
      <c r="BB52" s="225" t="str">
        <f t="shared" si="2"/>
        <v/>
      </c>
      <c r="BC52" s="225">
        <f t="shared" si="2"/>
        <v>0</v>
      </c>
      <c r="BD52" s="225" t="str">
        <f t="shared" si="2"/>
        <v/>
      </c>
      <c r="BE52" s="225" t="str">
        <f t="shared" si="2"/>
        <v/>
      </c>
      <c r="BF52" s="225" t="str">
        <f t="shared" si="2"/>
        <v/>
      </c>
      <c r="BG52" s="225" t="str">
        <f t="shared" si="2"/>
        <v/>
      </c>
      <c r="BH52" s="225" t="str">
        <f t="shared" si="2"/>
        <v/>
      </c>
      <c r="BI52" s="225" t="str">
        <f t="shared" si="2"/>
        <v/>
      </c>
      <c r="BJ52" s="225" t="str">
        <f t="shared" ref="BJ52:BJ71" si="4">IF(ISNUMBER(AG52),BJ115,"")</f>
        <v/>
      </c>
      <c r="BK52" s="225" t="str">
        <f t="shared" ref="BK52:BK71" si="5">IF(ISNUMBER(AH52),BK115,"")</f>
        <v/>
      </c>
      <c r="BL52" s="225" t="str">
        <f t="shared" ref="BL52:BL71" si="6">IF(ISNUMBER(AI52),BL115,"")</f>
        <v/>
      </c>
      <c r="BM52" s="225" t="str">
        <f t="shared" ref="BM52:BM71" si="7">IF(ISNUMBER(AJ52),BM115,"")</f>
        <v/>
      </c>
      <c r="BN52" s="225" t="str">
        <f t="shared" ref="BN52:BN71" si="8">IF(ISNUMBER(AK52),BN115,"")</f>
        <v/>
      </c>
    </row>
    <row r="53" spans="1:66" ht="15.75" x14ac:dyDescent="0.3">
      <c r="A53" s="150">
        <v>48</v>
      </c>
      <c r="B53" s="10" t="s">
        <v>1100</v>
      </c>
      <c r="C53" s="236">
        <v>967479.17971208622</v>
      </c>
      <c r="D53" s="233"/>
      <c r="E53" s="232">
        <v>0.5</v>
      </c>
      <c r="G53" s="10" t="s">
        <v>368</v>
      </c>
      <c r="H53" s="151">
        <f>IF(ISNUMBER(M48),M48/SUM($K$43:$AK$71),0)</f>
        <v>3.3816657071277564E-3</v>
      </c>
      <c r="J53" s="160" t="s">
        <v>9</v>
      </c>
      <c r="K53" s="183" t="str">
        <f>IF(AND(ISNUMBER(K84),K84&gt;0.8*'Ratio_M+Cl'!C77,K84&lt;1.2*'Ratio_M+Cl'!C77),K116/'Ratio_M+Cl'!C109,IF(OR(K116="N/A",K148="N/A"),"N/A",""))</f>
        <v/>
      </c>
      <c r="L53" s="183" t="str">
        <f>IF(AND(ISNUMBER(L84),L84&gt;0.8*'Ratio_M+Cl'!D77,L84&lt;1.2*'Ratio_M+Cl'!D77),L116/'Ratio_M+Cl'!D109,IF(OR(L116="N/A",L148="N/A"),"N/A",""))</f>
        <v/>
      </c>
      <c r="M53" s="180" t="str">
        <f>IF(AND(ISNUMBER(M84),M84&gt;0.8*'Ratio_M+Cl'!E77,M84&lt;1.2*'Ratio_M+Cl'!E77),M116/'Ratio_M+Cl'!E109,IF(OR(M116="N/A",M148="N/A"),"N/A",""))</f>
        <v/>
      </c>
      <c r="N53" s="180" t="str">
        <f>IF(AND(ISNUMBER(N84),N84&gt;0.8*'Ratio_M+Cl'!F77,N84&lt;1.2*'Ratio_M+Cl'!F77),N116/'Ratio_M+Cl'!F109,IF(OR(N116="N/A",N148="N/A"),"N/A",""))</f>
        <v/>
      </c>
      <c r="O53" s="180" t="str">
        <f>IF(AND(ISNUMBER(O84),O84&gt;0.8*'Ratio_M+Cl'!G77,O84&lt;1.2*'Ratio_M+Cl'!G77),O116/'Ratio_M+Cl'!G109,IF(OR(O116="N/A",O148="N/A"),"N/A",""))</f>
        <v/>
      </c>
      <c r="P53" s="183" t="str">
        <f>IF(AND(ISNUMBER(P84),P84&gt;0.8*'Ratio_M+Cl'!H77,P84&lt;1.2*'Ratio_M+Cl'!H77),P116/'Ratio_M+Cl'!H109,IF(OR(P116="N/A",P148="N/A"),"N/A",""))</f>
        <v/>
      </c>
      <c r="Q53" s="183" t="str">
        <f>IF(AND(ISNUMBER(Q84),Q84&gt;0.8*'Ratio_M+Cl'!I77,Q84&lt;1.2*'Ratio_M+Cl'!I77),Q116/'Ratio_M+Cl'!I109,IF(OR(Q116="N/A",Q148="N/A"),"N/A",""))</f>
        <v/>
      </c>
      <c r="R53" s="183" t="str">
        <f>IF(AND(ISNUMBER(R84),R84&gt;0.8*'Ratio_M+Cl'!J77,R84&lt;1.2*'Ratio_M+Cl'!J77),R116/'Ratio_M+Cl'!J109,IF(OR(R116="N/A",R148="N/A"),"N/A",""))</f>
        <v/>
      </c>
      <c r="S53" s="183" t="str">
        <f>IF(AND(ISNUMBER(S84),S84&gt;0.8*'Ratio_M+Cl'!K77,S84&lt;1.2*'Ratio_M+Cl'!K77),S116/'Ratio_M+Cl'!K109,IF(OR(S116="N/A",S148="N/A"),"N/A",""))</f>
        <v/>
      </c>
      <c r="T53" s="183" t="str">
        <f>IF(AND(ISNUMBER(T84),T84&gt;0.8*'Ratio_M+Cl'!L77,T84&lt;1.2*'Ratio_M+Cl'!L77),T116/'Ratio_M+Cl'!L109,IF(OR(T116="N/A",T148="N/A"),"N/A",""))</f>
        <v/>
      </c>
      <c r="U53" s="183">
        <f>IF(AND(ISNUMBER(U84),U84&gt;0.8*'Ratio_M+Cl'!M77,U84&lt;1.2*'Ratio_M+Cl'!M77),U116/'Ratio_M+Cl'!M109,IF(OR(U116="N/A",U148="N/A"),"N/A",""))</f>
        <v>3.0708603169897559</v>
      </c>
      <c r="V53" s="183">
        <f>IF(AND(ISNUMBER(V84),V84&gt;0.8*'Ratio_M+Cl'!N77,V84&lt;1.2*'Ratio_M+Cl'!N77),V116/'Ratio_M+Cl'!N109,IF(OR(V116="N/A",V148="N/A"),"N/A",""))</f>
        <v>13.824118159393036</v>
      </c>
      <c r="W53" s="183">
        <f>IF(AND(ISNUMBER(W84),W84&gt;0.8*'Ratio_M+Cl'!O77,W84&lt;1.2*'Ratio_M+Cl'!O77),W116/'Ratio_M+Cl'!O109,IF(OR(W116="N/A",W148="N/A"),"N/A",""))</f>
        <v>18.633873008275913</v>
      </c>
      <c r="X53" s="183">
        <f>IF(AND(ISNUMBER(X84),X84&gt;0.8*'Ratio_M+Cl'!P77,X84&lt;1.2*'Ratio_M+Cl'!P77),X116/'Ratio_M+Cl'!P109,IF(OR(X116="N/A",X148="N/A"),"N/A",""))</f>
        <v>8.4216758563875889</v>
      </c>
      <c r="Y53" s="185">
        <f>IF(AND(ISNUMBER(Y84),Y84&gt;0.8*'Ratio_M+Cl'!Q77,Y84&lt;1.2*'Ratio_M+Cl'!Q77),Y116/'Ratio_M+Cl'!Q109,IF(OR(Y116="N/A",Y148="N/A"),"N/A",""))</f>
        <v>0.60840835751475586</v>
      </c>
      <c r="Z53" s="183" t="str">
        <f>IF(AND(ISNUMBER(Z84),Z84&gt;0.8*'Ratio_M+Cl'!R77,Z84&lt;1.2*'Ratio_M+Cl'!R77),Z116/'Ratio_M+Cl'!R109,IF(OR(Z116="N/A",Z148="N/A"),"N/A",""))</f>
        <v/>
      </c>
      <c r="AA53" s="184" t="str">
        <f>IF(AND(ISNUMBER(AA84),AA84&gt;0.8*'Ratio_M+Cl'!S77,AA84&lt;1.2*'Ratio_M+Cl'!S77),AA116/'Ratio_M+Cl'!S109,IF(OR(AA116="N/A",AA148="N/A"),"N/A",""))</f>
        <v/>
      </c>
      <c r="AB53" s="183" t="str">
        <f>IF(AND(ISNUMBER(AB84),AB84&gt;0.8*'Ratio_M+Cl'!T77,AB84&lt;1.2*'Ratio_M+Cl'!T77),AB116/'Ratio_M+Cl'!T109,IF(OR(AB116="N/A",AB148="N/A"),"N/A",""))</f>
        <v/>
      </c>
      <c r="AC53" s="183" t="str">
        <f>IF(AND(ISNUMBER(AC84),AC84&gt;0.8*'Ratio_M+Cl'!U77,AC84&lt;1.2*'Ratio_M+Cl'!U77),AC116/'Ratio_M+Cl'!U109,IF(OR(AC116="N/A",AC148="N/A"),"N/A",""))</f>
        <v/>
      </c>
      <c r="AD53" s="183" t="str">
        <f>IF(AND(ISNUMBER(AD84),AD84&gt;0.8*'Ratio_M+Cl'!V77,AD84&lt;1.2*'Ratio_M+Cl'!V77),AD116/'Ratio_M+Cl'!V109,IF(OR(AD116="N/A",AD148="N/A"),"N/A",""))</f>
        <v/>
      </c>
      <c r="AE53" s="183" t="str">
        <f>IF(AND(ISNUMBER(AE84),AE84&gt;0.8*'Ratio_M+Cl'!W77,AE84&lt;1.2*'Ratio_M+Cl'!W77),AE116/'Ratio_M+Cl'!W109,IF(OR(AE116="N/A",AE148="N/A"),"N/A",""))</f>
        <v/>
      </c>
      <c r="AF53" s="183" t="str">
        <f>IF(AND(ISNUMBER(AF84),AF84&gt;0.8*'Ratio_M+Cl'!X77,AF84&lt;1.2*'Ratio_M+Cl'!X77),AF116/'Ratio_M+Cl'!X109,IF(OR(AF116="N/A",AF148="N/A"),"N/A",""))</f>
        <v/>
      </c>
      <c r="AG53" s="183" t="str">
        <f>IF(AND(ISNUMBER(AG84),AG84&gt;0.8*'Ratio_M+Cl'!Y77,AG84&lt;1.2*'Ratio_M+Cl'!Y77),AG116/'Ratio_M+Cl'!Y109,IF(OR(AG116="N/A",AG148="N/A"),"N/A",""))</f>
        <v/>
      </c>
      <c r="AH53" s="183" t="str">
        <f>IF(AND(ISNUMBER(AH84),AH84&gt;0.8*'Ratio_M+Cl'!Z77,AH84&lt;1.2*'Ratio_M+Cl'!Z77),AH116/'Ratio_M+Cl'!Z109,IF(OR(AH116="N/A",AH148="N/A"),"N/A",""))</f>
        <v/>
      </c>
      <c r="AI53" s="183" t="str">
        <f>IF(AND(ISNUMBER(AI84),AI84&gt;0.8*'Ratio_M+Cl'!AA77,AI84&lt;1.2*'Ratio_M+Cl'!AA77),AI116/'Ratio_M+Cl'!AA109,IF(OR(AI116="N/A",AI148="N/A"),"N/A",""))</f>
        <v/>
      </c>
      <c r="AJ53" s="183" t="str">
        <f>IF(AND(ISNUMBER(AJ84),AJ84&gt;0.8*'Ratio_M+Cl'!AB77,AJ84&lt;1.2*'Ratio_M+Cl'!AB77),AJ116/'Ratio_M+Cl'!AB109,IF(OR(AJ116="N/A",AJ148="N/A"),"N/A",""))</f>
        <v/>
      </c>
      <c r="AK53" s="183" t="str">
        <f>IF(AND(ISNUMBER(AK84),AK84&gt;0.8*'Ratio_M+Cl'!AC77,AK84&lt;1.2*'Ratio_M+Cl'!AC77),AK116/'Ratio_M+Cl'!AC109,IF(OR(AK116="N/A",AK148="N/A"),"N/A",""))</f>
        <v/>
      </c>
      <c r="AM53" s="160" t="s">
        <v>9</v>
      </c>
      <c r="AN53" s="225" t="str">
        <f t="shared" si="3"/>
        <v/>
      </c>
      <c r="AO53" s="225" t="str">
        <f t="shared" ref="AO53:AO71" si="9">IF(ISNUMBER(L53),AO116,"")</f>
        <v/>
      </c>
      <c r="AP53" s="225" t="str">
        <f t="shared" ref="AP53:AP71" si="10">IF(ISNUMBER(M53),AP116,"")</f>
        <v/>
      </c>
      <c r="AQ53" s="225" t="str">
        <f t="shared" ref="AQ53:AQ71" si="11">IF(ISNUMBER(N53),AQ116,"")</f>
        <v/>
      </c>
      <c r="AR53" s="225" t="str">
        <f t="shared" ref="AR53:AR71" si="12">IF(ISNUMBER(O53),AR116,"")</f>
        <v/>
      </c>
      <c r="AS53" s="225" t="str">
        <f t="shared" ref="AS53:AS71" si="13">IF(ISNUMBER(P53),AS116,"")</f>
        <v/>
      </c>
      <c r="AT53" s="225" t="str">
        <f t="shared" ref="AT53:AT71" si="14">IF(ISNUMBER(Q53),AT116,"")</f>
        <v/>
      </c>
      <c r="AU53" s="225" t="str">
        <f t="shared" ref="AU53:AU71" si="15">IF(ISNUMBER(R53),AU116,"")</f>
        <v/>
      </c>
      <c r="AV53" s="225" t="str">
        <f t="shared" ref="AV53:AV71" si="16">IF(ISNUMBER(S53),AV116,"")</f>
        <v/>
      </c>
      <c r="AW53" s="225" t="str">
        <f t="shared" ref="AW53:AW71" si="17">IF(ISNUMBER(T53),AW116,"")</f>
        <v/>
      </c>
      <c r="AX53" s="225">
        <f t="shared" ref="AX53:AX71" si="18">IF(ISNUMBER(U53),AX116,"")</f>
        <v>0</v>
      </c>
      <c r="AY53" s="225">
        <f t="shared" ref="AY53:AY71" si="19">IF(ISNUMBER(V53),AY116,"")</f>
        <v>0</v>
      </c>
      <c r="AZ53" s="225">
        <f t="shared" ref="AZ53:AZ71" si="20">IF(ISNUMBER(W53),AZ116,"")</f>
        <v>0</v>
      </c>
      <c r="BA53" s="225">
        <f t="shared" ref="BA53:BA71" si="21">IF(ISNUMBER(X53),BA116,"")</f>
        <v>0</v>
      </c>
      <c r="BB53" s="225">
        <f t="shared" ref="BB53:BB71" si="22">IF(ISNUMBER(Y53),BB116,"")</f>
        <v>0</v>
      </c>
      <c r="BC53" s="225" t="str">
        <f t="shared" ref="BC53:BC71" si="23">IF(ISNUMBER(Z53),BC116,"")</f>
        <v/>
      </c>
      <c r="BD53" s="225" t="str">
        <f t="shared" ref="BD53:BD71" si="24">IF(ISNUMBER(AA53),BD116,"")</f>
        <v/>
      </c>
      <c r="BE53" s="225" t="str">
        <f t="shared" ref="BE53:BE71" si="25">IF(ISNUMBER(AB53),BE116,"")</f>
        <v/>
      </c>
      <c r="BF53" s="225" t="str">
        <f t="shared" ref="BF53:BF71" si="26">IF(ISNUMBER(AC53),BF116,"")</f>
        <v/>
      </c>
      <c r="BG53" s="225" t="str">
        <f t="shared" ref="BG53:BG71" si="27">IF(ISNUMBER(AD53),BG116,"")</f>
        <v/>
      </c>
      <c r="BH53" s="225" t="str">
        <f t="shared" ref="BH53:BH71" si="28">IF(ISNUMBER(AE53),BH116,"")</f>
        <v/>
      </c>
      <c r="BI53" s="225" t="str">
        <f t="shared" ref="BI53:BI71" si="29">IF(ISNUMBER(AF53),BI116,"")</f>
        <v/>
      </c>
      <c r="BJ53" s="225" t="str">
        <f t="shared" si="4"/>
        <v/>
      </c>
      <c r="BK53" s="225" t="str">
        <f t="shared" si="5"/>
        <v/>
      </c>
      <c r="BL53" s="225" t="str">
        <f t="shared" si="6"/>
        <v/>
      </c>
      <c r="BM53" s="225" t="str">
        <f t="shared" si="7"/>
        <v/>
      </c>
      <c r="BN53" s="225" t="str">
        <f t="shared" si="8"/>
        <v/>
      </c>
    </row>
    <row r="54" spans="1:66" ht="15.75" x14ac:dyDescent="0.3">
      <c r="A54" s="150">
        <v>49</v>
      </c>
      <c r="B54" s="10" t="s">
        <v>677</v>
      </c>
      <c r="C54" s="236">
        <v>416.04614524842998</v>
      </c>
      <c r="D54" s="233"/>
      <c r="E54" s="232">
        <v>0.5</v>
      </c>
      <c r="G54" s="10" t="s">
        <v>369</v>
      </c>
      <c r="H54" s="151">
        <f>IF(ISNUMBER(N48),N48/SUM($K$43:$AK$71),0)</f>
        <v>1.0417256485026446E-2</v>
      </c>
      <c r="J54" s="160" t="s">
        <v>18</v>
      </c>
      <c r="K54" s="183" t="str">
        <f>IF(AND(ISNUMBER(K85),K85&gt;0.8*'Ratio_M+Cl'!C78,K85&lt;1.2*'Ratio_M+Cl'!C78),K117/'Ratio_M+Cl'!C110,IF(OR(K117="N/A",K149="N/A"),"N/A",""))</f>
        <v/>
      </c>
      <c r="L54" s="183">
        <f>IF(AND(ISNUMBER(L85),L85&gt;0.8*'Ratio_M+Cl'!D78,L85&lt;1.2*'Ratio_M+Cl'!D78),L117/'Ratio_M+Cl'!D110,IF(OR(L117="N/A",L149="N/A"),"N/A",""))</f>
        <v>4.4980718037242937</v>
      </c>
      <c r="M54" s="180">
        <f>IF(AND(ISNUMBER(M85),M85&gt;0.8*'Ratio_M+Cl'!E78,M85&lt;1.2*'Ratio_M+Cl'!E78),M117/'Ratio_M+Cl'!E110,IF(OR(M117="N/A",M149="N/A"),"N/A",""))</f>
        <v>5.0877454590411375</v>
      </c>
      <c r="N54" s="180">
        <f>IF(AND(ISNUMBER(N85),N85&gt;0.8*'Ratio_M+Cl'!F78,N85&lt;1.2*'Ratio_M+Cl'!F78),N117/'Ratio_M+Cl'!F110,IF(OR(N117="N/A",N149="N/A"),"N/A",""))</f>
        <v>2.9748988592679657</v>
      </c>
      <c r="O54" s="180" t="str">
        <f>IF(AND(ISNUMBER(O85),O85&gt;0.8*'Ratio_M+Cl'!G78,O85&lt;1.2*'Ratio_M+Cl'!G78),O117/'Ratio_M+Cl'!G110,IF(OR(O117="N/A",O149="N/A"),"N/A",""))</f>
        <v/>
      </c>
      <c r="P54" s="183" t="str">
        <f>IF(AND(ISNUMBER(P85),P85&gt;0.8*'Ratio_M+Cl'!H78,P85&lt;1.2*'Ratio_M+Cl'!H78),P117/'Ratio_M+Cl'!H110,IF(OR(P117="N/A",P149="N/A"),"N/A",""))</f>
        <v/>
      </c>
      <c r="Q54" s="183" t="str">
        <f>IF(AND(ISNUMBER(Q85),Q85&gt;0.8*'Ratio_M+Cl'!I78,Q85&lt;1.2*'Ratio_M+Cl'!I78),Q117/'Ratio_M+Cl'!I110,IF(OR(Q117="N/A",Q149="N/A"),"N/A",""))</f>
        <v/>
      </c>
      <c r="R54" s="183" t="str">
        <f>IF(AND(ISNUMBER(R85),R85&gt;0.8*'Ratio_M+Cl'!J78,R85&lt;1.2*'Ratio_M+Cl'!J78),R117/'Ratio_M+Cl'!J110,IF(OR(R117="N/A",R149="N/A"),"N/A",""))</f>
        <v/>
      </c>
      <c r="S54" s="183" t="str">
        <f>IF(AND(ISNUMBER(S85),S85&gt;0.8*'Ratio_M+Cl'!K78,S85&lt;1.2*'Ratio_M+Cl'!K78),S117/'Ratio_M+Cl'!K110,IF(OR(S117="N/A",S149="N/A"),"N/A",""))</f>
        <v/>
      </c>
      <c r="T54" s="183" t="str">
        <f>IF(AND(ISNUMBER(T85),T85&gt;0.8*'Ratio_M+Cl'!L78,T85&lt;1.2*'Ratio_M+Cl'!L78),T117/'Ratio_M+Cl'!L110,IF(OR(T117="N/A",T149="N/A"),"N/A",""))</f>
        <v/>
      </c>
      <c r="U54" s="183">
        <f>IF(AND(ISNUMBER(U85),U85&gt;0.8*'Ratio_M+Cl'!M78,U85&lt;1.2*'Ratio_M+Cl'!M78),U117/'Ratio_M+Cl'!M110,IF(OR(U117="N/A",U149="N/A"),"N/A",""))</f>
        <v>3.9896973292781981</v>
      </c>
      <c r="V54" s="183">
        <f>IF(AND(ISNUMBER(V85),V85&gt;0.8*'Ratio_M+Cl'!N78,V85&lt;1.2*'Ratio_M+Cl'!N78),V117/'Ratio_M+Cl'!N110,IF(OR(V117="N/A",V149="N/A"),"N/A",""))</f>
        <v>28.741404435880948</v>
      </c>
      <c r="W54" s="183">
        <f>IF(AND(ISNUMBER(W85),W85&gt;0.8*'Ratio_M+Cl'!O78,W85&lt;1.2*'Ratio_M+Cl'!O78),W117/'Ratio_M+Cl'!O110,IF(OR(W117="N/A",W149="N/A"),"N/A",""))</f>
        <v>63.397406312648364</v>
      </c>
      <c r="X54" s="183">
        <f>IF(AND(ISNUMBER(X85),X85&gt;0.8*'Ratio_M+Cl'!P78,X85&lt;1.2*'Ratio_M+Cl'!P78),X117/'Ratio_M+Cl'!P110,IF(OR(X117="N/A",X149="N/A"),"N/A",""))</f>
        <v>66.303765425677753</v>
      </c>
      <c r="Y54" s="183">
        <f>IF(AND(ISNUMBER(Y85),Y85&gt;0.8*'Ratio_M+Cl'!Q78,Y85&lt;1.2*'Ratio_M+Cl'!Q78),Y117/'Ratio_M+Cl'!Q110,IF(OR(Y117="N/A",Y149="N/A"),"N/A",""))</f>
        <v>35.633900539197285</v>
      </c>
      <c r="Z54" s="185">
        <f>IF(AND(ISNUMBER(Z85),Z85&gt;0.8*'Ratio_M+Cl'!R78,Z85&lt;1.2*'Ratio_M+Cl'!R78),Z117/'Ratio_M+Cl'!R110,IF(OR(Z117="N/A",Z149="N/A"),"N/A",""))</f>
        <v>5.1716922270299968</v>
      </c>
      <c r="AA54" s="183" t="str">
        <f>IF(AND(ISNUMBER(AA85),AA85&gt;0.8*'Ratio_M+Cl'!S78,AA85&lt;1.2*'Ratio_M+Cl'!S78),AA117/'Ratio_M+Cl'!S110,IF(OR(AA117="N/A",AA149="N/A"),"N/A",""))</f>
        <v/>
      </c>
      <c r="AB54" s="184" t="str">
        <f>IF(AND(ISNUMBER(AB85),AB85&gt;0.8*'Ratio_M+Cl'!T78,AB85&lt;1.2*'Ratio_M+Cl'!T78),AB117/'Ratio_M+Cl'!T110,IF(OR(AB117="N/A",AB149="N/A"),"N/A",""))</f>
        <v/>
      </c>
      <c r="AC54" s="183" t="str">
        <f>IF(AND(ISNUMBER(AC85),AC85&gt;0.8*'Ratio_M+Cl'!U78,AC85&lt;1.2*'Ratio_M+Cl'!U78),AC117/'Ratio_M+Cl'!U110,IF(OR(AC117="N/A",AC149="N/A"),"N/A",""))</f>
        <v/>
      </c>
      <c r="AD54" s="183" t="str">
        <f>IF(AND(ISNUMBER(AD85),AD85&gt;0.8*'Ratio_M+Cl'!V78,AD85&lt;1.2*'Ratio_M+Cl'!V78),AD117/'Ratio_M+Cl'!V110,IF(OR(AD117="N/A",AD149="N/A"),"N/A",""))</f>
        <v/>
      </c>
      <c r="AE54" s="183" t="str">
        <f>IF(AND(ISNUMBER(AE85),AE85&gt;0.8*'Ratio_M+Cl'!W78,AE85&lt;1.2*'Ratio_M+Cl'!W78),AE117/'Ratio_M+Cl'!W110,IF(OR(AE117="N/A",AE149="N/A"),"N/A",""))</f>
        <v/>
      </c>
      <c r="AF54" s="183" t="str">
        <f>IF(AND(ISNUMBER(AF85),AF85&gt;0.8*'Ratio_M+Cl'!X78,AF85&lt;1.2*'Ratio_M+Cl'!X78),AF117/'Ratio_M+Cl'!X110,IF(OR(AF117="N/A",AF149="N/A"),"N/A",""))</f>
        <v/>
      </c>
      <c r="AG54" s="183" t="str">
        <f>IF(AND(ISNUMBER(AG85),AG85&gt;0.8*'Ratio_M+Cl'!Y78,AG85&lt;1.2*'Ratio_M+Cl'!Y78),AG117/'Ratio_M+Cl'!Y110,IF(OR(AG117="N/A",AG149="N/A"),"N/A",""))</f>
        <v/>
      </c>
      <c r="AH54" s="183" t="str">
        <f>IF(AND(ISNUMBER(AH85),AH85&gt;0.8*'Ratio_M+Cl'!Z78,AH85&lt;1.2*'Ratio_M+Cl'!Z78),AH117/'Ratio_M+Cl'!Z110,IF(OR(AH117="N/A",AH149="N/A"),"N/A",""))</f>
        <v/>
      </c>
      <c r="AI54" s="183" t="str">
        <f>IF(AND(ISNUMBER(AI85),AI85&gt;0.8*'Ratio_M+Cl'!AA78,AI85&lt;1.2*'Ratio_M+Cl'!AA78),AI117/'Ratio_M+Cl'!AA110,IF(OR(AI117="N/A",AI149="N/A"),"N/A",""))</f>
        <v/>
      </c>
      <c r="AJ54" s="183" t="str">
        <f>IF(AND(ISNUMBER(AJ85),AJ85&gt;0.8*'Ratio_M+Cl'!AB78,AJ85&lt;1.2*'Ratio_M+Cl'!AB78),AJ117/'Ratio_M+Cl'!AB110,IF(OR(AJ117="N/A",AJ149="N/A"),"N/A",""))</f>
        <v/>
      </c>
      <c r="AK54" s="183" t="str">
        <f>IF(AND(ISNUMBER(AK85),AK85&gt;0.8*'Ratio_M+Cl'!AC78,AK85&lt;1.2*'Ratio_M+Cl'!AC78),AK117/'Ratio_M+Cl'!AC110,IF(OR(AK117="N/A",AK149="N/A"),"N/A",""))</f>
        <v/>
      </c>
      <c r="AM54" s="160" t="s">
        <v>18</v>
      </c>
      <c r="AN54" s="225" t="str">
        <f t="shared" si="3"/>
        <v/>
      </c>
      <c r="AO54" s="225">
        <f t="shared" si="9"/>
        <v>0</v>
      </c>
      <c r="AP54" s="225">
        <f t="shared" si="10"/>
        <v>0</v>
      </c>
      <c r="AQ54" s="225">
        <f t="shared" si="11"/>
        <v>0</v>
      </c>
      <c r="AR54" s="225" t="str">
        <f t="shared" si="12"/>
        <v/>
      </c>
      <c r="AS54" s="225" t="str">
        <f t="shared" si="13"/>
        <v/>
      </c>
      <c r="AT54" s="225" t="str">
        <f t="shared" si="14"/>
        <v/>
      </c>
      <c r="AU54" s="225" t="str">
        <f t="shared" si="15"/>
        <v/>
      </c>
      <c r="AV54" s="225" t="str">
        <f t="shared" si="16"/>
        <v/>
      </c>
      <c r="AW54" s="225" t="str">
        <f t="shared" si="17"/>
        <v/>
      </c>
      <c r="AX54" s="225">
        <f t="shared" si="18"/>
        <v>0</v>
      </c>
      <c r="AY54" s="225">
        <f t="shared" si="19"/>
        <v>0</v>
      </c>
      <c r="AZ54" s="225">
        <f t="shared" si="20"/>
        <v>0</v>
      </c>
      <c r="BA54" s="225">
        <f t="shared" si="21"/>
        <v>0</v>
      </c>
      <c r="BB54" s="225">
        <f t="shared" si="22"/>
        <v>0</v>
      </c>
      <c r="BC54" s="225">
        <f t="shared" si="23"/>
        <v>0</v>
      </c>
      <c r="BD54" s="225" t="str">
        <f t="shared" si="24"/>
        <v/>
      </c>
      <c r="BE54" s="225" t="str">
        <f t="shared" si="25"/>
        <v/>
      </c>
      <c r="BF54" s="225" t="str">
        <f t="shared" si="26"/>
        <v/>
      </c>
      <c r="BG54" s="225" t="str">
        <f t="shared" si="27"/>
        <v/>
      </c>
      <c r="BH54" s="225" t="str">
        <f t="shared" si="28"/>
        <v/>
      </c>
      <c r="BI54" s="225" t="str">
        <f t="shared" si="29"/>
        <v/>
      </c>
      <c r="BJ54" s="225" t="str">
        <f t="shared" si="4"/>
        <v/>
      </c>
      <c r="BK54" s="225" t="str">
        <f t="shared" si="5"/>
        <v/>
      </c>
      <c r="BL54" s="225" t="str">
        <f t="shared" si="6"/>
        <v/>
      </c>
      <c r="BM54" s="225" t="str">
        <f t="shared" si="7"/>
        <v/>
      </c>
      <c r="BN54" s="225" t="str">
        <f t="shared" si="8"/>
        <v/>
      </c>
    </row>
    <row r="55" spans="1:66" ht="15.75" x14ac:dyDescent="0.3">
      <c r="A55" s="150">
        <v>50</v>
      </c>
      <c r="B55" s="10" t="s">
        <v>678</v>
      </c>
      <c r="C55" s="236">
        <v>5263.3962851409915</v>
      </c>
      <c r="D55" s="233"/>
      <c r="E55" s="232">
        <v>0.5</v>
      </c>
      <c r="G55" s="10" t="s">
        <v>370</v>
      </c>
      <c r="H55" s="151">
        <f>IF(ISNUMBER(O48),O48/SUM($K$43:$AK$71),0)</f>
        <v>1.2204964821307453E-2</v>
      </c>
      <c r="J55" s="160" t="s">
        <v>19</v>
      </c>
      <c r="K55" s="183">
        <f>IF(AND(ISNUMBER(K86),K86&gt;0.8*'Ratio_M+Cl'!C79,K86&lt;1.2*'Ratio_M+Cl'!C79),K118/'Ratio_M+Cl'!C111,IF(OR(K118="N/A",K150="N/A"),"N/A",""))</f>
        <v>7.8884600988867151</v>
      </c>
      <c r="L55" s="183">
        <f>IF(AND(ISNUMBER(L86),L86&gt;0.8*'Ratio_M+Cl'!D79,L86&lt;1.2*'Ratio_M+Cl'!D79),L118/'Ratio_M+Cl'!D111,IF(OR(L118="N/A",L150="N/A"),"N/A",""))</f>
        <v>40.270580869108535</v>
      </c>
      <c r="M55" s="180">
        <f>IF(AND(ISNUMBER(M86),M86&gt;0.8*'Ratio_M+Cl'!E79,M86&lt;1.2*'Ratio_M+Cl'!E79),M118/'Ratio_M+Cl'!E111,IF(OR(M118="N/A",M150="N/A"),"N/A",""))</f>
        <v>63.81747972378276</v>
      </c>
      <c r="N55" s="180">
        <f>IF(AND(ISNUMBER(N86),N86&gt;0.8*'Ratio_M+Cl'!F79,N86&lt;1.2*'Ratio_M+Cl'!F79),N118/'Ratio_M+Cl'!F111,IF(OR(N118="N/A",N150="N/A"),"N/A",""))</f>
        <v>58.894997221664397</v>
      </c>
      <c r="O55" s="180">
        <f>IF(AND(ISNUMBER(O86),O86&gt;0.8*'Ratio_M+Cl'!G79,O86&lt;1.2*'Ratio_M+Cl'!G79),O118/'Ratio_M+Cl'!G111,IF(OR(O118="N/A",O150="N/A"),"N/A",""))</f>
        <v>24.027734893046091</v>
      </c>
      <c r="P55" s="183">
        <f>IF(AND(ISNUMBER(P86),P86&gt;0.8*'Ratio_M+Cl'!H79,P86&lt;1.2*'Ratio_M+Cl'!H79),P118/'Ratio_M+Cl'!H111,IF(OR(P118="N/A",P150="N/A"),"N/A",""))</f>
        <v>2.0052499247468143</v>
      </c>
      <c r="Q55" s="183" t="str">
        <f>IF(AND(ISNUMBER(Q86),Q86&gt;0.8*'Ratio_M+Cl'!I79,Q86&lt;1.2*'Ratio_M+Cl'!I79),Q118/'Ratio_M+Cl'!I111,IF(OR(Q118="N/A",Q150="N/A"),"N/A",""))</f>
        <v/>
      </c>
      <c r="R55" s="183" t="str">
        <f>IF(AND(ISNUMBER(R86),R86&gt;0.8*'Ratio_M+Cl'!J79,R86&lt;1.2*'Ratio_M+Cl'!J79),R118/'Ratio_M+Cl'!J111,IF(OR(R118="N/A",R150="N/A"),"N/A",""))</f>
        <v/>
      </c>
      <c r="S55" s="183" t="str">
        <f>IF(AND(ISNUMBER(S86),S86&gt;0.8*'Ratio_M+Cl'!K79,S86&lt;1.2*'Ratio_M+Cl'!K79),S118/'Ratio_M+Cl'!K111,IF(OR(S118="N/A",S150="N/A"),"N/A",""))</f>
        <v/>
      </c>
      <c r="T55" s="183" t="str">
        <f>IF(AND(ISNUMBER(T86),T86&gt;0.8*'Ratio_M+Cl'!L79,T86&lt;1.2*'Ratio_M+Cl'!L79),T118/'Ratio_M+Cl'!L111,IF(OR(T118="N/A",T150="N/A"),"N/A",""))</f>
        <v/>
      </c>
      <c r="U55" s="183" t="str">
        <f>IF(AND(ISNUMBER(U86),U86&gt;0.8*'Ratio_M+Cl'!M79,U86&lt;1.2*'Ratio_M+Cl'!M79),U118/'Ratio_M+Cl'!M111,IF(OR(U118="N/A",U150="N/A"),"N/A",""))</f>
        <v/>
      </c>
      <c r="V55" s="183">
        <f>IF(AND(ISNUMBER(V86),V86&gt;0.8*'Ratio_M+Cl'!N79,V86&lt;1.2*'Ratio_M+Cl'!N79),V118/'Ratio_M+Cl'!N111,IF(OR(V118="N/A",V150="N/A"),"N/A",""))</f>
        <v>13.94243198972335</v>
      </c>
      <c r="W55" s="183">
        <f>IF(AND(ISNUMBER(W86),W86&gt;0.8*'Ratio_M+Cl'!O79,W86&lt;1.2*'Ratio_M+Cl'!O79),W118/'Ratio_M+Cl'!O111,IF(OR(W118="N/A",W150="N/A"),"N/A",""))</f>
        <v>58.086690670959307</v>
      </c>
      <c r="X55" s="183">
        <f>IF(AND(ISNUMBER(X86),X86&gt;0.8*'Ratio_M+Cl'!P79,X86&lt;1.2*'Ratio_M+Cl'!P79),X118/'Ratio_M+Cl'!P111,IF(OR(X118="N/A",X150="N/A"),"N/A",""))</f>
        <v>110.67147000316234</v>
      </c>
      <c r="Y55" s="183">
        <f>IF(AND(ISNUMBER(Y86),Y86&gt;0.8*'Ratio_M+Cl'!Q79,Y86&lt;1.2*'Ratio_M+Cl'!Q79),Y118/'Ratio_M+Cl'!Q111,IF(OR(Y118="N/A",Y150="N/A"),"N/A",""))</f>
        <v>106.2375359023999</v>
      </c>
      <c r="Z55" s="183">
        <f>IF(AND(ISNUMBER(Z86),Z86&gt;0.8*'Ratio_M+Cl'!R79,Z86&lt;1.2*'Ratio_M+Cl'!R79),Z118/'Ratio_M+Cl'!R111,IF(OR(Z118="N/A",Z150="N/A"),"N/A",""))</f>
        <v>52.515713999048785</v>
      </c>
      <c r="AA55" s="185">
        <f>IF(AND(ISNUMBER(AA86),AA86&gt;0.8*'Ratio_M+Cl'!S79,AA86&lt;1.2*'Ratio_M+Cl'!S79),AA118/'Ratio_M+Cl'!S111,IF(OR(AA118="N/A",AA150="N/A"),"N/A",""))</f>
        <v>10.213119247796604</v>
      </c>
      <c r="AB55" s="183">
        <f>IF(AND(ISNUMBER(AB86),AB86&gt;0.8*'Ratio_M+Cl'!T79,AB86&lt;1.2*'Ratio_M+Cl'!T79),AB118/'Ratio_M+Cl'!T111,IF(OR(AB118="N/A",AB150="N/A"),"N/A",""))</f>
        <v>0.22277399381761609</v>
      </c>
      <c r="AC55" s="184" t="str">
        <f>IF(AND(ISNUMBER(AC86),AC86&gt;0.8*'Ratio_M+Cl'!U79,AC86&lt;1.2*'Ratio_M+Cl'!U79),AC118/'Ratio_M+Cl'!U111,IF(OR(AC118="N/A",AC150="N/A"),"N/A",""))</f>
        <v/>
      </c>
      <c r="AD55" s="183" t="str">
        <f>IF(AND(ISNUMBER(AD86),AD86&gt;0.8*'Ratio_M+Cl'!V79,AD86&lt;1.2*'Ratio_M+Cl'!V79),AD118/'Ratio_M+Cl'!V111,IF(OR(AD118="N/A",AD150="N/A"),"N/A",""))</f>
        <v/>
      </c>
      <c r="AE55" s="183" t="str">
        <f>IF(AND(ISNUMBER(AE86),AE86&gt;0.8*'Ratio_M+Cl'!W79,AE86&lt;1.2*'Ratio_M+Cl'!W79),AE118/'Ratio_M+Cl'!W111,IF(OR(AE118="N/A",AE150="N/A"),"N/A",""))</f>
        <v/>
      </c>
      <c r="AF55" s="183" t="str">
        <f>IF(AND(ISNUMBER(AF86),AF86&gt;0.8*'Ratio_M+Cl'!X79,AF86&lt;1.2*'Ratio_M+Cl'!X79),AF118/'Ratio_M+Cl'!X111,IF(OR(AF118="N/A",AF150="N/A"),"N/A",""))</f>
        <v/>
      </c>
      <c r="AG55" s="183" t="str">
        <f>IF(AND(ISNUMBER(AG86),AG86&gt;0.8*'Ratio_M+Cl'!Y79,AG86&lt;1.2*'Ratio_M+Cl'!Y79),AG118/'Ratio_M+Cl'!Y111,IF(OR(AG118="N/A",AG150="N/A"),"N/A",""))</f>
        <v/>
      </c>
      <c r="AH55" s="183" t="str">
        <f>IF(AND(ISNUMBER(AH86),AH86&gt;0.8*'Ratio_M+Cl'!Z79,AH86&lt;1.2*'Ratio_M+Cl'!Z79),AH118/'Ratio_M+Cl'!Z111,IF(OR(AH118="N/A",AH150="N/A"),"N/A",""))</f>
        <v/>
      </c>
      <c r="AI55" s="183" t="str">
        <f>IF(AND(ISNUMBER(AI86),AI86&gt;0.8*'Ratio_M+Cl'!AA79,AI86&lt;1.2*'Ratio_M+Cl'!AA79),AI118/'Ratio_M+Cl'!AA111,IF(OR(AI118="N/A",AI150="N/A"),"N/A",""))</f>
        <v/>
      </c>
      <c r="AJ55" s="183" t="str">
        <f>IF(AND(ISNUMBER(AJ86),AJ86&gt;0.8*'Ratio_M+Cl'!AB79,AJ86&lt;1.2*'Ratio_M+Cl'!AB79),AJ118/'Ratio_M+Cl'!AB111,IF(OR(AJ118="N/A",AJ150="N/A"),"N/A",""))</f>
        <v/>
      </c>
      <c r="AK55" s="183" t="str">
        <f>IF(AND(ISNUMBER(AK86),AK86&gt;0.8*'Ratio_M+Cl'!AC79,AK86&lt;1.2*'Ratio_M+Cl'!AC79),AK118/'Ratio_M+Cl'!AC111,IF(OR(AK118="N/A",AK150="N/A"),"N/A",""))</f>
        <v/>
      </c>
      <c r="AM55" s="160" t="s">
        <v>19</v>
      </c>
      <c r="AN55" s="225">
        <f t="shared" si="3"/>
        <v>0</v>
      </c>
      <c r="AO55" s="225">
        <f t="shared" si="9"/>
        <v>0</v>
      </c>
      <c r="AP55" s="225">
        <f t="shared" si="10"/>
        <v>0</v>
      </c>
      <c r="AQ55" s="225">
        <f t="shared" si="11"/>
        <v>0</v>
      </c>
      <c r="AR55" s="225">
        <f t="shared" si="12"/>
        <v>0</v>
      </c>
      <c r="AS55" s="225">
        <f t="shared" si="13"/>
        <v>0</v>
      </c>
      <c r="AT55" s="225" t="str">
        <f t="shared" si="14"/>
        <v/>
      </c>
      <c r="AU55" s="225" t="str">
        <f t="shared" si="15"/>
        <v/>
      </c>
      <c r="AV55" s="225" t="str">
        <f t="shared" si="16"/>
        <v/>
      </c>
      <c r="AW55" s="225" t="str">
        <f t="shared" si="17"/>
        <v/>
      </c>
      <c r="AX55" s="225" t="str">
        <f t="shared" si="18"/>
        <v/>
      </c>
      <c r="AY55" s="225">
        <f t="shared" si="19"/>
        <v>0</v>
      </c>
      <c r="AZ55" s="225">
        <f t="shared" si="20"/>
        <v>0</v>
      </c>
      <c r="BA55" s="225">
        <f t="shared" si="21"/>
        <v>0</v>
      </c>
      <c r="BB55" s="225">
        <f t="shared" si="22"/>
        <v>0</v>
      </c>
      <c r="BC55" s="225">
        <f t="shared" si="23"/>
        <v>0</v>
      </c>
      <c r="BD55" s="225">
        <f t="shared" si="24"/>
        <v>0</v>
      </c>
      <c r="BE55" s="225">
        <f t="shared" si="25"/>
        <v>0</v>
      </c>
      <c r="BF55" s="225" t="str">
        <f t="shared" si="26"/>
        <v/>
      </c>
      <c r="BG55" s="225" t="str">
        <f t="shared" si="27"/>
        <v/>
      </c>
      <c r="BH55" s="225" t="str">
        <f t="shared" si="28"/>
        <v/>
      </c>
      <c r="BI55" s="225" t="str">
        <f t="shared" si="29"/>
        <v/>
      </c>
      <c r="BJ55" s="225" t="str">
        <f t="shared" si="4"/>
        <v/>
      </c>
      <c r="BK55" s="225" t="str">
        <f t="shared" si="5"/>
        <v/>
      </c>
      <c r="BL55" s="225" t="str">
        <f t="shared" si="6"/>
        <v/>
      </c>
      <c r="BM55" s="225" t="str">
        <f t="shared" si="7"/>
        <v/>
      </c>
      <c r="BN55" s="225" t="str">
        <f t="shared" si="8"/>
        <v/>
      </c>
    </row>
    <row r="56" spans="1:66" ht="15.75" x14ac:dyDescent="0.3">
      <c r="A56" s="150">
        <v>51</v>
      </c>
      <c r="B56" s="10" t="s">
        <v>47</v>
      </c>
      <c r="C56" s="236">
        <v>37189385.476895824</v>
      </c>
      <c r="D56" s="233"/>
      <c r="E56" s="232">
        <v>0.5</v>
      </c>
      <c r="G56" s="10" t="s">
        <v>371</v>
      </c>
      <c r="H56" s="151">
        <f>IF(ISNUMBER(P48),P48/SUM($K$43:$AK$71),0)</f>
        <v>7.4039991026420091E-3</v>
      </c>
      <c r="J56" s="160" t="s">
        <v>20</v>
      </c>
      <c r="K56" s="183">
        <f>IF(AND(ISNUMBER(K87),K87&gt;0.8*'Ratio_M+Cl'!C80,K87&lt;1.2*'Ratio_M+Cl'!C80),K119/'Ratio_M+Cl'!C112,IF(OR(K119="N/A",K151="N/A"),"N/A",""))</f>
        <v>22.841218540188638</v>
      </c>
      <c r="L56" s="183">
        <f>IF(AND(ISNUMBER(L87),L87&gt;0.8*'Ratio_M+Cl'!D80,L87&lt;1.2*'Ratio_M+Cl'!D80),L119/'Ratio_M+Cl'!D112,IF(OR(L119="N/A",L151="N/A"),"N/A",""))</f>
        <v>109.77669443881672</v>
      </c>
      <c r="M56" s="180">
        <f>IF(AND(ISNUMBER(M87),M87&gt;0.8*'Ratio_M+Cl'!E80,M87&lt;1.2*'Ratio_M+Cl'!E80),M119/'Ratio_M+Cl'!E112,IF(OR(M119="N/A",M151="N/A"),"N/A",""))</f>
        <v>214.77857327871365</v>
      </c>
      <c r="N56" s="180">
        <f>IF(AND(ISNUMBER(N87),N87&gt;0.8*'Ratio_M+Cl'!F80,N87&lt;1.2*'Ratio_M+Cl'!F80),N119/'Ratio_M+Cl'!F112,IF(OR(N119="N/A",N151="N/A"),"N/A",""))</f>
        <v>241.49120470038659</v>
      </c>
      <c r="O56" s="180">
        <f>IF(AND(ISNUMBER(O87),O87&gt;0.8*'Ratio_M+Cl'!G80,O87&lt;1.2*'Ratio_M+Cl'!G80),O119/'Ratio_M+Cl'!G112,IF(OR(O119="N/A",O151="N/A"),"N/A",""))</f>
        <v>120.60276366280462</v>
      </c>
      <c r="P56" s="183">
        <f>IF(AND(ISNUMBER(P87),P87&gt;0.8*'Ratio_M+Cl'!H80,P87&lt;1.2*'Ratio_M+Cl'!H80),P119/'Ratio_M+Cl'!H112,IF(OR(P119="N/A",P151="N/A"),"N/A",""))</f>
        <v>30.491356958862188</v>
      </c>
      <c r="Q56" s="183">
        <f>IF(AND(ISNUMBER(Q87),Q87&gt;0.8*'Ratio_M+Cl'!I80,Q87&lt;1.2*'Ratio_M+Cl'!I80),Q119/'Ratio_M+Cl'!I112,IF(OR(Q119="N/A",Q151="N/A"),"N/A",""))</f>
        <v>2.4259284600973561</v>
      </c>
      <c r="R56" s="183" t="str">
        <f>IF(AND(ISNUMBER(R87),R87&gt;0.8*'Ratio_M+Cl'!J80,R87&lt;1.2*'Ratio_M+Cl'!J80),R119/'Ratio_M+Cl'!J112,IF(OR(R119="N/A",R151="N/A"),"N/A",""))</f>
        <v/>
      </c>
      <c r="S56" s="183" t="str">
        <f>IF(AND(ISNUMBER(S87),S87&gt;0.8*'Ratio_M+Cl'!K80,S87&lt;1.2*'Ratio_M+Cl'!K80),S119/'Ratio_M+Cl'!K112,IF(OR(S119="N/A",S151="N/A"),"N/A",""))</f>
        <v/>
      </c>
      <c r="T56" s="183" t="str">
        <f>IF(AND(ISNUMBER(T87),T87&gt;0.8*'Ratio_M+Cl'!L80,T87&lt;1.2*'Ratio_M+Cl'!L80),T119/'Ratio_M+Cl'!L112,IF(OR(T119="N/A",T151="N/A"),"N/A",""))</f>
        <v/>
      </c>
      <c r="U56" s="183" t="str">
        <f>IF(AND(ISNUMBER(U87),U87&gt;0.8*'Ratio_M+Cl'!M80,U87&lt;1.2*'Ratio_M+Cl'!M80),U119/'Ratio_M+Cl'!M112,IF(OR(U119="N/A",U151="N/A"),"N/A",""))</f>
        <v/>
      </c>
      <c r="V56" s="183">
        <f>IF(AND(ISNUMBER(V87),V87&gt;0.8*'Ratio_M+Cl'!N80,V87&lt;1.2*'Ratio_M+Cl'!N80),V119/'Ratio_M+Cl'!N112,IF(OR(V119="N/A",V151="N/A"),"N/A",""))</f>
        <v>1.3593448394440213</v>
      </c>
      <c r="W56" s="183">
        <f>IF(AND(ISNUMBER(W87),W87&gt;0.8*'Ratio_M+Cl'!O80,W87&lt;1.2*'Ratio_M+Cl'!O80),W119/'Ratio_M+Cl'!O112,IF(OR(W119="N/A",W151="N/A"),"N/A",""))</f>
        <v>25.966929298021697</v>
      </c>
      <c r="X56" s="183">
        <f>IF(AND(ISNUMBER(X87),X87&gt;0.8*'Ratio_M+Cl'!P80,X87&lt;1.2*'Ratio_M+Cl'!P80),X119/'Ratio_M+Cl'!P112,IF(OR(X119="N/A",X151="N/A"),"N/A",""))</f>
        <v>83.348850732689698</v>
      </c>
      <c r="Y56" s="183">
        <f>IF(AND(ISNUMBER(Y87),Y87&gt;0.8*'Ratio_M+Cl'!Q80,Y87&lt;1.2*'Ratio_M+Cl'!Q80),Y119/'Ratio_M+Cl'!Q112,IF(OR(Y119="N/A",Y151="N/A"),"N/A",""))</f>
        <v>131.24884596494621</v>
      </c>
      <c r="Z56" s="183">
        <f>IF(AND(ISNUMBER(Z87),Z87&gt;0.8*'Ratio_M+Cl'!R80,Z87&lt;1.2*'Ratio_M+Cl'!R80),Z119/'Ratio_M+Cl'!R112,IF(OR(Z119="N/A",Z151="N/A"),"N/A",""))</f>
        <v>113.20508670781017</v>
      </c>
      <c r="AA56" s="183">
        <f>IF(AND(ISNUMBER(AA87),AA87&gt;0.8*'Ratio_M+Cl'!S80,AA87&lt;1.2*'Ratio_M+Cl'!S80),AA119/'Ratio_M+Cl'!S112,IF(OR(AA119="N/A",AA151="N/A"),"N/A",""))</f>
        <v>52.129386545177844</v>
      </c>
      <c r="AB56" s="185">
        <f>IF(AND(ISNUMBER(AB87),AB87&gt;0.8*'Ratio_M+Cl'!T80,AB87&lt;1.2*'Ratio_M+Cl'!T80),AB119/'Ratio_M+Cl'!T112,IF(OR(AB119="N/A",AB151="N/A"),"N/A",""))</f>
        <v>9.9342951329660529</v>
      </c>
      <c r="AC56" s="183" t="str">
        <f>IF(AND(ISNUMBER(AC87),AC87&gt;0.8*'Ratio_M+Cl'!U80,AC87&lt;1.2*'Ratio_M+Cl'!U80),AC119/'Ratio_M+Cl'!U112,IF(OR(AC119="N/A",AC151="N/A"),"N/A",""))</f>
        <v/>
      </c>
      <c r="AD56" s="184" t="str">
        <f>IF(AND(ISNUMBER(AD87),AD87&gt;0.8*'Ratio_M+Cl'!V80,AD87&lt;1.2*'Ratio_M+Cl'!V80),AD119/'Ratio_M+Cl'!V112,IF(OR(AD119="N/A",AD151="N/A"),"N/A",""))</f>
        <v/>
      </c>
      <c r="AE56" s="183" t="str">
        <f>IF(AND(ISNUMBER(AE87),AE87&gt;0.8*'Ratio_M+Cl'!W80,AE87&lt;1.2*'Ratio_M+Cl'!W80),AE119/'Ratio_M+Cl'!W112,IF(OR(AE119="N/A",AE151="N/A"),"N/A",""))</f>
        <v/>
      </c>
      <c r="AF56" s="183" t="str">
        <f>IF(AND(ISNUMBER(AF87),AF87&gt;0.8*'Ratio_M+Cl'!X80,AF87&lt;1.2*'Ratio_M+Cl'!X80),AF119/'Ratio_M+Cl'!X112,IF(OR(AF119="N/A",AF151="N/A"),"N/A",""))</f>
        <v/>
      </c>
      <c r="AG56" s="183" t="str">
        <f>IF(AND(ISNUMBER(AG87),AG87&gt;0.8*'Ratio_M+Cl'!Y80,AG87&lt;1.2*'Ratio_M+Cl'!Y80),AG119/'Ratio_M+Cl'!Y112,IF(OR(AG119="N/A",AG151="N/A"),"N/A",""))</f>
        <v/>
      </c>
      <c r="AH56" s="183" t="str">
        <f>IF(AND(ISNUMBER(AH87),AH87&gt;0.8*'Ratio_M+Cl'!Z80,AH87&lt;1.2*'Ratio_M+Cl'!Z80),AH119/'Ratio_M+Cl'!Z112,IF(OR(AH119="N/A",AH151="N/A"),"N/A",""))</f>
        <v/>
      </c>
      <c r="AI56" s="183" t="str">
        <f>IF(AND(ISNUMBER(AI87),AI87&gt;0.8*'Ratio_M+Cl'!AA80,AI87&lt;1.2*'Ratio_M+Cl'!AA80),AI119/'Ratio_M+Cl'!AA112,IF(OR(AI119="N/A",AI151="N/A"),"N/A",""))</f>
        <v/>
      </c>
      <c r="AJ56" s="183" t="str">
        <f>IF(AND(ISNUMBER(AJ87),AJ87&gt;0.8*'Ratio_M+Cl'!AB80,AJ87&lt;1.2*'Ratio_M+Cl'!AB80),AJ119/'Ratio_M+Cl'!AB112,IF(OR(AJ119="N/A",AJ151="N/A"),"N/A",""))</f>
        <v/>
      </c>
      <c r="AK56" s="183" t="str">
        <f>IF(AND(ISNUMBER(AK87),AK87&gt;0.8*'Ratio_M+Cl'!AC80,AK87&lt;1.2*'Ratio_M+Cl'!AC80),AK119/'Ratio_M+Cl'!AC112,IF(OR(AK119="N/A",AK151="N/A"),"N/A",""))</f>
        <v/>
      </c>
      <c r="AM56" s="160" t="s">
        <v>20</v>
      </c>
      <c r="AN56" s="225">
        <f t="shared" si="3"/>
        <v>0</v>
      </c>
      <c r="AO56" s="225">
        <f t="shared" si="9"/>
        <v>0</v>
      </c>
      <c r="AP56" s="225">
        <f t="shared" si="10"/>
        <v>0</v>
      </c>
      <c r="AQ56" s="225">
        <f t="shared" si="11"/>
        <v>0</v>
      </c>
      <c r="AR56" s="225">
        <f t="shared" si="12"/>
        <v>0</v>
      </c>
      <c r="AS56" s="225">
        <f t="shared" si="13"/>
        <v>0</v>
      </c>
      <c r="AT56" s="225">
        <f t="shared" si="14"/>
        <v>0</v>
      </c>
      <c r="AU56" s="225" t="str">
        <f t="shared" si="15"/>
        <v/>
      </c>
      <c r="AV56" s="225" t="str">
        <f t="shared" si="16"/>
        <v/>
      </c>
      <c r="AW56" s="225" t="str">
        <f t="shared" si="17"/>
        <v/>
      </c>
      <c r="AX56" s="225" t="str">
        <f t="shared" si="18"/>
        <v/>
      </c>
      <c r="AY56" s="225">
        <f t="shared" si="19"/>
        <v>0</v>
      </c>
      <c r="AZ56" s="225">
        <f t="shared" si="20"/>
        <v>0</v>
      </c>
      <c r="BA56" s="225">
        <f t="shared" si="21"/>
        <v>0</v>
      </c>
      <c r="BB56" s="225">
        <f t="shared" si="22"/>
        <v>0</v>
      </c>
      <c r="BC56" s="225">
        <f t="shared" si="23"/>
        <v>0</v>
      </c>
      <c r="BD56" s="225">
        <f t="shared" si="24"/>
        <v>0</v>
      </c>
      <c r="BE56" s="225">
        <f t="shared" si="25"/>
        <v>0</v>
      </c>
      <c r="BF56" s="225" t="str">
        <f t="shared" si="26"/>
        <v/>
      </c>
      <c r="BG56" s="225" t="str">
        <f t="shared" si="27"/>
        <v/>
      </c>
      <c r="BH56" s="225" t="str">
        <f t="shared" si="28"/>
        <v/>
      </c>
      <c r="BI56" s="225" t="str">
        <f t="shared" si="29"/>
        <v/>
      </c>
      <c r="BJ56" s="225" t="str">
        <f t="shared" si="4"/>
        <v/>
      </c>
      <c r="BK56" s="225" t="str">
        <f t="shared" si="5"/>
        <v/>
      </c>
      <c r="BL56" s="225" t="str">
        <f t="shared" si="6"/>
        <v/>
      </c>
      <c r="BM56" s="225" t="str">
        <f t="shared" si="7"/>
        <v/>
      </c>
      <c r="BN56" s="225" t="str">
        <f t="shared" si="8"/>
        <v/>
      </c>
    </row>
    <row r="57" spans="1:66" ht="15.75" x14ac:dyDescent="0.3">
      <c r="A57" s="150">
        <v>52</v>
      </c>
      <c r="B57" s="10" t="s">
        <v>48</v>
      </c>
      <c r="C57" s="236">
        <v>29826744.449892025</v>
      </c>
      <c r="D57" s="233"/>
      <c r="E57" s="232">
        <v>0.5</v>
      </c>
      <c r="G57" s="10" t="s">
        <v>372</v>
      </c>
      <c r="H57" s="151">
        <f>IF(ISNUMBER(Q48),Q48/SUM($K$43:$AK$71),0)</f>
        <v>1.3081745231954954E-2</v>
      </c>
      <c r="J57" s="160" t="s">
        <v>21</v>
      </c>
      <c r="K57" s="183">
        <f>IF(AND(ISNUMBER(K88),K88&gt;0.8*'Ratio_M+Cl'!C81,K88&lt;1.2*'Ratio_M+Cl'!C81),K120/'Ratio_M+Cl'!C113,IF(OR(K120="N/A",K152="N/A"),"N/A",""))</f>
        <v>31.445677716821169</v>
      </c>
      <c r="L57" s="183">
        <f>IF(AND(ISNUMBER(L88),L88&gt;0.8*'Ratio_M+Cl'!D81,L88&lt;1.2*'Ratio_M+Cl'!D81),L120/'Ratio_M+Cl'!D113,IF(OR(L120="N/A",L152="N/A"),"N/A",""))</f>
        <v>148.50010847023378</v>
      </c>
      <c r="M57" s="180">
        <f>IF(AND(ISNUMBER(M88),M88&gt;0.8*'Ratio_M+Cl'!E81,M88&lt;1.2*'Ratio_M+Cl'!E81),M120/'Ratio_M+Cl'!E113,IF(OR(M120="N/A",M152="N/A"),"N/A",""))</f>
        <v>343.37842877172648</v>
      </c>
      <c r="N57" s="180">
        <f>IF(AND(ISNUMBER(N88),N88&gt;0.8*'Ratio_M+Cl'!F81,N88&lt;1.2*'Ratio_M+Cl'!F81),N120/'Ratio_M+Cl'!F113,IF(OR(N120="N/A",N152="N/A"),"N/A",""))</f>
        <v>437.23423420638494</v>
      </c>
      <c r="O57" s="180">
        <f>IF(AND(ISNUMBER(O88),O88&gt;0.8*'Ratio_M+Cl'!G81,O88&lt;1.2*'Ratio_M+Cl'!G81),O120/'Ratio_M+Cl'!G113,IF(OR(O120="N/A",O152="N/A"),"N/A",""))</f>
        <v>256.44748188153233</v>
      </c>
      <c r="P57" s="183">
        <f>IF(AND(ISNUMBER(P88),P88&gt;0.8*'Ratio_M+Cl'!H81,P88&lt;1.2*'Ratio_M+Cl'!H81),P120/'Ratio_M+Cl'!H113,IF(OR(P120="N/A",P152="N/A"),"N/A",""))</f>
        <v>82.108556193763647</v>
      </c>
      <c r="Q57" s="183">
        <f>IF(AND(ISNUMBER(Q88),Q88&gt;0.8*'Ratio_M+Cl'!I81,Q88&lt;1.2*'Ratio_M+Cl'!I81),Q120/'Ratio_M+Cl'!I113,IF(OR(Q120="N/A",Q152="N/A"),"N/A",""))</f>
        <v>14.808670682415865</v>
      </c>
      <c r="R57" s="183">
        <f>IF(AND(ISNUMBER(R88),R88&gt;0.8*'Ratio_M+Cl'!J81,R88&lt;1.2*'Ratio_M+Cl'!J81),R120/'Ratio_M+Cl'!J113,IF(OR(R120="N/A",R152="N/A"),"N/A",""))</f>
        <v>0.52194579459901025</v>
      </c>
      <c r="S57" s="183" t="str">
        <f>IF(AND(ISNUMBER(S88),S88&gt;0.8*'Ratio_M+Cl'!K81,S88&lt;1.2*'Ratio_M+Cl'!K81),S120/'Ratio_M+Cl'!K113,IF(OR(S120="N/A",S152="N/A"),"N/A",""))</f>
        <v/>
      </c>
      <c r="T57" s="183">
        <f>IF(AND(ISNUMBER(T88),T88&gt;0.8*'Ratio_M+Cl'!L81,T88&lt;1.2*'Ratio_M+Cl'!L81),T120/'Ratio_M+Cl'!L113,IF(OR(T120="N/A",T152="N/A"),"N/A",""))</f>
        <v>2.6146956808872347E-2</v>
      </c>
      <c r="U57" s="183" t="str">
        <f>IF(AND(ISNUMBER(U88),U88&gt;0.8*'Ratio_M+Cl'!M81,U88&lt;1.2*'Ratio_M+Cl'!M81),U120/'Ratio_M+Cl'!M113,IF(OR(U120="N/A",U152="N/A"),"N/A",""))</f>
        <v/>
      </c>
      <c r="V57" s="183">
        <f>IF(AND(ISNUMBER(V88),V88&gt;0.8*'Ratio_M+Cl'!N81,V88&lt;1.2*'Ratio_M+Cl'!N81),V120/'Ratio_M+Cl'!N113,IF(OR(V120="N/A",V152="N/A"),"N/A",""))</f>
        <v>7.5143734226794406E-2</v>
      </c>
      <c r="W57" s="183">
        <f>IF(AND(ISNUMBER(W88),W88&gt;0.8*'Ratio_M+Cl'!O81,W88&lt;1.2*'Ratio_M+Cl'!O81),W120/'Ratio_M+Cl'!O113,IF(OR(W120="N/A",W152="N/A"),"N/A",""))</f>
        <v>7.3549425065362302</v>
      </c>
      <c r="X57" s="183">
        <f>IF(AND(ISNUMBER(X88),X88&gt;0.8*'Ratio_M+Cl'!P81,X88&lt;1.2*'Ratio_M+Cl'!P81),X120/'Ratio_M+Cl'!P113,IF(OR(X120="N/A",X152="N/A"),"N/A",""))</f>
        <v>56.485835366406292</v>
      </c>
      <c r="Y57" s="183">
        <f>IF(AND(ISNUMBER(Y88),Y88&gt;0.8*'Ratio_M+Cl'!Q81,Y88&lt;1.2*'Ratio_M+Cl'!Q81),Y120/'Ratio_M+Cl'!Q113,IF(OR(Y120="N/A",Y152="N/A"),"N/A",""))</f>
        <v>153.48056777822242</v>
      </c>
      <c r="Z57" s="183">
        <f>IF(AND(ISNUMBER(Z88),Z88&gt;0.8*'Ratio_M+Cl'!R81,Z88&lt;1.2*'Ratio_M+Cl'!R81),Z120/'Ratio_M+Cl'!R113,IF(OR(Z120="N/A",Z152="N/A"),"N/A",""))</f>
        <v>216.95864445804108</v>
      </c>
      <c r="AA57" s="183">
        <f>IF(AND(ISNUMBER(AA88),AA88&gt;0.8*'Ratio_M+Cl'!S81,AA88&lt;1.2*'Ratio_M+Cl'!S81),AA120/'Ratio_M+Cl'!S113,IF(OR(AA120="N/A",AA152="N/A"),"N/A",""))</f>
        <v>171.95593787551488</v>
      </c>
      <c r="AB57" s="183">
        <f>IF(AND(ISNUMBER(AB88),AB88&gt;0.8*'Ratio_M+Cl'!T81,AB88&lt;1.2*'Ratio_M+Cl'!T81),AB120/'Ratio_M+Cl'!T113,IF(OR(AB120="N/A",AB152="N/A"),"N/A",""))</f>
        <v>78.486107218097885</v>
      </c>
      <c r="AC57" s="185">
        <f>IF(AND(ISNUMBER(AC88),AC88&gt;0.8*'Ratio_M+Cl'!U81,AC88&lt;1.2*'Ratio_M+Cl'!U81),AC120/'Ratio_M+Cl'!U113,IF(OR(AC120="N/A",AC152="N/A"),"N/A",""))</f>
        <v>16.212024552295475</v>
      </c>
      <c r="AD57" s="183" t="str">
        <f>IF(AND(ISNUMBER(AD88),AD88&gt;0.8*'Ratio_M+Cl'!V81,AD88&lt;1.2*'Ratio_M+Cl'!V81),AD120/'Ratio_M+Cl'!V113,IF(OR(AD120="N/A",AD152="N/A"),"N/A",""))</f>
        <v/>
      </c>
      <c r="AE57" s="184" t="str">
        <f>IF(AND(ISNUMBER(AE88),AE88&gt;0.8*'Ratio_M+Cl'!W81,AE88&lt;1.2*'Ratio_M+Cl'!W81),AE120/'Ratio_M+Cl'!W113,IF(OR(AE120="N/A",AE152="N/A"),"N/A",""))</f>
        <v/>
      </c>
      <c r="AF57" s="183" t="str">
        <f>IF(AND(ISNUMBER(AF88),AF88&gt;0.8*'Ratio_M+Cl'!X81,AF88&lt;1.2*'Ratio_M+Cl'!X81),AF120/'Ratio_M+Cl'!X113,IF(OR(AF120="N/A",AF152="N/A"),"N/A",""))</f>
        <v/>
      </c>
      <c r="AG57" s="183" t="str">
        <f>IF(AND(ISNUMBER(AG88),AG88&gt;0.8*'Ratio_M+Cl'!Y81,AG88&lt;1.2*'Ratio_M+Cl'!Y81),AG120/'Ratio_M+Cl'!Y113,IF(OR(AG120="N/A",AG152="N/A"),"N/A",""))</f>
        <v/>
      </c>
      <c r="AH57" s="183" t="str">
        <f>IF(AND(ISNUMBER(AH88),AH88&gt;0.8*'Ratio_M+Cl'!Z81,AH88&lt;1.2*'Ratio_M+Cl'!Z81),AH120/'Ratio_M+Cl'!Z113,IF(OR(AH120="N/A",AH152="N/A"),"N/A",""))</f>
        <v/>
      </c>
      <c r="AI57" s="183" t="str">
        <f>IF(AND(ISNUMBER(AI88),AI88&gt;0.8*'Ratio_M+Cl'!AA81,AI88&lt;1.2*'Ratio_M+Cl'!AA81),AI120/'Ratio_M+Cl'!AA113,IF(OR(AI120="N/A",AI152="N/A"),"N/A",""))</f>
        <v/>
      </c>
      <c r="AJ57" s="183" t="str">
        <f>IF(AND(ISNUMBER(AJ88),AJ88&gt;0.8*'Ratio_M+Cl'!AB81,AJ88&lt;1.2*'Ratio_M+Cl'!AB81),AJ120/'Ratio_M+Cl'!AB113,IF(OR(AJ120="N/A",AJ152="N/A"),"N/A",""))</f>
        <v/>
      </c>
      <c r="AK57" s="183" t="str">
        <f>IF(AND(ISNUMBER(AK88),AK88&gt;0.8*'Ratio_M+Cl'!AC81,AK88&lt;1.2*'Ratio_M+Cl'!AC81),AK120/'Ratio_M+Cl'!AC113,IF(OR(AK120="N/A",AK152="N/A"),"N/A",""))</f>
        <v/>
      </c>
      <c r="AM57" s="160" t="s">
        <v>21</v>
      </c>
      <c r="AN57" s="225">
        <f t="shared" si="3"/>
        <v>0</v>
      </c>
      <c r="AO57" s="225">
        <f t="shared" si="9"/>
        <v>0</v>
      </c>
      <c r="AP57" s="225">
        <f t="shared" si="10"/>
        <v>0</v>
      </c>
      <c r="AQ57" s="225">
        <f t="shared" si="11"/>
        <v>0</v>
      </c>
      <c r="AR57" s="225">
        <f t="shared" si="12"/>
        <v>0</v>
      </c>
      <c r="AS57" s="225">
        <f t="shared" si="13"/>
        <v>0</v>
      </c>
      <c r="AT57" s="225">
        <f t="shared" si="14"/>
        <v>0</v>
      </c>
      <c r="AU57" s="225">
        <f t="shared" si="15"/>
        <v>0</v>
      </c>
      <c r="AV57" s="225" t="str">
        <f t="shared" si="16"/>
        <v/>
      </c>
      <c r="AW57" s="225">
        <f t="shared" si="17"/>
        <v>0</v>
      </c>
      <c r="AX57" s="225" t="str">
        <f t="shared" si="18"/>
        <v/>
      </c>
      <c r="AY57" s="225">
        <f t="shared" si="19"/>
        <v>0</v>
      </c>
      <c r="AZ57" s="225">
        <f t="shared" si="20"/>
        <v>0</v>
      </c>
      <c r="BA57" s="225">
        <f t="shared" si="21"/>
        <v>0</v>
      </c>
      <c r="BB57" s="225">
        <f t="shared" si="22"/>
        <v>0</v>
      </c>
      <c r="BC57" s="225">
        <f t="shared" si="23"/>
        <v>0</v>
      </c>
      <c r="BD57" s="225">
        <f t="shared" si="24"/>
        <v>0</v>
      </c>
      <c r="BE57" s="225">
        <f t="shared" si="25"/>
        <v>0</v>
      </c>
      <c r="BF57" s="225">
        <f t="shared" si="26"/>
        <v>0</v>
      </c>
      <c r="BG57" s="225" t="str">
        <f t="shared" si="27"/>
        <v/>
      </c>
      <c r="BH57" s="225" t="str">
        <f t="shared" si="28"/>
        <v/>
      </c>
      <c r="BI57" s="225" t="str">
        <f t="shared" si="29"/>
        <v/>
      </c>
      <c r="BJ57" s="225" t="str">
        <f t="shared" si="4"/>
        <v/>
      </c>
      <c r="BK57" s="225" t="str">
        <f t="shared" si="5"/>
        <v/>
      </c>
      <c r="BL57" s="225" t="str">
        <f t="shared" si="6"/>
        <v/>
      </c>
      <c r="BM57" s="225" t="str">
        <f t="shared" si="7"/>
        <v/>
      </c>
      <c r="BN57" s="225" t="str">
        <f t="shared" si="8"/>
        <v/>
      </c>
    </row>
    <row r="58" spans="1:66" ht="15.75" x14ac:dyDescent="0.3">
      <c r="A58" s="150">
        <v>53</v>
      </c>
      <c r="B58" s="10" t="s">
        <v>49</v>
      </c>
      <c r="C58" s="236">
        <v>226591306.53099051</v>
      </c>
      <c r="D58" s="233"/>
      <c r="E58" s="232">
        <f t="shared" si="1"/>
        <v>0</v>
      </c>
      <c r="G58" s="10" t="s">
        <v>373</v>
      </c>
      <c r="H58" s="151">
        <f>IF(ISNUMBER(R48),R48/SUM($K$43:$AK$71),0)</f>
        <v>4.244038163556578E-2</v>
      </c>
      <c r="J58" s="160" t="s">
        <v>22</v>
      </c>
      <c r="K58" s="183">
        <f>IF(AND(ISNUMBER(K89),K89&gt;0.8*'Ratio_M+Cl'!C82,K89&lt;1.2*'Ratio_M+Cl'!C82),K121/'Ratio_M+Cl'!C114,IF(OR(K121="N/A",K153="N/A"),"N/A",""))</f>
        <v>30.44970019324429</v>
      </c>
      <c r="L58" s="183">
        <f>IF(AND(ISNUMBER(L89),L89&gt;0.8*'Ratio_M+Cl'!D82,L89&lt;1.2*'Ratio_M+Cl'!D82),L121/'Ratio_M+Cl'!D114,IF(OR(L121="N/A",L153="N/A"),"N/A",""))</f>
        <v>145.61780477608522</v>
      </c>
      <c r="M58" s="180">
        <f>IF(AND(ISNUMBER(M89),M89&gt;0.8*'Ratio_M+Cl'!E82,M89&lt;1.2*'Ratio_M+Cl'!E82),M121/'Ratio_M+Cl'!E114,IF(OR(M121="N/A",M153="N/A"),"N/A",""))</f>
        <v>382.70003243305752</v>
      </c>
      <c r="N58" s="180">
        <f>IF(AND(ISNUMBER(N89),N89&gt;0.8*'Ratio_M+Cl'!F82,N89&lt;1.2*'Ratio_M+Cl'!F82),N121/'Ratio_M+Cl'!F114,IF(OR(N121="N/A",N153="N/A"),"N/A",""))</f>
        <v>524.55156071711986</v>
      </c>
      <c r="O58" s="180">
        <f>IF(AND(ISNUMBER(O89),O89&gt;0.8*'Ratio_M+Cl'!G82,O89&lt;1.2*'Ratio_M+Cl'!G82),O121/'Ratio_M+Cl'!G114,IF(OR(O121="N/A",O153="N/A"),"N/A",""))</f>
        <v>352.55684540791856</v>
      </c>
      <c r="P58" s="183">
        <f>IF(AND(ISNUMBER(P89),P89&gt;0.8*'Ratio_M+Cl'!H82,P89&lt;1.2*'Ratio_M+Cl'!H82),P121/'Ratio_M+Cl'!H114,IF(OR(P121="N/A",P153="N/A"),"N/A",""))</f>
        <v>135.76322258262445</v>
      </c>
      <c r="Q58" s="183">
        <f>IF(AND(ISNUMBER(Q89),Q89&gt;0.8*'Ratio_M+Cl'!I82,Q89&lt;1.2*'Ratio_M+Cl'!I82),Q121/'Ratio_M+Cl'!I114,IF(OR(Q121="N/A",Q153="N/A"),"N/A",""))</f>
        <v>31.089392246685122</v>
      </c>
      <c r="R58" s="183">
        <f>IF(AND(ISNUMBER(R89),R89&gt;0.8*'Ratio_M+Cl'!J82,R89&lt;1.2*'Ratio_M+Cl'!J82),R121/'Ratio_M+Cl'!J114,IF(OR(R121="N/A",R153="N/A"),"N/A",""))</f>
        <v>2.7041218732723249</v>
      </c>
      <c r="S58" s="183" t="str">
        <f>IF(AND(ISNUMBER(S89),S89&gt;0.8*'Ratio_M+Cl'!K82,S89&lt;1.2*'Ratio_M+Cl'!K82),S121/'Ratio_M+Cl'!K114,IF(OR(S121="N/A",S153="N/A"),"N/A",""))</f>
        <v/>
      </c>
      <c r="T58" s="183" t="str">
        <f>IF(AND(ISNUMBER(T89),T89&gt;0.8*'Ratio_M+Cl'!L82,T89&lt;1.2*'Ratio_M+Cl'!L82),T121/'Ratio_M+Cl'!L114,IF(OR(T121="N/A",T153="N/A"),"N/A",""))</f>
        <v/>
      </c>
      <c r="U58" s="183" t="str">
        <f>IF(AND(ISNUMBER(U89),U89&gt;0.8*'Ratio_M+Cl'!M82,U89&lt;1.2*'Ratio_M+Cl'!M82),U121/'Ratio_M+Cl'!M114,IF(OR(U121="N/A",U153="N/A"),"N/A",""))</f>
        <v/>
      </c>
      <c r="V58" s="183" t="str">
        <f>IF(AND(ISNUMBER(V89),V89&gt;0.8*'Ratio_M+Cl'!N82,V89&lt;1.2*'Ratio_M+Cl'!N82),V121/'Ratio_M+Cl'!N114,IF(OR(V121="N/A",V153="N/A"),"N/A",""))</f>
        <v/>
      </c>
      <c r="W58" s="183" t="str">
        <f>IF(AND(ISNUMBER(W89),W89&gt;0.8*'Ratio_M+Cl'!O82,W89&lt;1.2*'Ratio_M+Cl'!O82),W121/'Ratio_M+Cl'!O114,IF(OR(W121="N/A",W153="N/A"),"N/A",""))</f>
        <v/>
      </c>
      <c r="X58" s="183">
        <f>IF(AND(ISNUMBER(X89),X89&gt;0.8*'Ratio_M+Cl'!P82,X89&lt;1.2*'Ratio_M+Cl'!P82),X121/'Ratio_M+Cl'!P114,IF(OR(X121="N/A",X153="N/A"),"N/A",""))</f>
        <v>21.922195163972695</v>
      </c>
      <c r="Y58" s="183">
        <f>IF(AND(ISNUMBER(Y89),Y89&gt;0.8*'Ratio_M+Cl'!Q82,Y89&lt;1.2*'Ratio_M+Cl'!Q82),Y121/'Ratio_M+Cl'!Q114,IF(OR(Y121="N/A",Y153="N/A"),"N/A",""))</f>
        <v>105.28532155042289</v>
      </c>
      <c r="Z58" s="183">
        <f>IF(AND(ISNUMBER(Z89),Z89&gt;0.8*'Ratio_M+Cl'!R82,Z89&lt;1.2*'Ratio_M+Cl'!R82),Z121/'Ratio_M+Cl'!R114,IF(OR(Z121="N/A",Z153="N/A"),"N/A",""))</f>
        <v>236.31387255657424</v>
      </c>
      <c r="AA58" s="183">
        <f>IF(AND(ISNUMBER(AA89),AA89&gt;0.8*'Ratio_M+Cl'!S82,AA89&lt;1.2*'Ratio_M+Cl'!S82),AA121/'Ratio_M+Cl'!S114,IF(OR(AA121="N/A",AA153="N/A"),"N/A",""))</f>
        <v>298.12292375759358</v>
      </c>
      <c r="AB58" s="183">
        <f>IF(AND(ISNUMBER(AB89),AB89&gt;0.8*'Ratio_M+Cl'!T82,AB89&lt;1.2*'Ratio_M+Cl'!T82),AB121/'Ratio_M+Cl'!T114,IF(OR(AB121="N/A",AB153="N/A"),"N/A",""))</f>
        <v>221.86983734005412</v>
      </c>
      <c r="AC58" s="183">
        <f>IF(AND(ISNUMBER(AC89),AC89&gt;0.8*'Ratio_M+Cl'!U82,AC89&lt;1.2*'Ratio_M+Cl'!U82),AC121/'Ratio_M+Cl'!U114,IF(OR(AC121="N/A",AC153="N/A"),"N/A",""))</f>
        <v>94.733243163984298</v>
      </c>
      <c r="AD58" s="185">
        <f>IF(AND(ISNUMBER(AD89),AD89&gt;0.8*'Ratio_M+Cl'!V82,AD89&lt;1.2*'Ratio_M+Cl'!V82),AD121/'Ratio_M+Cl'!V114,IF(OR(AD121="N/A",AD153="N/A"),"N/A",""))</f>
        <v>21.821217796425355</v>
      </c>
      <c r="AE58" s="183">
        <f>IF(AND(ISNUMBER(AE89),AE89&gt;0.8*'Ratio_M+Cl'!W82,AE89&lt;1.2*'Ratio_M+Cl'!W82),AE121/'Ratio_M+Cl'!W114,IF(OR(AE121="N/A",AE153="N/A"),"N/A",""))</f>
        <v>0.77444374135802363</v>
      </c>
      <c r="AF58" s="184" t="str">
        <f>IF(AND(ISNUMBER(AF89),AF89&gt;0.8*'Ratio_M+Cl'!X82,AF89&lt;1.2*'Ratio_M+Cl'!X82),AF121/'Ratio_M+Cl'!X114,IF(OR(AF121="N/A",AF153="N/A"),"N/A",""))</f>
        <v/>
      </c>
      <c r="AG58" s="183" t="str">
        <f>IF(AND(ISNUMBER(AG89),AG89&gt;0.8*'Ratio_M+Cl'!Y82,AG89&lt;1.2*'Ratio_M+Cl'!Y82),AG121/'Ratio_M+Cl'!Y114,IF(OR(AG121="N/A",AG153="N/A"),"N/A",""))</f>
        <v/>
      </c>
      <c r="AH58" s="183" t="str">
        <f>IF(AND(ISNUMBER(AH89),AH89&gt;0.8*'Ratio_M+Cl'!Z82,AH89&lt;1.2*'Ratio_M+Cl'!Z82),AH121/'Ratio_M+Cl'!Z114,IF(OR(AH121="N/A",AH153="N/A"),"N/A",""))</f>
        <v/>
      </c>
      <c r="AI58" s="183" t="str">
        <f>IF(AND(ISNUMBER(AI89),AI89&gt;0.8*'Ratio_M+Cl'!AA82,AI89&lt;1.2*'Ratio_M+Cl'!AA82),AI121/'Ratio_M+Cl'!AA114,IF(OR(AI121="N/A",AI153="N/A"),"N/A",""))</f>
        <v/>
      </c>
      <c r="AJ58" s="183" t="str">
        <f>IF(AND(ISNUMBER(AJ89),AJ89&gt;0.8*'Ratio_M+Cl'!AB82,AJ89&lt;1.2*'Ratio_M+Cl'!AB82),AJ121/'Ratio_M+Cl'!AB114,IF(OR(AJ121="N/A",AJ153="N/A"),"N/A",""))</f>
        <v/>
      </c>
      <c r="AK58" s="183" t="str">
        <f>IF(AND(ISNUMBER(AK89),AK89&gt;0.8*'Ratio_M+Cl'!AC82,AK89&lt;1.2*'Ratio_M+Cl'!AC82),AK121/'Ratio_M+Cl'!AC114,IF(OR(AK121="N/A",AK153="N/A"),"N/A",""))</f>
        <v/>
      </c>
      <c r="AM58" s="160" t="s">
        <v>22</v>
      </c>
      <c r="AN58" s="225">
        <f t="shared" si="3"/>
        <v>0</v>
      </c>
      <c r="AO58" s="225">
        <f t="shared" si="9"/>
        <v>0</v>
      </c>
      <c r="AP58" s="225">
        <f t="shared" si="10"/>
        <v>0</v>
      </c>
      <c r="AQ58" s="225">
        <f t="shared" si="11"/>
        <v>0</v>
      </c>
      <c r="AR58" s="225">
        <f t="shared" si="12"/>
        <v>0</v>
      </c>
      <c r="AS58" s="225">
        <f t="shared" si="13"/>
        <v>0</v>
      </c>
      <c r="AT58" s="225">
        <f t="shared" si="14"/>
        <v>0</v>
      </c>
      <c r="AU58" s="225">
        <f t="shared" si="15"/>
        <v>0</v>
      </c>
      <c r="AV58" s="225" t="str">
        <f t="shared" si="16"/>
        <v/>
      </c>
      <c r="AW58" s="225" t="str">
        <f t="shared" si="17"/>
        <v/>
      </c>
      <c r="AX58" s="225" t="str">
        <f t="shared" si="18"/>
        <v/>
      </c>
      <c r="AY58" s="225" t="str">
        <f t="shared" si="19"/>
        <v/>
      </c>
      <c r="AZ58" s="225" t="str">
        <f t="shared" si="20"/>
        <v/>
      </c>
      <c r="BA58" s="225">
        <f t="shared" si="21"/>
        <v>0</v>
      </c>
      <c r="BB58" s="225">
        <f t="shared" si="22"/>
        <v>0</v>
      </c>
      <c r="BC58" s="225">
        <f t="shared" si="23"/>
        <v>0</v>
      </c>
      <c r="BD58" s="225">
        <f t="shared" si="24"/>
        <v>0</v>
      </c>
      <c r="BE58" s="225">
        <f t="shared" si="25"/>
        <v>0</v>
      </c>
      <c r="BF58" s="225">
        <f t="shared" si="26"/>
        <v>0</v>
      </c>
      <c r="BG58" s="225">
        <f t="shared" si="27"/>
        <v>0</v>
      </c>
      <c r="BH58" s="225">
        <f t="shared" si="28"/>
        <v>0</v>
      </c>
      <c r="BI58" s="225" t="str">
        <f t="shared" si="29"/>
        <v/>
      </c>
      <c r="BJ58" s="225" t="str">
        <f t="shared" si="4"/>
        <v/>
      </c>
      <c r="BK58" s="225" t="str">
        <f t="shared" si="5"/>
        <v/>
      </c>
      <c r="BL58" s="225" t="str">
        <f t="shared" si="6"/>
        <v/>
      </c>
      <c r="BM58" s="225" t="str">
        <f t="shared" si="7"/>
        <v/>
      </c>
      <c r="BN58" s="225" t="str">
        <f t="shared" si="8"/>
        <v/>
      </c>
    </row>
    <row r="59" spans="1:66" ht="15.75" x14ac:dyDescent="0.3">
      <c r="A59" s="150">
        <v>54</v>
      </c>
      <c r="B59" s="10" t="s">
        <v>50</v>
      </c>
      <c r="C59" s="236">
        <v>217358307.24334925</v>
      </c>
      <c r="D59" s="233"/>
      <c r="E59" s="232">
        <f t="shared" si="1"/>
        <v>0</v>
      </c>
      <c r="G59" s="10" t="s">
        <v>374</v>
      </c>
      <c r="H59" s="151">
        <f>IF(ISNUMBER(S48),S48/SUM($K$43:$AK$71),0)</f>
        <v>5.6318927871086298E-2</v>
      </c>
      <c r="J59" s="160" t="s">
        <v>23</v>
      </c>
      <c r="K59" s="183">
        <f>IF(AND(ISNUMBER(K90),K90&gt;0.8*'Ratio_M+Cl'!C83,K90&lt;1.2*'Ratio_M+Cl'!C83),K122/'Ratio_M+Cl'!C115,IF(OR(K122="N/A",K154="N/A"),"N/A",""))</f>
        <v>26.659652608236406</v>
      </c>
      <c r="L59" s="183">
        <f>IF(AND(ISNUMBER(L90),L90&gt;0.8*'Ratio_M+Cl'!D83,L90&lt;1.2*'Ratio_M+Cl'!D83),L122/'Ratio_M+Cl'!D115,IF(OR(L122="N/A",L154="N/A"),"N/A",""))</f>
        <v>126.29306196656849</v>
      </c>
      <c r="M59" s="180">
        <f>IF(AND(ISNUMBER(M90),M90&gt;0.8*'Ratio_M+Cl'!E83,M90&lt;1.2*'Ratio_M+Cl'!E83),M122/'Ratio_M+Cl'!E115,IF(OR(M122="N/A",M154="N/A"),"N/A",""))</f>
        <v>345.09512346482023</v>
      </c>
      <c r="N59" s="180">
        <f>IF(AND(ISNUMBER(N90),N90&gt;0.8*'Ratio_M+Cl'!F83,N90&lt;1.2*'Ratio_M+Cl'!F83),N122/'Ratio_M+Cl'!F115,IF(OR(N122="N/A",N154="N/A"),"N/A",""))</f>
        <v>511.09395803548898</v>
      </c>
      <c r="O59" s="180">
        <f>IF(AND(ISNUMBER(O90),O90&gt;0.8*'Ratio_M+Cl'!G83,O90&lt;1.2*'Ratio_M+Cl'!G83),O122/'Ratio_M+Cl'!G115,IF(OR(O122="N/A",O154="N/A"),"N/A",""))</f>
        <v>387.34914689481434</v>
      </c>
      <c r="P59" s="183">
        <f>IF(AND(ISNUMBER(P90),P90&gt;0.8*'Ratio_M+Cl'!H83,P90&lt;1.2*'Ratio_M+Cl'!H83),P122/'Ratio_M+Cl'!H115,IF(OR(P122="N/A",P154="N/A"),"N/A",""))</f>
        <v>170.26938022775292</v>
      </c>
      <c r="Q59" s="183">
        <f>IF(AND(ISNUMBER(Q90),Q90&gt;0.8*'Ratio_M+Cl'!I83,Q90&lt;1.2*'Ratio_M+Cl'!I83),Q122/'Ratio_M+Cl'!I115,IF(OR(Q122="N/A",Q154="N/A"),"N/A",""))</f>
        <v>46.806872669029623</v>
      </c>
      <c r="R59" s="183">
        <f>IF(AND(ISNUMBER(R90),R90&gt;0.8*'Ratio_M+Cl'!J83,R90&lt;1.2*'Ratio_M+Cl'!J83),R122/'Ratio_M+Cl'!J115,IF(OR(R122="N/A",R154="N/A"),"N/A",""))</f>
        <v>6.5327621766222368</v>
      </c>
      <c r="S59" s="183" t="str">
        <f>IF(AND(ISNUMBER(S90),S90&gt;0.8*'Ratio_M+Cl'!K83,S90&lt;1.2*'Ratio_M+Cl'!K83),S122/'Ratio_M+Cl'!K115,IF(OR(S122="N/A",S154="N/A"),"N/A",""))</f>
        <v/>
      </c>
      <c r="T59" s="183" t="str">
        <f>IF(AND(ISNUMBER(T90),T90&gt;0.8*'Ratio_M+Cl'!L83,T90&lt;1.2*'Ratio_M+Cl'!L83),T122/'Ratio_M+Cl'!L115,IF(OR(T122="N/A",T154="N/A"),"N/A",""))</f>
        <v/>
      </c>
      <c r="U59" s="183" t="str">
        <f>IF(AND(ISNUMBER(U90),U90&gt;0.8*'Ratio_M+Cl'!M83,U90&lt;1.2*'Ratio_M+Cl'!M83),U122/'Ratio_M+Cl'!M115,IF(OR(U122="N/A",U154="N/A"),"N/A",""))</f>
        <v/>
      </c>
      <c r="V59" s="183" t="str">
        <f>IF(AND(ISNUMBER(V90),V90&gt;0.8*'Ratio_M+Cl'!N83,V90&lt;1.2*'Ratio_M+Cl'!N83),V122/'Ratio_M+Cl'!N115,IF(OR(V122="N/A",V154="N/A"),"N/A",""))</f>
        <v/>
      </c>
      <c r="W59" s="183" t="str">
        <f>IF(AND(ISNUMBER(W90),W90&gt;0.8*'Ratio_M+Cl'!O83,W90&lt;1.2*'Ratio_M+Cl'!O83),W122/'Ratio_M+Cl'!O115,IF(OR(W122="N/A",W154="N/A"),"N/A",""))</f>
        <v/>
      </c>
      <c r="X59" s="183" t="str">
        <f>IF(AND(ISNUMBER(X90),X90&gt;0.8*'Ratio_M+Cl'!P83,X90&lt;1.2*'Ratio_M+Cl'!P83),X122/'Ratio_M+Cl'!P115,IF(OR(X122="N/A",X154="N/A"),"N/A",""))</f>
        <v/>
      </c>
      <c r="Y59" s="183">
        <f>IF(AND(ISNUMBER(Y90),Y90&gt;0.8*'Ratio_M+Cl'!Q83,Y90&lt;1.2*'Ratio_M+Cl'!Q83),Y122/'Ratio_M+Cl'!Q115,IF(OR(Y122="N/A",Y154="N/A"),"N/A",""))</f>
        <v>39.320601551054246</v>
      </c>
      <c r="Z59" s="183">
        <f>IF(AND(ISNUMBER(Z90),Z90&gt;0.8*'Ratio_M+Cl'!R83,Z90&lt;1.2*'Ratio_M+Cl'!R83),Z122/'Ratio_M+Cl'!R115,IF(OR(Z122="N/A",Z154="N/A"),"N/A",""))</f>
        <v>152.1543574511054</v>
      </c>
      <c r="AA59" s="183">
        <f>IF(AND(ISNUMBER(AA90),AA90&gt;0.8*'Ratio_M+Cl'!S83,AA90&lt;1.2*'Ratio_M+Cl'!S83),AA122/'Ratio_M+Cl'!S115,IF(OR(AA122="N/A",AA154="N/A"),"N/A",""))</f>
        <v>302.22335331850996</v>
      </c>
      <c r="AB59" s="183">
        <f>IF(AND(ISNUMBER(AB90),AB90&gt;0.8*'Ratio_M+Cl'!T83,AB90&lt;1.2*'Ratio_M+Cl'!T83),AB122/'Ratio_M+Cl'!T115,IF(OR(AB122="N/A",AB154="N/A"),"N/A",""))</f>
        <v>348.48746964242639</v>
      </c>
      <c r="AC59" s="183">
        <f>IF(AND(ISNUMBER(AC90),AC90&gt;0.8*'Ratio_M+Cl'!U83,AC90&lt;1.2*'Ratio_M+Cl'!U83),AC122/'Ratio_M+Cl'!U115,IF(OR(AC122="N/A",AC154="N/A"),"N/A",""))</f>
        <v>237.81746950212857</v>
      </c>
      <c r="AD59" s="183">
        <f>IF(AND(ISNUMBER(AD90),AD90&gt;0.8*'Ratio_M+Cl'!V83,AD90&lt;1.2*'Ratio_M+Cl'!V83),AD122/'Ratio_M+Cl'!V115,IF(OR(AD122="N/A",AD154="N/A"),"N/A",""))</f>
        <v>99.734919069596131</v>
      </c>
      <c r="AE59" s="185">
        <f>IF(AND(ISNUMBER(AE90),AE90&gt;0.8*'Ratio_M+Cl'!W83,AE90&lt;1.2*'Ratio_M+Cl'!W83),AE122/'Ratio_M+Cl'!W115,IF(OR(AE122="N/A",AE154="N/A"),"N/A",""))</f>
        <v>20.971158437560849</v>
      </c>
      <c r="AF59" s="183">
        <f>IF(AND(ISNUMBER(AF90),AF90&gt;0.8*'Ratio_M+Cl'!X83,AF90&lt;1.2*'Ratio_M+Cl'!X83),AF122/'Ratio_M+Cl'!X115,IF(OR(AF122="N/A",AF154="N/A"),"N/A",""))</f>
        <v>1.2539689074244789</v>
      </c>
      <c r="AG59" s="184" t="str">
        <f>IF(AND(ISNUMBER(AG90),AG90&gt;0.8*'Ratio_M+Cl'!Y83,AG90&lt;1.2*'Ratio_M+Cl'!Y83),AG122/'Ratio_M+Cl'!Y115,IF(OR(AG122="N/A",AG154="N/A"),"N/A",""))</f>
        <v/>
      </c>
      <c r="AH59" s="183" t="str">
        <f>IF(AND(ISNUMBER(AH90),AH90&gt;0.8*'Ratio_M+Cl'!Z83,AH90&lt;1.2*'Ratio_M+Cl'!Z83),AH122/'Ratio_M+Cl'!Z115,IF(OR(AH122="N/A",AH154="N/A"),"N/A",""))</f>
        <v/>
      </c>
      <c r="AI59" s="183" t="str">
        <f>IF(AND(ISNUMBER(AI90),AI90&gt;0.8*'Ratio_M+Cl'!AA83,AI90&lt;1.2*'Ratio_M+Cl'!AA83),AI122/'Ratio_M+Cl'!AA115,IF(OR(AI122="N/A",AI154="N/A"),"N/A",""))</f>
        <v/>
      </c>
      <c r="AJ59" s="183" t="str">
        <f>IF(AND(ISNUMBER(AJ90),AJ90&gt;0.8*'Ratio_M+Cl'!AB83,AJ90&lt;1.2*'Ratio_M+Cl'!AB83),AJ122/'Ratio_M+Cl'!AB115,IF(OR(AJ122="N/A",AJ154="N/A"),"N/A",""))</f>
        <v/>
      </c>
      <c r="AK59" s="183" t="str">
        <f>IF(AND(ISNUMBER(AK90),AK90&gt;0.8*'Ratio_M+Cl'!AC83,AK90&lt;1.2*'Ratio_M+Cl'!AC83),AK122/'Ratio_M+Cl'!AC115,IF(OR(AK122="N/A",AK154="N/A"),"N/A",""))</f>
        <v/>
      </c>
      <c r="AM59" s="160" t="s">
        <v>23</v>
      </c>
      <c r="AN59" s="225">
        <f t="shared" si="3"/>
        <v>0</v>
      </c>
      <c r="AO59" s="225">
        <f t="shared" si="9"/>
        <v>0</v>
      </c>
      <c r="AP59" s="225">
        <f t="shared" si="10"/>
        <v>0</v>
      </c>
      <c r="AQ59" s="225">
        <f t="shared" si="11"/>
        <v>0</v>
      </c>
      <c r="AR59" s="225">
        <f t="shared" si="12"/>
        <v>0</v>
      </c>
      <c r="AS59" s="225">
        <f t="shared" si="13"/>
        <v>0</v>
      </c>
      <c r="AT59" s="225">
        <f t="shared" si="14"/>
        <v>0</v>
      </c>
      <c r="AU59" s="225">
        <f t="shared" si="15"/>
        <v>0</v>
      </c>
      <c r="AV59" s="225" t="str">
        <f t="shared" si="16"/>
        <v/>
      </c>
      <c r="AW59" s="225" t="str">
        <f t="shared" si="17"/>
        <v/>
      </c>
      <c r="AX59" s="225" t="str">
        <f t="shared" si="18"/>
        <v/>
      </c>
      <c r="AY59" s="225" t="str">
        <f t="shared" si="19"/>
        <v/>
      </c>
      <c r="AZ59" s="225" t="str">
        <f t="shared" si="20"/>
        <v/>
      </c>
      <c r="BA59" s="225" t="str">
        <f t="shared" si="21"/>
        <v/>
      </c>
      <c r="BB59" s="225">
        <f t="shared" si="22"/>
        <v>0</v>
      </c>
      <c r="BC59" s="225">
        <f t="shared" si="23"/>
        <v>0</v>
      </c>
      <c r="BD59" s="225">
        <f t="shared" si="24"/>
        <v>0</v>
      </c>
      <c r="BE59" s="225">
        <f t="shared" si="25"/>
        <v>0</v>
      </c>
      <c r="BF59" s="225">
        <f t="shared" si="26"/>
        <v>0</v>
      </c>
      <c r="BG59" s="225">
        <f t="shared" si="27"/>
        <v>0</v>
      </c>
      <c r="BH59" s="225">
        <f t="shared" si="28"/>
        <v>0</v>
      </c>
      <c r="BI59" s="225">
        <f t="shared" si="29"/>
        <v>0</v>
      </c>
      <c r="BJ59" s="225" t="str">
        <f t="shared" si="4"/>
        <v/>
      </c>
      <c r="BK59" s="225" t="str">
        <f t="shared" si="5"/>
        <v/>
      </c>
      <c r="BL59" s="225" t="str">
        <f t="shared" si="6"/>
        <v/>
      </c>
      <c r="BM59" s="225" t="str">
        <f t="shared" si="7"/>
        <v/>
      </c>
      <c r="BN59" s="225" t="str">
        <f t="shared" si="8"/>
        <v/>
      </c>
    </row>
    <row r="60" spans="1:66" ht="15.75" x14ac:dyDescent="0.3">
      <c r="A60" s="150">
        <v>55</v>
      </c>
      <c r="B60" s="10" t="s">
        <v>51</v>
      </c>
      <c r="C60" s="236">
        <v>280217516.62791252</v>
      </c>
      <c r="D60" s="233"/>
      <c r="E60" s="232">
        <f t="shared" si="1"/>
        <v>0</v>
      </c>
      <c r="G60" s="10" t="s">
        <v>498</v>
      </c>
      <c r="H60" s="151">
        <f>IF(ISNUMBER(T48),T48/SUM($K$43:$AK$71),0)</f>
        <v>3.0751895249627299E-2</v>
      </c>
      <c r="J60" s="160" t="s">
        <v>24</v>
      </c>
      <c r="K60" s="183">
        <f>IF(AND(ISNUMBER(K91),K91&gt;0.8*'Ratio_M+Cl'!C84,K91&lt;1.2*'Ratio_M+Cl'!C84),K123/'Ratio_M+Cl'!C116,IF(OR(K123="N/A",K155="N/A"),"N/A",""))</f>
        <v>22.800960313685458</v>
      </c>
      <c r="L60" s="183">
        <f>IF(AND(ISNUMBER(L91),L91&gt;0.8*'Ratio_M+Cl'!D84,L91&lt;1.2*'Ratio_M+Cl'!D84),L123/'Ratio_M+Cl'!D116,IF(OR(L123="N/A",L155="N/A"),"N/A",""))</f>
        <v>102.90497485156209</v>
      </c>
      <c r="M60" s="180">
        <f>IF(AND(ISNUMBER(M91),M91&gt;0.8*'Ratio_M+Cl'!E84,M91&lt;1.2*'Ratio_M+Cl'!E84),M123/'Ratio_M+Cl'!E116,IF(OR(M123="N/A",M155="N/A"),"N/A",""))</f>
        <v>284.8767401089824</v>
      </c>
      <c r="N60" s="180">
        <f>IF(AND(ISNUMBER(N91),N91&gt;0.8*'Ratio_M+Cl'!F84,N91&lt;1.2*'Ratio_M+Cl'!F84),N123/'Ratio_M+Cl'!F116,IF(OR(N123="N/A",N155="N/A"),"N/A",""))</f>
        <v>441.44093747285774</v>
      </c>
      <c r="O60" s="180">
        <f>IF(AND(ISNUMBER(O91),O91&gt;0.8*'Ratio_M+Cl'!G84,O91&lt;1.2*'Ratio_M+Cl'!G84),O123/'Ratio_M+Cl'!G116,IF(OR(O123="N/A",O155="N/A"),"N/A",""))</f>
        <v>375.13058210948589</v>
      </c>
      <c r="P60" s="183">
        <f>IF(AND(ISNUMBER(P91),P91&gt;0.8*'Ratio_M+Cl'!H84,P91&lt;1.2*'Ratio_M+Cl'!H84),P123/'Ratio_M+Cl'!H116,IF(OR(P123="N/A",P155="N/A"),"N/A",""))</f>
        <v>186.97609819037754</v>
      </c>
      <c r="Q60" s="183">
        <f>IF(AND(ISNUMBER(Q91),Q91&gt;0.8*'Ratio_M+Cl'!I84,Q91&lt;1.2*'Ratio_M+Cl'!I84),Q123/'Ratio_M+Cl'!I116,IF(OR(Q123="N/A",Q155="N/A"),"N/A",""))</f>
        <v>60.101469709227366</v>
      </c>
      <c r="R60" s="183">
        <f>IF(AND(ISNUMBER(R91),R91&gt;0.8*'Ratio_M+Cl'!J84,R91&lt;1.2*'Ratio_M+Cl'!J84),R123/'Ratio_M+Cl'!J116,IF(OR(R123="N/A",R155="N/A"),"N/A",""))</f>
        <v>10.826607750808847</v>
      </c>
      <c r="S60" s="183" t="str">
        <f>IF(AND(ISNUMBER(S91),S91&gt;0.8*'Ratio_M+Cl'!K84,S91&lt;1.2*'Ratio_M+Cl'!K84),S123/'Ratio_M+Cl'!K116,IF(OR(S123="N/A",S155="N/A"),"N/A",""))</f>
        <v/>
      </c>
      <c r="T60" s="183">
        <f>IF(AND(ISNUMBER(T91),T91&gt;0.8*'Ratio_M+Cl'!L84,T91&lt;1.2*'Ratio_M+Cl'!L84),T123/'Ratio_M+Cl'!L116,IF(OR(T123="N/A",T155="N/A"),"N/A",""))</f>
        <v>6.0589176633540562E-2</v>
      </c>
      <c r="U60" s="183">
        <f>IF(AND(ISNUMBER(U91),U91&gt;0.8*'Ratio_M+Cl'!M84,U91&lt;1.2*'Ratio_M+Cl'!M84),U123/'Ratio_M+Cl'!M116,IF(OR(U123="N/A",U155="N/A"),"N/A",""))</f>
        <v>5.4789186520157115E-2</v>
      </c>
      <c r="V60" s="183" t="str">
        <f>IF(AND(ISNUMBER(V91),V91&gt;0.8*'Ratio_M+Cl'!N84,V91&lt;1.2*'Ratio_M+Cl'!N84),V123/'Ratio_M+Cl'!N116,IF(OR(V123="N/A",V155="N/A"),"N/A",""))</f>
        <v/>
      </c>
      <c r="W60" s="186" t="str">
        <f>IF(AND(ISNUMBER(W91),W91&gt;0.8*'Ratio_M+Cl'!O84,W91&lt;1.2*'Ratio_M+Cl'!O84),W123/'Ratio_M+Cl'!O116,IF(OR(W123="N/A",W155="N/A"),"N/A",""))</f>
        <v/>
      </c>
      <c r="X60" s="183">
        <f>IF(AND(ISNUMBER(X91),X91&gt;0.8*'Ratio_M+Cl'!P84,X91&lt;1.2*'Ratio_M+Cl'!P84),X123/'Ratio_M+Cl'!P116,IF(OR(X123="N/A",X155="N/A"),"N/A",""))</f>
        <v>3.2443256930189748E-2</v>
      </c>
      <c r="Y60" s="183">
        <f>IF(AND(ISNUMBER(Y91),Y91&gt;0.8*'Ratio_M+Cl'!Q84,Y91&lt;1.2*'Ratio_M+Cl'!Q84),Y123/'Ratio_M+Cl'!Q116,IF(OR(Y123="N/A",Y155="N/A"),"N/A",""))</f>
        <v>4.6002726008674948</v>
      </c>
      <c r="Z60" s="183">
        <f>IF(AND(ISNUMBER(Z91),Z91&gt;0.8*'Ratio_M+Cl'!R84,Z91&lt;1.2*'Ratio_M+Cl'!R84),Z123/'Ratio_M+Cl'!R116,IF(OR(Z123="N/A",Z155="N/A"),"N/A",""))</f>
        <v>51.58271549913718</v>
      </c>
      <c r="AA60" s="183">
        <f>IF(AND(ISNUMBER(AA91),AA91&gt;0.8*'Ratio_M+Cl'!S84,AA91&lt;1.2*'Ratio_M+Cl'!S84),AA123/'Ratio_M+Cl'!S116,IF(OR(AA123="N/A",AA155="N/A"),"N/A",""))</f>
        <v>166.43820389025657</v>
      </c>
      <c r="AB60" s="183">
        <f>IF(AND(ISNUMBER(AB91),AB91&gt;0.8*'Ratio_M+Cl'!T84,AB91&lt;1.2*'Ratio_M+Cl'!T84),AB123/'Ratio_M+Cl'!T116,IF(OR(AB123="N/A",AB155="N/A"),"N/A",""))</f>
        <v>294.47227192339483</v>
      </c>
      <c r="AC60" s="183">
        <f>IF(AND(ISNUMBER(AC91),AC91&gt;0.8*'Ratio_M+Cl'!U84,AC91&lt;1.2*'Ratio_M+Cl'!U84),AC123/'Ratio_M+Cl'!U116,IF(OR(AC123="N/A",AC155="N/A"),"N/A",""))</f>
        <v>306.62105471008908</v>
      </c>
      <c r="AD60" s="183">
        <f>IF(AND(ISNUMBER(AD91),AD91&gt;0.8*'Ratio_M+Cl'!V84,AD91&lt;1.2*'Ratio_M+Cl'!V84),AD123/'Ratio_M+Cl'!V116,IF(OR(AD123="N/A",AD155="N/A"),"N/A",""))</f>
        <v>201.2481747696753</v>
      </c>
      <c r="AE60" s="183">
        <f>IF(AND(ISNUMBER(AE91),AE91&gt;0.8*'Ratio_M+Cl'!W84,AE91&lt;1.2*'Ratio_M+Cl'!W84),AE123/'Ratio_M+Cl'!W116,IF(OR(AE123="N/A",AE155="N/A"),"N/A",""))</f>
        <v>78.667584222833256</v>
      </c>
      <c r="AF60" s="185">
        <f>IF(AND(ISNUMBER(AF91),AF91&gt;0.8*'Ratio_M+Cl'!X84,AF91&lt;1.2*'Ratio_M+Cl'!X84),AF123/'Ratio_M+Cl'!X116,IF(OR(AF123="N/A",AF155="N/A"),"N/A",""))</f>
        <v>15.585554950791396</v>
      </c>
      <c r="AG60" s="183" t="str">
        <f>IF(AND(ISNUMBER(AG91),AG91&gt;0.8*'Ratio_M+Cl'!Y84,AG91&lt;1.2*'Ratio_M+Cl'!Y84),AG123/'Ratio_M+Cl'!Y116,IF(OR(AG123="N/A",AG155="N/A"),"N/A",""))</f>
        <v/>
      </c>
      <c r="AH60" s="184" t="str">
        <f>IF(AND(ISNUMBER(AH91),AH91&gt;0.8*'Ratio_M+Cl'!Z84,AH91&lt;1.2*'Ratio_M+Cl'!Z84),AH123/'Ratio_M+Cl'!Z116,IF(OR(AH123="N/A",AH155="N/A"),"N/A",""))</f>
        <v/>
      </c>
      <c r="AI60" s="183" t="str">
        <f>IF(AND(ISNUMBER(AI91),AI91&gt;0.8*'Ratio_M+Cl'!AA84,AI91&lt;1.2*'Ratio_M+Cl'!AA84),AI123/'Ratio_M+Cl'!AA116,IF(OR(AI123="N/A",AI155="N/A"),"N/A",""))</f>
        <v/>
      </c>
      <c r="AJ60" s="183" t="str">
        <f>IF(AND(ISNUMBER(AJ91),AJ91&gt;0.8*'Ratio_M+Cl'!AB84,AJ91&lt;1.2*'Ratio_M+Cl'!AB84),AJ123/'Ratio_M+Cl'!AB116,IF(OR(AJ123="N/A",AJ155="N/A"),"N/A",""))</f>
        <v/>
      </c>
      <c r="AK60" s="183" t="str">
        <f>IF(AND(ISNUMBER(AK91),AK91&gt;0.8*'Ratio_M+Cl'!AC84,AK91&lt;1.2*'Ratio_M+Cl'!AC84),AK123/'Ratio_M+Cl'!AC116,IF(OR(AK123="N/A",AK155="N/A"),"N/A",""))</f>
        <v/>
      </c>
      <c r="AM60" s="160" t="s">
        <v>24</v>
      </c>
      <c r="AN60" s="225">
        <f t="shared" si="3"/>
        <v>0</v>
      </c>
      <c r="AO60" s="225">
        <f t="shared" si="9"/>
        <v>0</v>
      </c>
      <c r="AP60" s="225">
        <f t="shared" si="10"/>
        <v>0</v>
      </c>
      <c r="AQ60" s="225">
        <f t="shared" si="11"/>
        <v>0</v>
      </c>
      <c r="AR60" s="225">
        <f t="shared" si="12"/>
        <v>0</v>
      </c>
      <c r="AS60" s="225">
        <f t="shared" si="13"/>
        <v>0</v>
      </c>
      <c r="AT60" s="225">
        <f t="shared" si="14"/>
        <v>0</v>
      </c>
      <c r="AU60" s="225">
        <f t="shared" si="15"/>
        <v>0</v>
      </c>
      <c r="AV60" s="225" t="str">
        <f t="shared" si="16"/>
        <v/>
      </c>
      <c r="AW60" s="225">
        <f t="shared" si="17"/>
        <v>0</v>
      </c>
      <c r="AX60" s="225">
        <f t="shared" si="18"/>
        <v>0</v>
      </c>
      <c r="AY60" s="225" t="str">
        <f t="shared" si="19"/>
        <v/>
      </c>
      <c r="AZ60" s="225" t="str">
        <f t="shared" si="20"/>
        <v/>
      </c>
      <c r="BA60" s="225">
        <f t="shared" si="21"/>
        <v>0</v>
      </c>
      <c r="BB60" s="225">
        <f t="shared" si="22"/>
        <v>0</v>
      </c>
      <c r="BC60" s="225">
        <f t="shared" si="23"/>
        <v>0</v>
      </c>
      <c r="BD60" s="225">
        <f t="shared" si="24"/>
        <v>0</v>
      </c>
      <c r="BE60" s="225">
        <f t="shared" si="25"/>
        <v>0</v>
      </c>
      <c r="BF60" s="225">
        <f t="shared" si="26"/>
        <v>0</v>
      </c>
      <c r="BG60" s="225">
        <f t="shared" si="27"/>
        <v>0</v>
      </c>
      <c r="BH60" s="225">
        <f t="shared" si="28"/>
        <v>0</v>
      </c>
      <c r="BI60" s="225">
        <f t="shared" si="29"/>
        <v>0</v>
      </c>
      <c r="BJ60" s="225" t="str">
        <f t="shared" si="4"/>
        <v/>
      </c>
      <c r="BK60" s="225" t="str">
        <f t="shared" si="5"/>
        <v/>
      </c>
      <c r="BL60" s="225" t="str">
        <f t="shared" si="6"/>
        <v/>
      </c>
      <c r="BM60" s="225" t="str">
        <f t="shared" si="7"/>
        <v/>
      </c>
      <c r="BN60" s="225" t="str">
        <f t="shared" si="8"/>
        <v/>
      </c>
    </row>
    <row r="61" spans="1:66" ht="15.75" x14ac:dyDescent="0.3">
      <c r="A61" s="150">
        <v>56</v>
      </c>
      <c r="B61" s="10" t="s">
        <v>52</v>
      </c>
      <c r="C61" s="236">
        <v>252776179.50404528</v>
      </c>
      <c r="D61" s="233"/>
      <c r="E61" s="232">
        <f t="shared" si="1"/>
        <v>0</v>
      </c>
      <c r="G61" s="10" t="s">
        <v>1569</v>
      </c>
      <c r="H61" s="151">
        <f>IF(ISNUMBER(U48),U48/SUM($K$43:$AK$71),0)</f>
        <v>6.5908047864849922E-3</v>
      </c>
      <c r="J61" s="160" t="s">
        <v>330</v>
      </c>
      <c r="K61" s="183">
        <f>IF(AND(ISNUMBER(K92),K92&gt;0.8*'Ratio_M+Cl'!C85,K92&lt;1.2*'Ratio_M+Cl'!C85),K124/'Ratio_M+Cl'!C117,IF(OR(K124="N/A",K156="N/A"),"N/A",""))</f>
        <v>19.715448258256103</v>
      </c>
      <c r="L61" s="183">
        <f>IF(AND(ISNUMBER(L92),L92&gt;0.8*'Ratio_M+Cl'!D85,L92&lt;1.2*'Ratio_M+Cl'!D85),L124/'Ratio_M+Cl'!D117,IF(OR(L124="N/A",L156="N/A"),"N/A",""))</f>
        <v>85.605535855262204</v>
      </c>
      <c r="M61" s="180">
        <f>IF(AND(ISNUMBER(M92),M92&gt;0.8*'Ratio_M+Cl'!E85,M92&lt;1.2*'Ratio_M+Cl'!E85),M124/'Ratio_M+Cl'!E117,IF(OR(M124="N/A",M156="N/A"),"N/A",""))</f>
        <v>230.03924124278672</v>
      </c>
      <c r="N61" s="180">
        <f>IF(AND(ISNUMBER(N92),N92&gt;0.8*'Ratio_M+Cl'!F85,N92&lt;1.2*'Ratio_M+Cl'!F85),N124/'Ratio_M+Cl'!F117,IF(OR(N124="N/A",N156="N/A"),"N/A",""))</f>
        <v>355.53837752142664</v>
      </c>
      <c r="O61" s="180">
        <f>IF(AND(ISNUMBER(O92),O92&gt;0.8*'Ratio_M+Cl'!G85,O92&lt;1.2*'Ratio_M+Cl'!G85),O124/'Ratio_M+Cl'!G117,IF(OR(O124="N/A",O156="N/A"),"N/A",""))</f>
        <v>326.56921442039555</v>
      </c>
      <c r="P61" s="186">
        <f>IF(AND(ISNUMBER(P92),P92&gt;0.8*'Ratio_M+Cl'!H85,P92&lt;1.2*'Ratio_M+Cl'!H85),P124/'Ratio_M+Cl'!H117,IF(OR(P124="N/A",P156="N/A"),"N/A",""))</f>
        <v>188.7322398785976</v>
      </c>
      <c r="Q61" s="186">
        <f>IF(AND(ISNUMBER(Q92),Q92&gt;0.8*'Ratio_M+Cl'!I85,Q92&lt;1.2*'Ratio_M+Cl'!I85),Q124/'Ratio_M+Cl'!I117,IF(OR(Q124="N/A",Q156="N/A"),"N/A",""))</f>
        <v>69.712602893292399</v>
      </c>
      <c r="R61" s="186">
        <f>IF(AND(ISNUMBER(R92),R92&gt;0.8*'Ratio_M+Cl'!J85,R92&lt;1.2*'Ratio_M+Cl'!J85),R124/'Ratio_M+Cl'!J117,IF(OR(R124="N/A",R156="N/A"),"N/A",""))</f>
        <v>16.727087191101184</v>
      </c>
      <c r="S61" s="186" t="str">
        <f>IF(AND(ISNUMBER(S92),S92&gt;0.8*'Ratio_M+Cl'!K85,S92&lt;1.2*'Ratio_M+Cl'!K85),S124/'Ratio_M+Cl'!K117,IF(OR(S124="N/A",S156="N/A"),"N/A",""))</f>
        <v/>
      </c>
      <c r="T61" s="186" t="str">
        <f>IF(AND(ISNUMBER(T92),T92&gt;0.8*'Ratio_M+Cl'!L85,T92&lt;1.2*'Ratio_M+Cl'!L85),T124/'Ratio_M+Cl'!L117,IF(OR(T124="N/A",T156="N/A"),"N/A",""))</f>
        <v/>
      </c>
      <c r="U61" s="186" t="str">
        <f>IF(AND(ISNUMBER(U92),U92&gt;0.8*'Ratio_M+Cl'!M85,U92&lt;1.2*'Ratio_M+Cl'!M85),U124/'Ratio_M+Cl'!M117,IF(OR(U124="N/A",U156="N/A"),"N/A",""))</f>
        <v/>
      </c>
      <c r="V61" s="186" t="str">
        <f>IF(AND(ISNUMBER(V92),V92&gt;0.8*'Ratio_M+Cl'!N85,V92&lt;1.2*'Ratio_M+Cl'!N85),V124/'Ratio_M+Cl'!N117,IF(OR(V124="N/A",V156="N/A"),"N/A",""))</f>
        <v/>
      </c>
      <c r="W61" s="186" t="str">
        <f>IF(AND(ISNUMBER(W92),W92&gt;0.8*'Ratio_M+Cl'!O85,W92&lt;1.2*'Ratio_M+Cl'!O85),W124/'Ratio_M+Cl'!O117,IF(OR(W124="N/A",W156="N/A"),"N/A",""))</f>
        <v/>
      </c>
      <c r="X61" s="186" t="str">
        <f>IF(AND(ISNUMBER(X92),X92&gt;0.8*'Ratio_M+Cl'!P85,X92&lt;1.2*'Ratio_M+Cl'!P85),X124/'Ratio_M+Cl'!P117,IF(OR(X124="N/A",X156="N/A"),"N/A",""))</f>
        <v/>
      </c>
      <c r="Y61" s="186" t="str">
        <f>IF(AND(ISNUMBER(Y92),Y92&gt;0.8*'Ratio_M+Cl'!Q85,Y92&lt;1.2*'Ratio_M+Cl'!Q85),Y124/'Ratio_M+Cl'!Q117,IF(OR(Y124="N/A",Y156="N/A"),"N/A",""))</f>
        <v/>
      </c>
      <c r="Z61" s="183">
        <f>IF(AND(ISNUMBER(Z92),Z92&gt;0.8*'Ratio_M+Cl'!R85,Z92&lt;1.2*'Ratio_M+Cl'!R85),Z124/'Ratio_M+Cl'!R117,IF(OR(Z124="N/A",Z156="N/A"),"N/A",""))</f>
        <v>13.595780769264891</v>
      </c>
      <c r="AA61" s="183">
        <f>IF(AND(ISNUMBER(AA92),AA92&gt;0.8*'Ratio_M+Cl'!S85,AA92&lt;1.2*'Ratio_M+Cl'!S85),AA124/'Ratio_M+Cl'!S117,IF(OR(AA124="N/A",AA156="N/A"),"N/A",""))</f>
        <v>89.438249390107032</v>
      </c>
      <c r="AB61" s="183">
        <f>IF(AND(ISNUMBER(AB92),AB92&gt;0.8*'Ratio_M+Cl'!T85,AB92&lt;1.2*'Ratio_M+Cl'!T85),AB124/'Ratio_M+Cl'!T117,IF(OR(AB124="N/A",AB156="N/A"),"N/A",""))</f>
        <v>250.10041058711622</v>
      </c>
      <c r="AC61" s="183">
        <f>IF(AND(ISNUMBER(AC92),AC92&gt;0.8*'Ratio_M+Cl'!U85,AC92&lt;1.2*'Ratio_M+Cl'!U85),AC124/'Ratio_M+Cl'!U117,IF(OR(AC124="N/A",AC156="N/A"),"N/A",""))</f>
        <v>409.66904001056469</v>
      </c>
      <c r="AD61" s="183">
        <f>IF(AND(ISNUMBER(AD92),AD92&gt;0.8*'Ratio_M+Cl'!V85,AD92&lt;1.2*'Ratio_M+Cl'!V85),AD124/'Ratio_M+Cl'!V117,IF(OR(AD124="N/A",AD156="N/A"),"N/A",""))</f>
        <v>420.57794373688239</v>
      </c>
      <c r="AE61" s="183">
        <f>IF(AND(ISNUMBER(AE92),AE92&gt;0.8*'Ratio_M+Cl'!W85,AE92&lt;1.2*'Ratio_M+Cl'!W85),AE124/'Ratio_M+Cl'!W117,IF(OR(AE124="N/A",AE156="N/A"),"N/A",""))</f>
        <v>263.80111010508904</v>
      </c>
      <c r="AF61" s="183">
        <f>IF(AND(ISNUMBER(AF92),AF92&gt;0.8*'Ratio_M+Cl'!X85,AF92&lt;1.2*'Ratio_M+Cl'!X85),AF124/'Ratio_M+Cl'!X117,IF(OR(AF124="N/A",AF156="N/A"),"N/A",""))</f>
        <v>101.16746255667117</v>
      </c>
      <c r="AG61" s="185" t="str">
        <f>IF(AND(ISNUMBER(AG92),AG92&gt;0.8*'Ratio_M+Cl'!Y85,AG92&lt;1.2*'Ratio_M+Cl'!Y85),AG124/'Ratio_M+Cl'!Y117,IF(OR(AG124="N/A",AG156="N/A"),"N/A",""))</f>
        <v/>
      </c>
      <c r="AH61" s="183" t="str">
        <f>IF(AND(ISNUMBER(AH92),AH92&gt;0.8*'Ratio_M+Cl'!Z85,AH92&lt;1.2*'Ratio_M+Cl'!Z85),AH124/'Ratio_M+Cl'!Z117,IF(OR(AH124="N/A",AH156="N/A"),"N/A",""))</f>
        <v/>
      </c>
      <c r="AI61" s="184" t="str">
        <f>IF(AND(ISNUMBER(AI92),AI92&gt;0.8*'Ratio_M+Cl'!AA85,AI92&lt;1.2*'Ratio_M+Cl'!AA85),AI124/'Ratio_M+Cl'!AA117,IF(OR(AI124="N/A",AI156="N/A"),"N/A",""))</f>
        <v/>
      </c>
      <c r="AJ61" s="183" t="str">
        <f>IF(AND(ISNUMBER(AJ92),AJ92&gt;0.8*'Ratio_M+Cl'!AB85,AJ92&lt;1.2*'Ratio_M+Cl'!AB85),AJ124/'Ratio_M+Cl'!AB117,IF(OR(AJ124="N/A",AJ156="N/A"),"N/A",""))</f>
        <v/>
      </c>
      <c r="AK61" s="183" t="str">
        <f>IF(AND(ISNUMBER(AK92),AK92&gt;0.8*'Ratio_M+Cl'!AC85,AK92&lt;1.2*'Ratio_M+Cl'!AC85),AK124/'Ratio_M+Cl'!AC117,IF(OR(AK124="N/A",AK156="N/A"),"N/A",""))</f>
        <v/>
      </c>
      <c r="AM61" s="160" t="s">
        <v>330</v>
      </c>
      <c r="AN61" s="225">
        <f t="shared" si="3"/>
        <v>0</v>
      </c>
      <c r="AO61" s="225">
        <f t="shared" si="9"/>
        <v>0</v>
      </c>
      <c r="AP61" s="225">
        <f t="shared" si="10"/>
        <v>0</v>
      </c>
      <c r="AQ61" s="225">
        <f t="shared" si="11"/>
        <v>0</v>
      </c>
      <c r="AR61" s="225">
        <f t="shared" si="12"/>
        <v>0</v>
      </c>
      <c r="AS61" s="225">
        <f t="shared" si="13"/>
        <v>0</v>
      </c>
      <c r="AT61" s="225">
        <f t="shared" si="14"/>
        <v>0</v>
      </c>
      <c r="AU61" s="225">
        <f t="shared" si="15"/>
        <v>0</v>
      </c>
      <c r="AV61" s="225" t="str">
        <f t="shared" si="16"/>
        <v/>
      </c>
      <c r="AW61" s="225" t="str">
        <f t="shared" si="17"/>
        <v/>
      </c>
      <c r="AX61" s="225" t="str">
        <f t="shared" si="18"/>
        <v/>
      </c>
      <c r="AY61" s="225" t="str">
        <f t="shared" si="19"/>
        <v/>
      </c>
      <c r="AZ61" s="225" t="str">
        <f t="shared" si="20"/>
        <v/>
      </c>
      <c r="BA61" s="225" t="str">
        <f t="shared" si="21"/>
        <v/>
      </c>
      <c r="BB61" s="225" t="str">
        <f t="shared" si="22"/>
        <v/>
      </c>
      <c r="BC61" s="225">
        <f t="shared" si="23"/>
        <v>0</v>
      </c>
      <c r="BD61" s="225">
        <f t="shared" si="24"/>
        <v>0</v>
      </c>
      <c r="BE61" s="225">
        <f t="shared" si="25"/>
        <v>0</v>
      </c>
      <c r="BF61" s="225">
        <f t="shared" si="26"/>
        <v>0</v>
      </c>
      <c r="BG61" s="225">
        <f t="shared" si="27"/>
        <v>0</v>
      </c>
      <c r="BH61" s="225">
        <f t="shared" si="28"/>
        <v>0</v>
      </c>
      <c r="BI61" s="225">
        <f t="shared" si="29"/>
        <v>0</v>
      </c>
      <c r="BJ61" s="225" t="str">
        <f t="shared" si="4"/>
        <v/>
      </c>
      <c r="BK61" s="225" t="str">
        <f t="shared" si="5"/>
        <v/>
      </c>
      <c r="BL61" s="225" t="str">
        <f t="shared" si="6"/>
        <v/>
      </c>
      <c r="BM61" s="225" t="str">
        <f t="shared" si="7"/>
        <v/>
      </c>
      <c r="BN61" s="225" t="str">
        <f t="shared" si="8"/>
        <v/>
      </c>
    </row>
    <row r="62" spans="1:66" ht="15.75" x14ac:dyDescent="0.3">
      <c r="A62" s="150">
        <v>57</v>
      </c>
      <c r="B62" s="10" t="s">
        <v>53</v>
      </c>
      <c r="C62" s="236">
        <v>147390889.76556873</v>
      </c>
      <c r="D62" s="233"/>
      <c r="E62" s="232">
        <f t="shared" si="1"/>
        <v>0</v>
      </c>
      <c r="G62" s="10" t="s">
        <v>1570</v>
      </c>
      <c r="H62" s="151">
        <f>IF(ISNUMBER(V48),V48/SUM($K$43:$AK$71),0)</f>
        <v>4.2310093508112531E-4</v>
      </c>
      <c r="J62" s="160" t="s">
        <v>331</v>
      </c>
      <c r="K62" s="183">
        <f>IF(AND(ISNUMBER(K93),K93&gt;0.8*'Ratio_M+Cl'!C86,K93&lt;1.2*'Ratio_M+Cl'!C86),K125/'Ratio_M+Cl'!C118,IF(OR(K125="N/A",K157="N/A"),"N/A",""))</f>
        <v>16.167702474716485</v>
      </c>
      <c r="L62" s="183">
        <f>IF(AND(ISNUMBER(L93),L93&gt;0.8*'Ratio_M+Cl'!D86,L93&lt;1.2*'Ratio_M+Cl'!D86),L125/'Ratio_M+Cl'!D118,IF(OR(L125="N/A",L157="N/A"),"N/A",""))</f>
        <v>69.708063020961319</v>
      </c>
      <c r="M62" s="180">
        <f>IF(AND(ISNUMBER(M93),M93&gt;0.8*'Ratio_M+Cl'!E86,M93&lt;1.2*'Ratio_M+Cl'!E86),M125/'Ratio_M+Cl'!E118,IF(OR(M125="N/A",M157="N/A"),"N/A",""))</f>
        <v>175.84314630714806</v>
      </c>
      <c r="N62" s="180">
        <f>IF(AND(ISNUMBER(N93),N93&gt;0.8*'Ratio_M+Cl'!F86,N93&lt;1.2*'Ratio_M+Cl'!F86),N125/'Ratio_M+Cl'!F118,IF(OR(N125="N/A",N157="N/A"),"N/A",""))</f>
        <v>271.49590754109562</v>
      </c>
      <c r="O62" s="180">
        <f>IF(AND(ISNUMBER(O93),O93&gt;0.8*'Ratio_M+Cl'!G86,O93&lt;1.2*'Ratio_M+Cl'!G86),O125/'Ratio_M+Cl'!G118,IF(OR(O125="N/A",O157="N/A"),"N/A",""))</f>
        <v>264.97434777958779</v>
      </c>
      <c r="P62" s="186">
        <f>IF(AND(ISNUMBER(P93),P93&gt;0.8*'Ratio_M+Cl'!H86,P93&lt;1.2*'Ratio_M+Cl'!H86),P125/'Ratio_M+Cl'!H118,IF(OR(P125="N/A",P157="N/A"),"N/A",""))</f>
        <v>169.07223274878189</v>
      </c>
      <c r="Q62" s="186">
        <f>IF(AND(ISNUMBER(Q93),Q93&gt;0.8*'Ratio_M+Cl'!I86,Q93&lt;1.2*'Ratio_M+Cl'!I86),Q125/'Ratio_M+Cl'!I118,IF(OR(Q125="N/A",Q157="N/A"),"N/A",""))</f>
        <v>71.477863179861799</v>
      </c>
      <c r="R62" s="186">
        <f>IF(AND(ISNUMBER(R93),R93&gt;0.8*'Ratio_M+Cl'!J86,R93&lt;1.2*'Ratio_M+Cl'!J86),R125/'Ratio_M+Cl'!J118,IF(OR(R125="N/A",R157="N/A"),"N/A",""))</f>
        <v>18.049376238440349</v>
      </c>
      <c r="S62" s="186">
        <f>IF(AND(ISNUMBER(S93),S93&gt;0.8*'Ratio_M+Cl'!K86,S93&lt;1.2*'Ratio_M+Cl'!K86),S125/'Ratio_M+Cl'!K118,IF(OR(S125="N/A",S157="N/A"),"N/A",""))</f>
        <v>2.4692106897716628</v>
      </c>
      <c r="T62" s="186" t="str">
        <f>IF(AND(ISNUMBER(T93),T93&gt;0.8*'Ratio_M+Cl'!L86,T93&lt;1.2*'Ratio_M+Cl'!L86),T125/'Ratio_M+Cl'!L118,IF(OR(T125="N/A",T157="N/A"),"N/A",""))</f>
        <v/>
      </c>
      <c r="U62" s="186" t="str">
        <f>IF(AND(ISNUMBER(U93),U93&gt;0.8*'Ratio_M+Cl'!M86,U93&lt;1.2*'Ratio_M+Cl'!M86),U125/'Ratio_M+Cl'!M118,IF(OR(U125="N/A",U157="N/A"),"N/A",""))</f>
        <v/>
      </c>
      <c r="V62" s="186" t="str">
        <f>IF(AND(ISNUMBER(V93),V93&gt;0.8*'Ratio_M+Cl'!N86,V93&lt;1.2*'Ratio_M+Cl'!N86),V125/'Ratio_M+Cl'!N118,IF(OR(V125="N/A",V157="N/A"),"N/A",""))</f>
        <v/>
      </c>
      <c r="W62" s="186" t="str">
        <f>IF(AND(ISNUMBER(W93),W93&gt;0.8*'Ratio_M+Cl'!O86,W93&lt;1.2*'Ratio_M+Cl'!O86),W125/'Ratio_M+Cl'!O118,IF(OR(W125="N/A",W157="N/A"),"N/A",""))</f>
        <v/>
      </c>
      <c r="X62" s="186">
        <f>IF(AND(ISNUMBER(X93),X93&gt;0.8*'Ratio_M+Cl'!P86,X93&lt;1.2*'Ratio_M+Cl'!P86),X125/'Ratio_M+Cl'!P118,IF(OR(X125="N/A",X157="N/A"),"N/A",""))</f>
        <v>4.1625415118272543E-2</v>
      </c>
      <c r="Y62" s="186" t="str">
        <f>IF(AND(ISNUMBER(Y93),Y93&gt;0.8*'Ratio_M+Cl'!Q86,Y93&lt;1.2*'Ratio_M+Cl'!Q86),Y125/'Ratio_M+Cl'!Q118,IF(OR(Y125="N/A",Y157="N/A"),"N/A",""))</f>
        <v/>
      </c>
      <c r="Z62" s="183">
        <f>IF(AND(ISNUMBER(Z93),Z93&gt;0.8*'Ratio_M+Cl'!R86,Z93&lt;1.2*'Ratio_M+Cl'!R86),Z125/'Ratio_M+Cl'!R118,IF(OR(Z125="N/A",Z157="N/A"),"N/A",""))</f>
        <v>0.20744756121934071</v>
      </c>
      <c r="AA62" s="183">
        <f>IF(AND(ISNUMBER(AA93),AA93&gt;0.8*'Ratio_M+Cl'!S86,AA93&lt;1.2*'Ratio_M+Cl'!S86),AA125/'Ratio_M+Cl'!S118,IF(OR(AA125="N/A",AA157="N/A"),"N/A",""))</f>
        <v>10.607364809876247</v>
      </c>
      <c r="AB62" s="183">
        <f>IF(AND(ISNUMBER(AB93),AB93&gt;0.8*'Ratio_M+Cl'!T86,AB93&lt;1.2*'Ratio_M+Cl'!T86),AB125/'Ratio_M+Cl'!T118,IF(OR(AB125="N/A",AB157="N/A"),"N/A",""))</f>
        <v>59.200611872867206</v>
      </c>
      <c r="AC62" s="183">
        <f>IF(AND(ISNUMBER(AC93),AC93&gt;0.8*'Ratio_M+Cl'!U86,AC93&lt;1.2*'Ratio_M+Cl'!U86),AC125/'Ratio_M+Cl'!U118,IF(OR(AC125="N/A",AC157="N/A"),"N/A",""))</f>
        <v>141.23895798809554</v>
      </c>
      <c r="AD62" s="183">
        <f>IF(AND(ISNUMBER(AD93),AD93&gt;0.8*'Ratio_M+Cl'!V86,AD93&lt;1.2*'Ratio_M+Cl'!V86),AD125/'Ratio_M+Cl'!V118,IF(OR(AD125="N/A",AD157="N/A"),"N/A",""))</f>
        <v>207.18403450301952</v>
      </c>
      <c r="AE62" s="183">
        <f>IF(AND(ISNUMBER(AE93),AE93&gt;0.8*'Ratio_M+Cl'!W86,AE93&lt;1.2*'Ratio_M+Cl'!W86),AE125/'Ratio_M+Cl'!W118,IF(OR(AE125="N/A",AE157="N/A"),"N/A",""))</f>
        <v>186.31211555551099</v>
      </c>
      <c r="AF62" s="183">
        <f>IF(AND(ISNUMBER(AF93),AF93&gt;0.8*'Ratio_M+Cl'!X86,AF93&lt;1.2*'Ratio_M+Cl'!X86),AF125/'Ratio_M+Cl'!X118,IF(OR(AF125="N/A",AF157="N/A"),"N/A",""))</f>
        <v>107.93418347990689</v>
      </c>
      <c r="AG62" s="183">
        <f>IF(AND(ISNUMBER(AG93),AG93&gt;0.8*'Ratio_M+Cl'!Y86,AG93&lt;1.2*'Ratio_M+Cl'!Y86),AG125/'Ratio_M+Cl'!Y118,IF(OR(AG125="N/A",AG157="N/A"),"N/A",""))</f>
        <v>35.206826107826565</v>
      </c>
      <c r="AH62" s="185" t="str">
        <f>IF(AND(ISNUMBER(AH93),AH93&gt;0.8*'Ratio_M+Cl'!Z86,AH93&lt;1.2*'Ratio_M+Cl'!Z86),AH125/'Ratio_M+Cl'!Z118,IF(OR(AH125="N/A",AH157="N/A"),"N/A",""))</f>
        <v/>
      </c>
      <c r="AI62" s="183" t="str">
        <f>IF(AND(ISNUMBER(AI93),AI93&gt;0.8*'Ratio_M+Cl'!AA86,AI93&lt;1.2*'Ratio_M+Cl'!AA86),AI125/'Ratio_M+Cl'!AA118,IF(OR(AI125="N/A",AI157="N/A"),"N/A",""))</f>
        <v/>
      </c>
      <c r="AJ62" s="184" t="str">
        <f>IF(AND(ISNUMBER(AJ93),AJ93&gt;0.8*'Ratio_M+Cl'!AB86,AJ93&lt;1.2*'Ratio_M+Cl'!AB86),AJ125/'Ratio_M+Cl'!AB118,IF(OR(AJ125="N/A",AJ157="N/A"),"N/A",""))</f>
        <v/>
      </c>
      <c r="AK62" s="183" t="str">
        <f>IF(AND(ISNUMBER(AK93),AK93&gt;0.8*'Ratio_M+Cl'!AC86,AK93&lt;1.2*'Ratio_M+Cl'!AC86),AK125/'Ratio_M+Cl'!AC118,IF(OR(AK125="N/A",AK157="N/A"),"N/A",""))</f>
        <v/>
      </c>
      <c r="AM62" s="160" t="s">
        <v>331</v>
      </c>
      <c r="AN62" s="225">
        <f t="shared" si="3"/>
        <v>0</v>
      </c>
      <c r="AO62" s="225">
        <f t="shared" si="9"/>
        <v>0</v>
      </c>
      <c r="AP62" s="225">
        <f t="shared" si="10"/>
        <v>0</v>
      </c>
      <c r="AQ62" s="225">
        <f t="shared" si="11"/>
        <v>0</v>
      </c>
      <c r="AR62" s="225">
        <f t="shared" si="12"/>
        <v>0</v>
      </c>
      <c r="AS62" s="225">
        <f t="shared" si="13"/>
        <v>0</v>
      </c>
      <c r="AT62" s="225">
        <f t="shared" si="14"/>
        <v>0</v>
      </c>
      <c r="AU62" s="225">
        <f t="shared" si="15"/>
        <v>0</v>
      </c>
      <c r="AV62" s="225">
        <f t="shared" si="16"/>
        <v>0</v>
      </c>
      <c r="AW62" s="225" t="str">
        <f t="shared" si="17"/>
        <v/>
      </c>
      <c r="AX62" s="225" t="str">
        <f t="shared" si="18"/>
        <v/>
      </c>
      <c r="AY62" s="225" t="str">
        <f t="shared" si="19"/>
        <v/>
      </c>
      <c r="AZ62" s="225" t="str">
        <f t="shared" si="20"/>
        <v/>
      </c>
      <c r="BA62" s="225">
        <f t="shared" si="21"/>
        <v>0</v>
      </c>
      <c r="BB62" s="225" t="str">
        <f t="shared" si="22"/>
        <v/>
      </c>
      <c r="BC62" s="225">
        <f t="shared" si="23"/>
        <v>0</v>
      </c>
      <c r="BD62" s="225">
        <f t="shared" si="24"/>
        <v>0</v>
      </c>
      <c r="BE62" s="225">
        <f t="shared" si="25"/>
        <v>0</v>
      </c>
      <c r="BF62" s="225">
        <f t="shared" si="26"/>
        <v>0</v>
      </c>
      <c r="BG62" s="225">
        <f t="shared" si="27"/>
        <v>0</v>
      </c>
      <c r="BH62" s="225">
        <f t="shared" si="28"/>
        <v>0</v>
      </c>
      <c r="BI62" s="225">
        <f t="shared" si="29"/>
        <v>0</v>
      </c>
      <c r="BJ62" s="225">
        <f t="shared" si="4"/>
        <v>0</v>
      </c>
      <c r="BK62" s="225" t="str">
        <f t="shared" si="5"/>
        <v/>
      </c>
      <c r="BL62" s="225" t="str">
        <f t="shared" si="6"/>
        <v/>
      </c>
      <c r="BM62" s="225" t="str">
        <f t="shared" si="7"/>
        <v/>
      </c>
      <c r="BN62" s="225" t="str">
        <f t="shared" si="8"/>
        <v/>
      </c>
    </row>
    <row r="63" spans="1:66" ht="15.75" x14ac:dyDescent="0.3">
      <c r="A63" s="150">
        <v>58</v>
      </c>
      <c r="B63" s="10" t="s">
        <v>54</v>
      </c>
      <c r="C63" s="236">
        <v>113920808.6093455</v>
      </c>
      <c r="D63" s="233"/>
      <c r="E63" s="232">
        <f t="shared" si="1"/>
        <v>0</v>
      </c>
      <c r="G63" s="10" t="s">
        <v>499</v>
      </c>
      <c r="H63" s="151">
        <f>IF(ISNUMBER(K49),K49/SUM($K$43:$AK$71),0)</f>
        <v>0</v>
      </c>
      <c r="J63" s="160" t="s">
        <v>332</v>
      </c>
      <c r="K63" s="177">
        <f>IF(AND(ISNUMBER(K94),K94&gt;0.8*'Ratio_M+Cl'!C87,K94&lt;1.2*'Ratio_M+Cl'!C87),K126/'Ratio_M+Cl'!C119,IF(OR(K126="N/A",K158="N/A"),"N/A",""))</f>
        <v>12.26612767585244</v>
      </c>
      <c r="L63" s="177">
        <f>IF(AND(ISNUMBER(L94),L94&gt;0.8*'Ratio_M+Cl'!D87,L94&lt;1.2*'Ratio_M+Cl'!D87),L126/'Ratio_M+Cl'!D119,IF(OR(L126="N/A",L158="N/A"),"N/A",""))</f>
        <v>55.820235858996192</v>
      </c>
      <c r="M63" s="177">
        <f>IF(AND(ISNUMBER(M94),M94&gt;0.8*'Ratio_M+Cl'!E87,M94&lt;1.2*'Ratio_M+Cl'!E87),M126/'Ratio_M+Cl'!E119,IF(OR(M126="N/A",M158="N/A"),"N/A",""))</f>
        <v>131.67531762960652</v>
      </c>
      <c r="N63" s="177">
        <f>IF(AND(ISNUMBER(N94),N94&gt;0.8*'Ratio_M+Cl'!F87,N94&lt;1.2*'Ratio_M+Cl'!F87),N126/'Ratio_M+Cl'!F119,IF(OR(N126="N/A",N158="N/A"),"N/A",""))</f>
        <v>197.32056649624187</v>
      </c>
      <c r="O63" s="177">
        <f>IF(AND(ISNUMBER(O94),O94&gt;0.8*'Ratio_M+Cl'!G87,O94&lt;1.2*'Ratio_M+Cl'!G87),O126/'Ratio_M+Cl'!G119,IF(OR(O126="N/A",O158="N/A"),"N/A",""))</f>
        <v>201.89253043214134</v>
      </c>
      <c r="P63" s="177">
        <f>IF(AND(ISNUMBER(P94),P94&gt;0.8*'Ratio_M+Cl'!H87,P94&lt;1.2*'Ratio_M+Cl'!H87),P126/'Ratio_M+Cl'!H119,IF(OR(P126="N/A",P158="N/A"),"N/A",""))</f>
        <v>141.12378994697798</v>
      </c>
      <c r="Q63" s="177">
        <f>IF(AND(ISNUMBER(Q94),Q94&gt;0.8*'Ratio_M+Cl'!I87,Q94&lt;1.2*'Ratio_M+Cl'!I87),Q126/'Ratio_M+Cl'!I119,IF(OR(Q126="N/A",Q158="N/A"),"N/A",""))</f>
        <v>66.844576111444255</v>
      </c>
      <c r="R63" s="177">
        <f>IF(AND(ISNUMBER(R94),R94&gt;0.8*'Ratio_M+Cl'!J87,R94&lt;1.2*'Ratio_M+Cl'!J87),R126/'Ratio_M+Cl'!J119,IF(OR(R126="N/A",R158="N/A"),"N/A",""))</f>
        <v>19.873676529340042</v>
      </c>
      <c r="S63" s="177">
        <f>IF(AND(ISNUMBER(S94),S94&gt;0.8*'Ratio_M+Cl'!K87,S94&lt;1.2*'Ratio_M+Cl'!K87),S126/'Ratio_M+Cl'!K119,IF(OR(S126="N/A",S158="N/A"),"N/A",""))</f>
        <v>1.7150145061060735</v>
      </c>
      <c r="T63" s="186" t="str">
        <f>IF(AND(ISNUMBER(T94),T94&gt;0.8*'Ratio_M+Cl'!L87,T94&lt;1.2*'Ratio_M+Cl'!L87),T126/'Ratio_M+Cl'!L119,IF(OR(T126="N/A",T158="N/A"),"N/A",""))</f>
        <v/>
      </c>
      <c r="U63" s="186" t="str">
        <f>IF(AND(ISNUMBER(U94),U94&gt;0.8*'Ratio_M+Cl'!M87,U94&lt;1.2*'Ratio_M+Cl'!M87),U126/'Ratio_M+Cl'!M119,IF(OR(U126="N/A",U158="N/A"),"N/A",""))</f>
        <v/>
      </c>
      <c r="V63" s="186" t="str">
        <f>IF(AND(ISNUMBER(V94),V94&gt;0.8*'Ratio_M+Cl'!N87,V94&lt;1.2*'Ratio_M+Cl'!N87),V126/'Ratio_M+Cl'!N119,IF(OR(V126="N/A",V158="N/A"),"N/A",""))</f>
        <v/>
      </c>
      <c r="W63" s="186">
        <f>IF(AND(ISNUMBER(W94),W94&gt;0.8*'Ratio_M+Cl'!O87,W94&lt;1.2*'Ratio_M+Cl'!O87),W126/'Ratio_M+Cl'!O119,IF(OR(W126="N/A",W158="N/A"),"N/A",""))</f>
        <v>9.090165515522311E-2</v>
      </c>
      <c r="X63" s="186" t="str">
        <f>IF(AND(ISNUMBER(X94),X94&gt;0.8*'Ratio_M+Cl'!P87,X94&lt;1.2*'Ratio_M+Cl'!P87),X126/'Ratio_M+Cl'!P119,IF(OR(X126="N/A",X158="N/A"),"N/A",""))</f>
        <v/>
      </c>
      <c r="Y63" s="186" t="str">
        <f>IF(AND(ISNUMBER(Y94),Y94&gt;0.8*'Ratio_M+Cl'!Q87,Y94&lt;1.2*'Ratio_M+Cl'!Q87),Y126/'Ratio_M+Cl'!Q119,IF(OR(Y126="N/A",Y158="N/A"),"N/A",""))</f>
        <v/>
      </c>
      <c r="Z63" s="183" t="str">
        <f>IF(AND(ISNUMBER(Z94),Z94&gt;0.8*'Ratio_M+Cl'!R87,Z94&lt;1.2*'Ratio_M+Cl'!R87),Z126/'Ratio_M+Cl'!R119,IF(OR(Z126="N/A",Z158="N/A"),"N/A",""))</f>
        <v/>
      </c>
      <c r="AA63" s="183" t="str">
        <f>IF(AND(ISNUMBER(AA94),AA94&gt;0.8*'Ratio_M+Cl'!S87,AA94&lt;1.2*'Ratio_M+Cl'!S87),AA126/'Ratio_M+Cl'!S119,IF(OR(AA126="N/A",AA158="N/A"),"N/A",""))</f>
        <v/>
      </c>
      <c r="AB63" s="183">
        <f>IF(AND(ISNUMBER(AB94),AB94&gt;0.8*'Ratio_M+Cl'!T87,AB94&lt;1.2*'Ratio_M+Cl'!T87),AB126/'Ratio_M+Cl'!T119,IF(OR(AB126="N/A",AB158="N/A"),"N/A",""))</f>
        <v>17.13961580488272</v>
      </c>
      <c r="AC63" s="183">
        <f>IF(AND(ISNUMBER(AC94),AC94&gt;0.8*'Ratio_M+Cl'!U87,AC94&lt;1.2*'Ratio_M+Cl'!U87),AC126/'Ratio_M+Cl'!U119,IF(OR(AC126="N/A",AC158="N/A"),"N/A",""))</f>
        <v>74.571581428730951</v>
      </c>
      <c r="AD63" s="183">
        <f>IF(AND(ISNUMBER(AD94),AD94&gt;0.8*'Ratio_M+Cl'!V87,AD94&lt;1.2*'Ratio_M+Cl'!V87),AD126/'Ratio_M+Cl'!V119,IF(OR(AD126="N/A",AD158="N/A"),"N/A",""))</f>
        <v>170.92603382742163</v>
      </c>
      <c r="AE63" s="183">
        <f>IF(AND(ISNUMBER(AE94),AE94&gt;0.8*'Ratio_M+Cl'!W87,AE94&lt;1.2*'Ratio_M+Cl'!W87),AE126/'Ratio_M+Cl'!W119,IF(OR(AE126="N/A",AE158="N/A"),"N/A",""))</f>
        <v>234.04159298678957</v>
      </c>
      <c r="AF63" s="183">
        <f>IF(AND(ISNUMBER(AF94),AF94&gt;0.8*'Ratio_M+Cl'!X87,AF94&lt;1.2*'Ratio_M+Cl'!X87),AF126/'Ratio_M+Cl'!X119,IF(OR(AF126="N/A",AF158="N/A"),"N/A",""))</f>
        <v>209.39795461367495</v>
      </c>
      <c r="AG63" s="183">
        <f>IF(AND(ISNUMBER(AG94),AG94&gt;0.8*'Ratio_M+Cl'!Y87,AG94&lt;1.2*'Ratio_M+Cl'!Y87),AG126/'Ratio_M+Cl'!Y119,IF(OR(AG126="N/A",AG158="N/A"),"N/A",""))</f>
        <v>116.60926757657887</v>
      </c>
      <c r="AH63" s="183">
        <f>IF(AND(ISNUMBER(AH94),AH94&gt;0.8*'Ratio_M+Cl'!Z87,AH94&lt;1.2*'Ratio_M+Cl'!Z87),AH126/'Ratio_M+Cl'!Z119,IF(OR(AH126="N/A",AH158="N/A"),"N/A",""))</f>
        <v>43.804727325298131</v>
      </c>
      <c r="AI63" s="185" t="str">
        <f>IF(AND(ISNUMBER(AI94),AI94&gt;0.8*'Ratio_M+Cl'!AA87,AI94&lt;1.2*'Ratio_M+Cl'!AA87),AI126/'Ratio_M+Cl'!AA119,IF(OR(AI126="N/A",AI158="N/A"),"N/A",""))</f>
        <v/>
      </c>
      <c r="AJ63" s="183" t="str">
        <f>IF(AND(ISNUMBER(AJ94),AJ94&gt;0.8*'Ratio_M+Cl'!AB87,AJ94&lt;1.2*'Ratio_M+Cl'!AB87),AJ126/'Ratio_M+Cl'!AB119,IF(OR(AJ126="N/A",AJ158="N/A"),"N/A",""))</f>
        <v/>
      </c>
      <c r="AK63" s="184" t="str">
        <f>IF(AND(ISNUMBER(AK94),AK94&gt;0.8*'Ratio_M+Cl'!AC87,AK94&lt;1.2*'Ratio_M+Cl'!AC87),AK126/'Ratio_M+Cl'!AC119,IF(OR(AK126="N/A",AK158="N/A"),"N/A",""))</f>
        <v/>
      </c>
      <c r="AM63" s="160" t="s">
        <v>332</v>
      </c>
      <c r="AN63" s="225">
        <f t="shared" si="3"/>
        <v>0</v>
      </c>
      <c r="AO63" s="225">
        <f t="shared" si="9"/>
        <v>0</v>
      </c>
      <c r="AP63" s="225">
        <f t="shared" si="10"/>
        <v>0</v>
      </c>
      <c r="AQ63" s="225">
        <f t="shared" si="11"/>
        <v>0</v>
      </c>
      <c r="AR63" s="225">
        <f t="shared" si="12"/>
        <v>0</v>
      </c>
      <c r="AS63" s="225">
        <f t="shared" si="13"/>
        <v>0</v>
      </c>
      <c r="AT63" s="225">
        <f t="shared" si="14"/>
        <v>0</v>
      </c>
      <c r="AU63" s="225">
        <f t="shared" si="15"/>
        <v>0</v>
      </c>
      <c r="AV63" s="225">
        <f t="shared" si="16"/>
        <v>0</v>
      </c>
      <c r="AW63" s="225" t="str">
        <f t="shared" si="17"/>
        <v/>
      </c>
      <c r="AX63" s="225" t="str">
        <f t="shared" si="18"/>
        <v/>
      </c>
      <c r="AY63" s="225" t="str">
        <f t="shared" si="19"/>
        <v/>
      </c>
      <c r="AZ63" s="225">
        <f t="shared" si="20"/>
        <v>0</v>
      </c>
      <c r="BA63" s="225" t="str">
        <f t="shared" si="21"/>
        <v/>
      </c>
      <c r="BB63" s="225" t="str">
        <f t="shared" si="22"/>
        <v/>
      </c>
      <c r="BC63" s="225" t="str">
        <f t="shared" si="23"/>
        <v/>
      </c>
      <c r="BD63" s="225" t="str">
        <f t="shared" si="24"/>
        <v/>
      </c>
      <c r="BE63" s="225">
        <f t="shared" si="25"/>
        <v>0</v>
      </c>
      <c r="BF63" s="225">
        <f t="shared" si="26"/>
        <v>0</v>
      </c>
      <c r="BG63" s="225">
        <f t="shared" si="27"/>
        <v>0</v>
      </c>
      <c r="BH63" s="225">
        <f t="shared" si="28"/>
        <v>0</v>
      </c>
      <c r="BI63" s="225">
        <f t="shared" si="29"/>
        <v>0</v>
      </c>
      <c r="BJ63" s="225">
        <f t="shared" si="4"/>
        <v>0</v>
      </c>
      <c r="BK63" s="225">
        <f t="shared" si="5"/>
        <v>0</v>
      </c>
      <c r="BL63" s="225" t="str">
        <f t="shared" si="6"/>
        <v/>
      </c>
      <c r="BM63" s="225" t="str">
        <f t="shared" si="7"/>
        <v/>
      </c>
      <c r="BN63" s="225" t="str">
        <f t="shared" si="8"/>
        <v/>
      </c>
    </row>
    <row r="64" spans="1:66" ht="15.75" x14ac:dyDescent="0.3">
      <c r="A64" s="150">
        <v>59</v>
      </c>
      <c r="B64" s="10" t="s">
        <v>55</v>
      </c>
      <c r="C64" s="236">
        <v>190787841.8170985</v>
      </c>
      <c r="D64" s="233"/>
      <c r="E64" s="232">
        <f t="shared" si="1"/>
        <v>0</v>
      </c>
      <c r="G64" s="10" t="s">
        <v>375</v>
      </c>
      <c r="H64" s="151">
        <f>IF(ISNUMBER(L49),L49/SUM($K$43:$AK$71),0)</f>
        <v>6.9226468023477752E-4</v>
      </c>
      <c r="J64" s="160" t="s">
        <v>333</v>
      </c>
      <c r="K64" s="177">
        <f>IF(AND(ISNUMBER(K95),K95&gt;0.8*'Ratio_M+Cl'!C88,K95&lt;1.2*'Ratio_M+Cl'!C88),K127/'Ratio_M+Cl'!C120,IF(OR(K127="N/A",K159="N/A"),"N/A",""))</f>
        <v>9.4852785323846067</v>
      </c>
      <c r="L64" s="177">
        <f>IF(AND(ISNUMBER(L95),L95&gt;0.8*'Ratio_M+Cl'!D88,L95&lt;1.2*'Ratio_M+Cl'!D88),L127/'Ratio_M+Cl'!D120,IF(OR(L127="N/A",L159="N/A"),"N/A",""))</f>
        <v>46.432580112622084</v>
      </c>
      <c r="M64" s="177">
        <f>IF(AND(ISNUMBER(M95),M95&gt;0.8*'Ratio_M+Cl'!E88,M95&lt;1.2*'Ratio_M+Cl'!E88),M127/'Ratio_M+Cl'!E120,IF(OR(M127="N/A",M159="N/A"),"N/A",""))</f>
        <v>105.19408116466128</v>
      </c>
      <c r="N64" s="177">
        <f>IF(AND(ISNUMBER(N95),N95&gt;0.8*'Ratio_M+Cl'!F88,N95&lt;1.2*'Ratio_M+Cl'!F88),N127/'Ratio_M+Cl'!F120,IF(OR(N127="N/A",N159="N/A"),"N/A",""))</f>
        <v>151.26851681315711</v>
      </c>
      <c r="O64" s="177">
        <f>IF(AND(ISNUMBER(O95),O95&gt;0.8*'Ratio_M+Cl'!G88,O95&lt;1.2*'Ratio_M+Cl'!G88),O127/'Ratio_M+Cl'!G120,IF(OR(O127="N/A",O159="N/A"),"N/A",""))</f>
        <v>159.38674181158672</v>
      </c>
      <c r="P64" s="177">
        <f>IF(AND(ISNUMBER(P95),P95&gt;0.8*'Ratio_M+Cl'!H88,P95&lt;1.2*'Ratio_M+Cl'!H88),P127/'Ratio_M+Cl'!H120,IF(OR(P127="N/A",P159="N/A"),"N/A",""))</f>
        <v>119.75332125381898</v>
      </c>
      <c r="Q64" s="177">
        <f>IF(AND(ISNUMBER(Q95),Q95&gt;0.8*'Ratio_M+Cl'!I88,Q95&lt;1.2*'Ratio_M+Cl'!I88),Q127/'Ratio_M+Cl'!I120,IF(OR(Q127="N/A",Q159="N/A"),"N/A",""))</f>
        <v>61.852526096729122</v>
      </c>
      <c r="R64" s="177">
        <f>IF(AND(ISNUMBER(R95),R95&gt;0.8*'Ratio_M+Cl'!J88,R95&lt;1.2*'Ratio_M+Cl'!J88),R127/'Ratio_M+Cl'!J120,IF(OR(R127="N/A",R159="N/A"),"N/A",""))</f>
        <v>20.175290063417606</v>
      </c>
      <c r="S64" s="177">
        <f>IF(AND(ISNUMBER(S95),S95&gt;0.8*'Ratio_M+Cl'!K88,S95&lt;1.2*'Ratio_M+Cl'!K88),S127/'Ratio_M+Cl'!K120,IF(OR(S127="N/A",S159="N/A"),"N/A",""))</f>
        <v>2.7655495855706511</v>
      </c>
      <c r="T64" s="186" t="str">
        <f>IF(AND(ISNUMBER(T95),T95&gt;0.8*'Ratio_M+Cl'!L88,T95&lt;1.2*'Ratio_M+Cl'!L88),T127/'Ratio_M+Cl'!L120,IF(OR(T127="N/A",T159="N/A"),"N/A",""))</f>
        <v/>
      </c>
      <c r="U64" s="186" t="str">
        <f>IF(AND(ISNUMBER(U95),U95&gt;0.8*'Ratio_M+Cl'!M88,U95&lt;1.2*'Ratio_M+Cl'!M88),U127/'Ratio_M+Cl'!M120,IF(OR(U127="N/A",U159="N/A"),"N/A",""))</f>
        <v/>
      </c>
      <c r="V64" s="186">
        <f>IF(AND(ISNUMBER(V95),V95&gt;0.8*'Ratio_M+Cl'!N88,V95&lt;1.2*'Ratio_M+Cl'!N88),V127/'Ratio_M+Cl'!N120,IF(OR(V127="N/A",V159="N/A"),"N/A",""))</f>
        <v>9.81674956771489E-2</v>
      </c>
      <c r="W64" s="186" t="str">
        <f>IF(AND(ISNUMBER(W95),W95&gt;0.8*'Ratio_M+Cl'!O88,W95&lt;1.2*'Ratio_M+Cl'!O88),W127/'Ratio_M+Cl'!O120,IF(OR(W127="N/A",W159="N/A"),"N/A",""))</f>
        <v/>
      </c>
      <c r="X64" s="186" t="str">
        <f>IF(AND(ISNUMBER(X95),X95&gt;0.8*'Ratio_M+Cl'!P88,X95&lt;1.2*'Ratio_M+Cl'!P88),X127/'Ratio_M+Cl'!P120,IF(OR(X127="N/A",X159="N/A"),"N/A",""))</f>
        <v/>
      </c>
      <c r="Y64" s="186" t="str">
        <f>IF(AND(ISNUMBER(Y95),Y95&gt;0.8*'Ratio_M+Cl'!Q88,Y95&lt;1.2*'Ratio_M+Cl'!Q88),Y127/'Ratio_M+Cl'!Q120,IF(OR(Y127="N/A",Y159="N/A"),"N/A",""))</f>
        <v/>
      </c>
      <c r="Z64" s="183" t="str">
        <f>IF(AND(ISNUMBER(Z95),Z95&gt;0.8*'Ratio_M+Cl'!R88,Z95&lt;1.2*'Ratio_M+Cl'!R88),Z127/'Ratio_M+Cl'!R120,IF(OR(Z127="N/A",Z159="N/A"),"N/A",""))</f>
        <v/>
      </c>
      <c r="AA64" s="183" t="str">
        <f>IF(AND(ISNUMBER(AA95),AA95&gt;0.8*'Ratio_M+Cl'!S88,AA95&lt;1.2*'Ratio_M+Cl'!S88),AA127/'Ratio_M+Cl'!S120,IF(OR(AA127="N/A",AA159="N/A"),"N/A",""))</f>
        <v/>
      </c>
      <c r="AB64" s="183" t="str">
        <f>IF(AND(ISNUMBER(AB95),AB95&gt;0.8*'Ratio_M+Cl'!T88,AB95&lt;1.2*'Ratio_M+Cl'!T88),AB127/'Ratio_M+Cl'!T120,IF(OR(AB127="N/A",AB159="N/A"),"N/A",""))</f>
        <v/>
      </c>
      <c r="AC64" s="183">
        <f>IF(AND(ISNUMBER(AC95),AC95&gt;0.8*'Ratio_M+Cl'!U88,AC95&lt;1.2*'Ratio_M+Cl'!U88),AC127/'Ratio_M+Cl'!U120,IF(OR(AC127="N/A",AC159="N/A"),"N/A",""))</f>
        <v>9.5030923905728883</v>
      </c>
      <c r="AD64" s="183">
        <f>IF(AND(ISNUMBER(AD95),AD95&gt;0.8*'Ratio_M+Cl'!V88,AD95&lt;1.2*'Ratio_M+Cl'!V88),AD127/'Ratio_M+Cl'!V120,IF(OR(AD127="N/A",AD159="N/A"),"N/A",""))</f>
        <v>42.640741671334723</v>
      </c>
      <c r="AE64" s="183">
        <f>IF(AND(ISNUMBER(AE95),AE95&gt;0.8*'Ratio_M+Cl'!W88,AE95&lt;1.2*'Ratio_M+Cl'!W88),AE127/'Ratio_M+Cl'!W120,IF(OR(AE127="N/A",AE159="N/A"),"N/A",""))</f>
        <v>84.947445426137818</v>
      </c>
      <c r="AF64" s="183">
        <f>IF(AND(ISNUMBER(AF95),AF95&gt;0.8*'Ratio_M+Cl'!X88,AF95&lt;1.2*'Ratio_M+Cl'!X88),AF127/'Ratio_M+Cl'!X120,IF(OR(AF127="N/A",AF159="N/A"),"N/A",""))</f>
        <v>104.34750270302614</v>
      </c>
      <c r="AG64" s="183">
        <f>IF(AND(ISNUMBER(AG95),AG95&gt;0.8*'Ratio_M+Cl'!Y88,AG95&lt;1.2*'Ratio_M+Cl'!Y88),AG127/'Ratio_M+Cl'!Y120,IF(OR(AG127="N/A",AG159="N/A"),"N/A",""))</f>
        <v>81.106251576124052</v>
      </c>
      <c r="AH64" s="183">
        <f>IF(AND(ISNUMBER(AH95),AH95&gt;0.8*'Ratio_M+Cl'!Z88,AH95&lt;1.2*'Ratio_M+Cl'!Z88),AH127/'Ratio_M+Cl'!Z120,IF(OR(AH127="N/A",AH159="N/A"),"N/A",""))</f>
        <v>46.285000512592227</v>
      </c>
      <c r="AI64" s="183">
        <f>IF(AND(ISNUMBER(AI95),AI95&gt;0.8*'Ratio_M+Cl'!AA88,AI95&lt;1.2*'Ratio_M+Cl'!AA88),AI127/'Ratio_M+Cl'!AA120,IF(OR(AI127="N/A",AI159="N/A"),"N/A",""))</f>
        <v>12.570189935053389</v>
      </c>
      <c r="AJ64" s="185" t="str">
        <f>IF(AND(ISNUMBER(AJ95),AJ95&gt;0.8*'Ratio_M+Cl'!AB88,AJ95&lt;1.2*'Ratio_M+Cl'!AB88),AJ127/'Ratio_M+Cl'!AB120,IF(OR(AJ127="N/A",AJ159="N/A"),"N/A",""))</f>
        <v/>
      </c>
      <c r="AK64" s="187" t="str">
        <f>IF(AND(ISNUMBER(AK95),AK95&gt;0.8*'Ratio_M+Cl'!AC88,AK95&lt;1.2*'Ratio_M+Cl'!AC88),AK127/'Ratio_M+Cl'!AC120,IF(OR(AK127="N/A",AK159="N/A"),"N/A",""))</f>
        <v/>
      </c>
      <c r="AM64" s="160" t="s">
        <v>333</v>
      </c>
      <c r="AN64" s="225">
        <f t="shared" si="3"/>
        <v>0</v>
      </c>
      <c r="AO64" s="225">
        <f t="shared" si="9"/>
        <v>0</v>
      </c>
      <c r="AP64" s="225">
        <f t="shared" si="10"/>
        <v>0</v>
      </c>
      <c r="AQ64" s="225">
        <f t="shared" si="11"/>
        <v>0</v>
      </c>
      <c r="AR64" s="225">
        <f t="shared" si="12"/>
        <v>0</v>
      </c>
      <c r="AS64" s="225">
        <f t="shared" si="13"/>
        <v>0</v>
      </c>
      <c r="AT64" s="225">
        <f t="shared" si="14"/>
        <v>0</v>
      </c>
      <c r="AU64" s="225">
        <f t="shared" si="15"/>
        <v>0</v>
      </c>
      <c r="AV64" s="225">
        <f t="shared" si="16"/>
        <v>0</v>
      </c>
      <c r="AW64" s="225" t="str">
        <f t="shared" si="17"/>
        <v/>
      </c>
      <c r="AX64" s="225" t="str">
        <f t="shared" si="18"/>
        <v/>
      </c>
      <c r="AY64" s="225">
        <f t="shared" si="19"/>
        <v>0</v>
      </c>
      <c r="AZ64" s="225" t="str">
        <f t="shared" si="20"/>
        <v/>
      </c>
      <c r="BA64" s="225" t="str">
        <f t="shared" si="21"/>
        <v/>
      </c>
      <c r="BB64" s="225" t="str">
        <f t="shared" si="22"/>
        <v/>
      </c>
      <c r="BC64" s="225" t="str">
        <f t="shared" si="23"/>
        <v/>
      </c>
      <c r="BD64" s="225" t="str">
        <f t="shared" si="24"/>
        <v/>
      </c>
      <c r="BE64" s="225" t="str">
        <f t="shared" si="25"/>
        <v/>
      </c>
      <c r="BF64" s="225">
        <f t="shared" si="26"/>
        <v>0</v>
      </c>
      <c r="BG64" s="225">
        <f t="shared" si="27"/>
        <v>0</v>
      </c>
      <c r="BH64" s="225">
        <f t="shared" si="28"/>
        <v>0</v>
      </c>
      <c r="BI64" s="225">
        <f t="shared" si="29"/>
        <v>0</v>
      </c>
      <c r="BJ64" s="225">
        <f t="shared" si="4"/>
        <v>0</v>
      </c>
      <c r="BK64" s="225">
        <f t="shared" si="5"/>
        <v>0</v>
      </c>
      <c r="BL64" s="225">
        <f t="shared" si="6"/>
        <v>0</v>
      </c>
      <c r="BM64" s="225" t="str">
        <f t="shared" si="7"/>
        <v/>
      </c>
      <c r="BN64" s="225" t="str">
        <f t="shared" si="8"/>
        <v/>
      </c>
    </row>
    <row r="65" spans="1:66" ht="15.75" x14ac:dyDescent="0.3">
      <c r="A65" s="150">
        <v>60</v>
      </c>
      <c r="B65" s="10" t="s">
        <v>56</v>
      </c>
      <c r="C65" s="236">
        <v>162472461.25302899</v>
      </c>
      <c r="D65" s="233"/>
      <c r="E65" s="232">
        <f t="shared" si="1"/>
        <v>0</v>
      </c>
      <c r="G65" s="10" t="s">
        <v>376</v>
      </c>
      <c r="H65" s="151">
        <f>IF(ISNUMBER(M49),M49/SUM($K$43:$AK$71),0)</f>
        <v>5.9415012930805818E-4</v>
      </c>
      <c r="J65" s="160" t="s">
        <v>334</v>
      </c>
      <c r="K65" s="177">
        <f>IF(AND(ISNUMBER(K96),K96&gt;0.8*'Ratio_M+Cl'!C89,K96&lt;1.2*'Ratio_M+Cl'!C89),K128/'Ratio_M+Cl'!C121,IF(OR(K128="N/A",K160="N/A"),"N/A",""))</f>
        <v>6.2129269964561402</v>
      </c>
      <c r="L65" s="177">
        <f>IF(AND(ISNUMBER(L96),L96&gt;0.8*'Ratio_M+Cl'!D89,L96&lt;1.2*'Ratio_M+Cl'!D89),L128/'Ratio_M+Cl'!D121,IF(OR(L128="N/A",L160="N/A"),"N/A",""))</f>
        <v>33.50378194353268</v>
      </c>
      <c r="M65" s="177">
        <f>IF(AND(ISNUMBER(M96),M96&gt;0.8*'Ratio_M+Cl'!E89,M96&lt;1.2*'Ratio_M+Cl'!E89),M128/'Ratio_M+Cl'!E121,IF(OR(M128="N/A",M160="N/A"),"N/A",""))</f>
        <v>75.742450015299156</v>
      </c>
      <c r="N65" s="177">
        <f>IF(AND(ISNUMBER(N96),N96&gt;0.8*'Ratio_M+Cl'!F89,N96&lt;1.2*'Ratio_M+Cl'!F89),N128/'Ratio_M+Cl'!F121,IF(OR(N128="N/A",N160="N/A"),"N/A",""))</f>
        <v>108.01287244820283</v>
      </c>
      <c r="O65" s="177">
        <f>IF(AND(ISNUMBER(O96),O96&gt;0.8*'Ratio_M+Cl'!G89,O96&lt;1.2*'Ratio_M+Cl'!G89),O128/'Ratio_M+Cl'!G121,IF(OR(O128="N/A",O160="N/A"),"N/A",""))</f>
        <v>113.33874369915182</v>
      </c>
      <c r="P65" s="177">
        <f>IF(AND(ISNUMBER(P96),P96&gt;0.8*'Ratio_M+Cl'!H89,P96&lt;1.2*'Ratio_M+Cl'!H89),P128/'Ratio_M+Cl'!H121,IF(OR(P128="N/A",P160="N/A"),"N/A",""))</f>
        <v>87.900140095953617</v>
      </c>
      <c r="Q65" s="177">
        <f>IF(AND(ISNUMBER(Q96),Q96&gt;0.8*'Ratio_M+Cl'!I89,Q96&lt;1.2*'Ratio_M+Cl'!I89),Q128/'Ratio_M+Cl'!I121,IF(OR(Q128="N/A",Q160="N/A"),"N/A",""))</f>
        <v>48.265966982045981</v>
      </c>
      <c r="R65" s="177">
        <f>IF(AND(ISNUMBER(R96),R96&gt;0.8*'Ratio_M+Cl'!J89,R96&lt;1.2*'Ratio_M+Cl'!J89),R128/'Ratio_M+Cl'!J121,IF(OR(R128="N/A",R160="N/A"),"N/A",""))</f>
        <v>17.655202508403288</v>
      </c>
      <c r="S65" s="177">
        <f>IF(AND(ISNUMBER(S96),S96&gt;0.8*'Ratio_M+Cl'!K89,S96&lt;1.2*'Ratio_M+Cl'!K89),S128/'Ratio_M+Cl'!K121,IF(OR(S128="N/A",S160="N/A"),"N/A",""))</f>
        <v>2.2695315157715354</v>
      </c>
      <c r="T65" s="186" t="str">
        <f>IF(AND(ISNUMBER(T96),T96&gt;0.8*'Ratio_M+Cl'!L89,T96&lt;1.2*'Ratio_M+Cl'!L89),T128/'Ratio_M+Cl'!L121,IF(OR(T128="N/A",T160="N/A"),"N/A",""))</f>
        <v/>
      </c>
      <c r="U65" s="186" t="str">
        <f>IF(AND(ISNUMBER(U96),U96&gt;0.8*'Ratio_M+Cl'!M89,U96&lt;1.2*'Ratio_M+Cl'!M89),U128/'Ratio_M+Cl'!M121,IF(OR(U128="N/A",U160="N/A"),"N/A",""))</f>
        <v/>
      </c>
      <c r="V65" s="186" t="str">
        <f>IF(AND(ISNUMBER(V96),V96&gt;0.8*'Ratio_M+Cl'!N89,V96&lt;1.2*'Ratio_M+Cl'!N89),V128/'Ratio_M+Cl'!N121,IF(OR(V128="N/A",V160="N/A"),"N/A",""))</f>
        <v/>
      </c>
      <c r="W65" s="186" t="str">
        <f>IF(AND(ISNUMBER(W96),W96&gt;0.8*'Ratio_M+Cl'!O89,W96&lt;1.2*'Ratio_M+Cl'!O89),W128/'Ratio_M+Cl'!O121,IF(OR(W128="N/A",W160="N/A"),"N/A",""))</f>
        <v/>
      </c>
      <c r="X65" s="186">
        <f>IF(AND(ISNUMBER(X96),X96&gt;0.8*'Ratio_M+Cl'!P89,X96&lt;1.2*'Ratio_M+Cl'!P89),X128/'Ratio_M+Cl'!P121,IF(OR(X128="N/A",X160="N/A"),"N/A",""))</f>
        <v>9.5146244444307596E-2</v>
      </c>
      <c r="Y65" s="186">
        <f>IF(AND(ISNUMBER(Y96),Y96&gt;0.8*'Ratio_M+Cl'!Q89,Y96&lt;1.2*'Ratio_M+Cl'!Q89),Y128/'Ratio_M+Cl'!Q121,IF(OR(Y128="N/A",Y160="N/A"),"N/A",""))</f>
        <v>0.13685096399109756</v>
      </c>
      <c r="Z65" s="183" t="str">
        <f>IF(AND(ISNUMBER(Z96),Z96&gt;0.8*'Ratio_M+Cl'!R89,Z96&lt;1.2*'Ratio_M+Cl'!R89),Z128/'Ratio_M+Cl'!R121,IF(OR(Z128="N/A",Z160="N/A"),"N/A",""))</f>
        <v/>
      </c>
      <c r="AA65" s="183" t="str">
        <f>IF(AND(ISNUMBER(AA96),AA96&gt;0.8*'Ratio_M+Cl'!S89,AA96&lt;1.2*'Ratio_M+Cl'!S89),AA128/'Ratio_M+Cl'!S121,IF(OR(AA128="N/A",AA160="N/A"),"N/A",""))</f>
        <v/>
      </c>
      <c r="AB65" s="183" t="str">
        <f>IF(AND(ISNUMBER(AB96),AB96&gt;0.8*'Ratio_M+Cl'!T89,AB96&lt;1.2*'Ratio_M+Cl'!T89),AB128/'Ratio_M+Cl'!T121,IF(OR(AB128="N/A",AB160="N/A"),"N/A",""))</f>
        <v/>
      </c>
      <c r="AC65" s="183">
        <f>IF(AND(ISNUMBER(AC96),AC96&gt;0.8*'Ratio_M+Cl'!U89,AC96&lt;1.2*'Ratio_M+Cl'!U89),AC128/'Ratio_M+Cl'!U121,IF(OR(AC128="N/A",AC160="N/A"),"N/A",""))</f>
        <v>0.26627165038100703</v>
      </c>
      <c r="AD65" s="183">
        <f>IF(AND(ISNUMBER(AD96),AD96&gt;0.8*'Ratio_M+Cl'!V89,AD96&lt;1.2*'Ratio_M+Cl'!V89),AD128/'Ratio_M+Cl'!V121,IF(OR(AD128="N/A",AD160="N/A"),"N/A",""))</f>
        <v>8.7729234800414915</v>
      </c>
      <c r="AE65" s="183">
        <f>IF(AND(ISNUMBER(AE96),AE96&gt;0.8*'Ratio_M+Cl'!W89,AE96&lt;1.2*'Ratio_M+Cl'!W89),AE128/'Ratio_M+Cl'!W121,IF(OR(AE128="N/A",AE160="N/A"),"N/A",""))</f>
        <v>34.792428334538712</v>
      </c>
      <c r="AF65" s="183">
        <f>IF(AND(ISNUMBER(AF96),AF96&gt;0.8*'Ratio_M+Cl'!X89,AF96&lt;1.2*'Ratio_M+Cl'!X89),AF128/'Ratio_M+Cl'!X121,IF(OR(AF128="N/A",AF160="N/A"),"N/A",""))</f>
        <v>61.774926749412529</v>
      </c>
      <c r="AG65" s="183">
        <f>IF(AND(ISNUMBER(AG96),AG96&gt;0.8*'Ratio_M+Cl'!Y89,AG96&lt;1.2*'Ratio_M+Cl'!Y89),AG128/'Ratio_M+Cl'!Y121,IF(OR(AG128="N/A",AG160="N/A"),"N/A",""))</f>
        <v>72.905481358268418</v>
      </c>
      <c r="AH65" s="183">
        <f>IF(AND(ISNUMBER(AH96),AH96&gt;0.8*'Ratio_M+Cl'!Z89,AH96&lt;1.2*'Ratio_M+Cl'!Z89),AH128/'Ratio_M+Cl'!Z121,IF(OR(AH128="N/A",AH160="N/A"),"N/A",""))</f>
        <v>59.521266818281191</v>
      </c>
      <c r="AI65" s="183">
        <f>IF(AND(ISNUMBER(AI96),AI96&gt;0.8*'Ratio_M+Cl'!AA89,AI96&lt;1.2*'Ratio_M+Cl'!AA89),AI128/'Ratio_M+Cl'!AA121,IF(OR(AI128="N/A",AI160="N/A"),"N/A",""))</f>
        <v>27.70238788664717</v>
      </c>
      <c r="AJ65" s="183" t="str">
        <f>IF(AND(ISNUMBER(AJ96),AJ96&gt;0.8*'Ratio_M+Cl'!AB89,AJ96&lt;1.2*'Ratio_M+Cl'!AB89),AJ128/'Ratio_M+Cl'!AB121,IF(OR(AJ128="N/A",AJ160="N/A"),"N/A",""))</f>
        <v/>
      </c>
      <c r="AK65" s="185" t="str">
        <f>IF(AND(ISNUMBER(AK96),AK96&gt;0.8*'Ratio_M+Cl'!AC89,AK96&lt;1.2*'Ratio_M+Cl'!AC89),AK128/'Ratio_M+Cl'!AC121,IF(OR(AK128="N/A",AK160="N/A"),"N/A",""))</f>
        <v/>
      </c>
      <c r="AM65" s="160" t="s">
        <v>334</v>
      </c>
      <c r="AN65" s="225">
        <f t="shared" si="3"/>
        <v>0</v>
      </c>
      <c r="AO65" s="225">
        <f t="shared" si="9"/>
        <v>0</v>
      </c>
      <c r="AP65" s="225">
        <f t="shared" si="10"/>
        <v>0</v>
      </c>
      <c r="AQ65" s="225">
        <f t="shared" si="11"/>
        <v>0</v>
      </c>
      <c r="AR65" s="225">
        <f t="shared" si="12"/>
        <v>0</v>
      </c>
      <c r="AS65" s="225">
        <f t="shared" si="13"/>
        <v>0</v>
      </c>
      <c r="AT65" s="225">
        <f t="shared" si="14"/>
        <v>0</v>
      </c>
      <c r="AU65" s="225">
        <f t="shared" si="15"/>
        <v>0</v>
      </c>
      <c r="AV65" s="225">
        <f t="shared" si="16"/>
        <v>0</v>
      </c>
      <c r="AW65" s="225" t="str">
        <f t="shared" si="17"/>
        <v/>
      </c>
      <c r="AX65" s="225" t="str">
        <f t="shared" si="18"/>
        <v/>
      </c>
      <c r="AY65" s="225" t="str">
        <f t="shared" si="19"/>
        <v/>
      </c>
      <c r="AZ65" s="225" t="str">
        <f t="shared" si="20"/>
        <v/>
      </c>
      <c r="BA65" s="225">
        <f t="shared" si="21"/>
        <v>0</v>
      </c>
      <c r="BB65" s="225">
        <f t="shared" si="22"/>
        <v>0</v>
      </c>
      <c r="BC65" s="225" t="str">
        <f t="shared" si="23"/>
        <v/>
      </c>
      <c r="BD65" s="225" t="str">
        <f t="shared" si="24"/>
        <v/>
      </c>
      <c r="BE65" s="225" t="str">
        <f t="shared" si="25"/>
        <v/>
      </c>
      <c r="BF65" s="225">
        <f t="shared" si="26"/>
        <v>0</v>
      </c>
      <c r="BG65" s="225">
        <f t="shared" si="27"/>
        <v>0</v>
      </c>
      <c r="BH65" s="225">
        <f t="shared" si="28"/>
        <v>0</v>
      </c>
      <c r="BI65" s="225">
        <f t="shared" si="29"/>
        <v>0</v>
      </c>
      <c r="BJ65" s="225">
        <f t="shared" si="4"/>
        <v>0</v>
      </c>
      <c r="BK65" s="225">
        <f t="shared" si="5"/>
        <v>0</v>
      </c>
      <c r="BL65" s="225">
        <f t="shared" si="6"/>
        <v>0</v>
      </c>
      <c r="BM65" s="225" t="str">
        <f t="shared" si="7"/>
        <v/>
      </c>
      <c r="BN65" s="225" t="str">
        <f t="shared" si="8"/>
        <v/>
      </c>
    </row>
    <row r="66" spans="1:66" ht="15.75" x14ac:dyDescent="0.3">
      <c r="A66" s="150">
        <v>61</v>
      </c>
      <c r="B66" s="10" t="s">
        <v>57</v>
      </c>
      <c r="C66" s="236">
        <v>348172615.53152454</v>
      </c>
      <c r="D66" s="233"/>
      <c r="E66" s="232">
        <f t="shared" si="1"/>
        <v>0</v>
      </c>
      <c r="G66" s="10" t="s">
        <v>377</v>
      </c>
      <c r="H66" s="151">
        <f>IF(ISNUMBER(N49),N49/SUM($K$43:$AK$71),0)</f>
        <v>1.0234638721005151E-3</v>
      </c>
      <c r="J66" s="160" t="s">
        <v>335</v>
      </c>
      <c r="K66" s="177">
        <f>IF(AND(ISNUMBER(K97),K97&gt;0.8*'Ratio_M+Cl'!C90,K97&lt;1.2*'Ratio_M+Cl'!C90),K129/'Ratio_M+Cl'!C122,IF(OR(K129="N/A",K161="N/A"),"N/A",""))</f>
        <v>4.2697412272317603</v>
      </c>
      <c r="L66" s="177">
        <f>IF(AND(ISNUMBER(L97),L97&gt;0.8*'Ratio_M+Cl'!D90,L97&lt;1.2*'Ratio_M+Cl'!D90),L129/'Ratio_M+Cl'!D122,IF(OR(L129="N/A",L161="N/A"),"N/A",""))</f>
        <v>24.014490306857596</v>
      </c>
      <c r="M66" s="177">
        <f>IF(AND(ISNUMBER(M97),M97&gt;0.8*'Ratio_M+Cl'!E90,M97&lt;1.2*'Ratio_M+Cl'!E90),M129/'Ratio_M+Cl'!E122,IF(OR(M129="N/A",M161="N/A"),"N/A",""))</f>
        <v>57.232837133780151</v>
      </c>
      <c r="N66" s="177">
        <f>IF(AND(ISNUMBER(N97),N97&gt;0.8*'Ratio_M+Cl'!F90,N97&lt;1.2*'Ratio_M+Cl'!F90),N129/'Ratio_M+Cl'!F122,IF(OR(N129="N/A",N161="N/A"),"N/A",""))</f>
        <v>82.210329040535555</v>
      </c>
      <c r="O66" s="177">
        <f>IF(AND(ISNUMBER(O97),O97&gt;0.8*'Ratio_M+Cl'!G90,O97&lt;1.2*'Ratio_M+Cl'!G90),O129/'Ratio_M+Cl'!G122,IF(OR(O129="N/A",O161="N/A"),"N/A",""))</f>
        <v>86.034964104344354</v>
      </c>
      <c r="P66" s="177">
        <f>IF(AND(ISNUMBER(P97),P97&gt;0.8*'Ratio_M+Cl'!H90,P97&lt;1.2*'Ratio_M+Cl'!H90),P129/'Ratio_M+Cl'!H122,IF(OR(P129="N/A",P161="N/A"),"N/A",""))</f>
        <v>70.746247563213501</v>
      </c>
      <c r="Q66" s="177">
        <f>IF(AND(ISNUMBER(Q97),Q97&gt;0.8*'Ratio_M+Cl'!I90,Q97&lt;1.2*'Ratio_M+Cl'!I90),Q129/'Ratio_M+Cl'!I122,IF(OR(Q129="N/A",Q161="N/A"),"N/A",""))</f>
        <v>41.481053872363056</v>
      </c>
      <c r="R66" s="177">
        <f>IF(AND(ISNUMBER(R97),R97&gt;0.8*'Ratio_M+Cl'!J90,R97&lt;1.2*'Ratio_M+Cl'!J90),R129/'Ratio_M+Cl'!J122,IF(OR(R129="N/A",R161="N/A"),"N/A",""))</f>
        <v>15.876550147222856</v>
      </c>
      <c r="S66" s="177" t="str">
        <f>IF(AND(ISNUMBER(S97),S97&gt;0.8*'Ratio_M+Cl'!K90,S97&lt;1.2*'Ratio_M+Cl'!K90),S129/'Ratio_M+Cl'!K122,IF(OR(S129="N/A",S161="N/A"),"N/A",""))</f>
        <v/>
      </c>
      <c r="T66" s="186" t="str">
        <f>IF(AND(ISNUMBER(T97),T97&gt;0.8*'Ratio_M+Cl'!L90,T97&lt;1.2*'Ratio_M+Cl'!L90),T129/'Ratio_M+Cl'!L122,IF(OR(T129="N/A",T161="N/A"),"N/A",""))</f>
        <v/>
      </c>
      <c r="U66" s="186">
        <f>IF(AND(ISNUMBER(U97),U97&gt;0.8*'Ratio_M+Cl'!M90,U97&lt;1.2*'Ratio_M+Cl'!M90),U129/'Ratio_M+Cl'!M122,IF(OR(U129="N/A",U161="N/A"),"N/A",""))</f>
        <v>0.19921355596474857</v>
      </c>
      <c r="V66" s="186" t="str">
        <f>IF(AND(ISNUMBER(V97),V97&gt;0.8*'Ratio_M+Cl'!N90,V97&lt;1.2*'Ratio_M+Cl'!N90),V129/'Ratio_M+Cl'!N122,IF(OR(V129="N/A",V161="N/A"),"N/A",""))</f>
        <v/>
      </c>
      <c r="W66" s="186" t="str">
        <f>IF(AND(ISNUMBER(W97),W97&gt;0.8*'Ratio_M+Cl'!O90,W97&lt;1.2*'Ratio_M+Cl'!O90),W129/'Ratio_M+Cl'!O122,IF(OR(W129="N/A",W161="N/A"),"N/A",""))</f>
        <v/>
      </c>
      <c r="X66" s="186" t="str">
        <f>IF(AND(ISNUMBER(X97),X97&gt;0.8*'Ratio_M+Cl'!P90,X97&lt;1.2*'Ratio_M+Cl'!P90),X129/'Ratio_M+Cl'!P122,IF(OR(X129="N/A",X161="N/A"),"N/A",""))</f>
        <v/>
      </c>
      <c r="Y66" s="186" t="str">
        <f>IF(AND(ISNUMBER(Y97),Y97&gt;0.8*'Ratio_M+Cl'!Q90,Y97&lt;1.2*'Ratio_M+Cl'!Q90),Y129/'Ratio_M+Cl'!Q122,IF(OR(Y129="N/A",Y161="N/A"),"N/A",""))</f>
        <v/>
      </c>
      <c r="Z66" s="183" t="str">
        <f>IF(AND(ISNUMBER(Z97),Z97&gt;0.8*'Ratio_M+Cl'!R90,Z97&lt;1.2*'Ratio_M+Cl'!R90),Z129/'Ratio_M+Cl'!R122,IF(OR(Z129="N/A",Z161="N/A"),"N/A",""))</f>
        <v/>
      </c>
      <c r="AA66" s="183" t="str">
        <f>IF(AND(ISNUMBER(AA97),AA97&gt;0.8*'Ratio_M+Cl'!S90,AA97&lt;1.2*'Ratio_M+Cl'!S90),AA129/'Ratio_M+Cl'!S122,IF(OR(AA129="N/A",AA161="N/A"),"N/A",""))</f>
        <v/>
      </c>
      <c r="AB66" s="183" t="str">
        <f>IF(AND(ISNUMBER(AB97),AB97&gt;0.8*'Ratio_M+Cl'!T90,AB97&lt;1.2*'Ratio_M+Cl'!T90),AB129/'Ratio_M+Cl'!T122,IF(OR(AB129="N/A",AB161="N/A"),"N/A",""))</f>
        <v/>
      </c>
      <c r="AC66" s="183" t="str">
        <f>IF(AND(ISNUMBER(AC97),AC97&gt;0.8*'Ratio_M+Cl'!U90,AC97&lt;1.2*'Ratio_M+Cl'!U90),AC129/'Ratio_M+Cl'!U122,IF(OR(AC129="N/A",AC161="N/A"),"N/A",""))</f>
        <v/>
      </c>
      <c r="AD66" s="183" t="str">
        <f>IF(AND(ISNUMBER(AD97),AD97&gt;0.8*'Ratio_M+Cl'!V90,AD97&lt;1.2*'Ratio_M+Cl'!V90),AD129/'Ratio_M+Cl'!V122,IF(OR(AD129="N/A",AD161="N/A"),"N/A",""))</f>
        <v/>
      </c>
      <c r="AE66" s="183">
        <f>IF(AND(ISNUMBER(AE97),AE97&gt;0.8*'Ratio_M+Cl'!W90,AE97&lt;1.2*'Ratio_M+Cl'!W90),AE129/'Ratio_M+Cl'!W122,IF(OR(AE129="N/A",AE161="N/A"),"N/A",""))</f>
        <v>5.3545610071013954</v>
      </c>
      <c r="AF66" s="183">
        <f>IF(AND(ISNUMBER(AF97),AF97&gt;0.8*'Ratio_M+Cl'!X90,AF97&lt;1.2*'Ratio_M+Cl'!X90),AF129/'Ratio_M+Cl'!X122,IF(OR(AF129="N/A",AF161="N/A"),"N/A",""))</f>
        <v>21.19367467917623</v>
      </c>
      <c r="AG66" s="183">
        <f>IF(AND(ISNUMBER(AG97),AG97&gt;0.8*'Ratio_M+Cl'!Y90,AG97&lt;1.2*'Ratio_M+Cl'!Y90),AG129/'Ratio_M+Cl'!Y122,IF(OR(AG129="N/A",AG161="N/A"),"N/A",""))</f>
        <v>34.864756489614024</v>
      </c>
      <c r="AH66" s="183">
        <f>IF(AND(ISNUMBER(AH97),AH97&gt;0.8*'Ratio_M+Cl'!Z90,AH97&lt;1.2*'Ratio_M+Cl'!Z90),AH129/'Ratio_M+Cl'!Z122,IF(OR(AH129="N/A",AH161="N/A"),"N/A",""))</f>
        <v>42.477887743414612</v>
      </c>
      <c r="AI66" s="183" t="str">
        <f>IF(AND(ISNUMBER(AI97),AI97&gt;0.8*'Ratio_M+Cl'!AA90,AI97&lt;1.2*'Ratio_M+Cl'!AA90),AI129/'Ratio_M+Cl'!AA122,IF(OR(AI129="N/A",AI161="N/A"),"N/A",""))</f>
        <v/>
      </c>
      <c r="AJ66" s="183" t="str">
        <f>IF(AND(ISNUMBER(AJ97),AJ97&gt;0.8*'Ratio_M+Cl'!AB90,AJ97&lt;1.2*'Ratio_M+Cl'!AB90),AJ129/'Ratio_M+Cl'!AB122,IF(OR(AJ129="N/A",AJ161="N/A"),"N/A",""))</f>
        <v/>
      </c>
      <c r="AK66" s="188" t="str">
        <f>IF(AND(ISNUMBER(AK97),AK97&gt;0.8*'Ratio_M+Cl'!AC90,AK97&lt;1.2*'Ratio_M+Cl'!AC90),AK129/'Ratio_M+Cl'!AC122,IF(OR(AK129="N/A",AK161="N/A"),"N/A",""))</f>
        <v/>
      </c>
      <c r="AM66" s="160" t="s">
        <v>335</v>
      </c>
      <c r="AN66" s="225">
        <f t="shared" si="3"/>
        <v>0</v>
      </c>
      <c r="AO66" s="225">
        <f t="shared" si="9"/>
        <v>0</v>
      </c>
      <c r="AP66" s="225">
        <f t="shared" si="10"/>
        <v>0</v>
      </c>
      <c r="AQ66" s="225">
        <f t="shared" si="11"/>
        <v>0</v>
      </c>
      <c r="AR66" s="225">
        <f t="shared" si="12"/>
        <v>0</v>
      </c>
      <c r="AS66" s="225">
        <f t="shared" si="13"/>
        <v>0</v>
      </c>
      <c r="AT66" s="225">
        <f t="shared" si="14"/>
        <v>0</v>
      </c>
      <c r="AU66" s="225">
        <f t="shared" si="15"/>
        <v>0</v>
      </c>
      <c r="AV66" s="225" t="str">
        <f t="shared" si="16"/>
        <v/>
      </c>
      <c r="AW66" s="225" t="str">
        <f t="shared" si="17"/>
        <v/>
      </c>
      <c r="AX66" s="225">
        <f t="shared" si="18"/>
        <v>0</v>
      </c>
      <c r="AY66" s="225" t="str">
        <f t="shared" si="19"/>
        <v/>
      </c>
      <c r="AZ66" s="225" t="str">
        <f t="shared" si="20"/>
        <v/>
      </c>
      <c r="BA66" s="225" t="str">
        <f t="shared" si="21"/>
        <v/>
      </c>
      <c r="BB66" s="225" t="str">
        <f t="shared" si="22"/>
        <v/>
      </c>
      <c r="BC66" s="225" t="str">
        <f t="shared" si="23"/>
        <v/>
      </c>
      <c r="BD66" s="225" t="str">
        <f t="shared" si="24"/>
        <v/>
      </c>
      <c r="BE66" s="225" t="str">
        <f t="shared" si="25"/>
        <v/>
      </c>
      <c r="BF66" s="225" t="str">
        <f t="shared" si="26"/>
        <v/>
      </c>
      <c r="BG66" s="225" t="str">
        <f t="shared" si="27"/>
        <v/>
      </c>
      <c r="BH66" s="225">
        <f t="shared" si="28"/>
        <v>0</v>
      </c>
      <c r="BI66" s="225">
        <f t="shared" si="29"/>
        <v>0</v>
      </c>
      <c r="BJ66" s="225">
        <f t="shared" si="4"/>
        <v>0</v>
      </c>
      <c r="BK66" s="225">
        <f t="shared" si="5"/>
        <v>0</v>
      </c>
      <c r="BL66" s="225" t="str">
        <f t="shared" si="6"/>
        <v/>
      </c>
      <c r="BM66" s="225" t="str">
        <f t="shared" si="7"/>
        <v/>
      </c>
      <c r="BN66" s="225" t="str">
        <f t="shared" si="8"/>
        <v/>
      </c>
    </row>
    <row r="67" spans="1:66" ht="15.75" x14ac:dyDescent="0.3">
      <c r="A67" s="150">
        <v>62</v>
      </c>
      <c r="B67" s="10" t="s">
        <v>58</v>
      </c>
      <c r="C67" s="236">
        <v>334575662.35928726</v>
      </c>
      <c r="D67" s="233"/>
      <c r="E67" s="232">
        <f t="shared" si="1"/>
        <v>0</v>
      </c>
      <c r="G67" s="10" t="s">
        <v>378</v>
      </c>
      <c r="H67" s="151">
        <f>IF(ISNUMBER(O49),O49/SUM($K$43:$AK$71),0)</f>
        <v>1.8201984592345118E-3</v>
      </c>
      <c r="J67" s="160" t="s">
        <v>336</v>
      </c>
      <c r="K67" s="177">
        <f>IF(AND(ISNUMBER(K98),K98&gt;0.8*'Ratio_M+Cl'!C91,K98&lt;1.2*'Ratio_M+Cl'!C91),K130/'Ratio_M+Cl'!C123,IF(OR(K130="N/A",K162="N/A"),"N/A",""))</f>
        <v>2.5049318799615952</v>
      </c>
      <c r="L67" s="177">
        <f>IF(AND(ISNUMBER(L98),L98&gt;0.8*'Ratio_M+Cl'!D91,L98&lt;1.2*'Ratio_M+Cl'!D91),L130/'Ratio_M+Cl'!D123,IF(OR(L130="N/A",L162="N/A"),"N/A",""))</f>
        <v>14.888490484661883</v>
      </c>
      <c r="M67" s="177">
        <f>IF(AND(ISNUMBER(M98),M98&gt;0.8*'Ratio_M+Cl'!E91,M98&lt;1.2*'Ratio_M+Cl'!E91),M130/'Ratio_M+Cl'!E123,IF(OR(M130="N/A",M162="N/A"),"N/A",""))</f>
        <v>37.649479412444734</v>
      </c>
      <c r="N67" s="177">
        <f>IF(AND(ISNUMBER(N98),N98&gt;0.8*'Ratio_M+Cl'!F91,N98&lt;1.2*'Ratio_M+Cl'!F91),N130/'Ratio_M+Cl'!F123,IF(OR(N130="N/A",N162="N/A"),"N/A",""))</f>
        <v>56.013573163202636</v>
      </c>
      <c r="O67" s="177">
        <f>IF(AND(ISNUMBER(O98),O98&gt;0.8*'Ratio_M+Cl'!G91,O98&lt;1.2*'Ratio_M+Cl'!G91),O130/'Ratio_M+Cl'!G123,IF(OR(O130="N/A",O162="N/A"),"N/A",""))</f>
        <v>59.992828419396972</v>
      </c>
      <c r="P67" s="177">
        <f>IF(AND(ISNUMBER(P98),P98&gt;0.8*'Ratio_M+Cl'!H91,P98&lt;1.2*'Ratio_M+Cl'!H91),P130/'Ratio_M+Cl'!H123,IF(OR(P130="N/A",P162="N/A"),"N/A",""))</f>
        <v>48.474389471917689</v>
      </c>
      <c r="Q67" s="177">
        <f>IF(AND(ISNUMBER(Q98),Q98&gt;0.8*'Ratio_M+Cl'!I91,Q98&lt;1.2*'Ratio_M+Cl'!I91),Q130/'Ratio_M+Cl'!I123,IF(OR(Q130="N/A",Q162="N/A"),"N/A",""))</f>
        <v>30.010105236048751</v>
      </c>
      <c r="R67" s="177">
        <f>IF(AND(ISNUMBER(R98),R98&gt;0.8*'Ratio_M+Cl'!J91,R98&lt;1.2*'Ratio_M+Cl'!J91),R130/'Ratio_M+Cl'!J123,IF(OR(R130="N/A",R162="N/A"),"N/A",""))</f>
        <v>11.616592052609022</v>
      </c>
      <c r="S67" s="177">
        <f>IF(AND(ISNUMBER(S98),S98&gt;0.8*'Ratio_M+Cl'!K91,S98&lt;1.2*'Ratio_M+Cl'!K91),S130/'Ratio_M+Cl'!K123,IF(OR(S130="N/A",S162="N/A"),"N/A",""))</f>
        <v>2.0279643497670867</v>
      </c>
      <c r="T67" s="186" t="str">
        <f>IF(AND(ISNUMBER(T98),T98&gt;0.8*'Ratio_M+Cl'!L91,T98&lt;1.2*'Ratio_M+Cl'!L91),T130/'Ratio_M+Cl'!L123,IF(OR(T130="N/A",T162="N/A"),"N/A",""))</f>
        <v/>
      </c>
      <c r="U67" s="186" t="str">
        <f>IF(AND(ISNUMBER(U98),U98&gt;0.8*'Ratio_M+Cl'!M91,U98&lt;1.2*'Ratio_M+Cl'!M91),U130/'Ratio_M+Cl'!M123,IF(OR(U130="N/A",U162="N/A"),"N/A",""))</f>
        <v/>
      </c>
      <c r="V67" s="186" t="str">
        <f>IF(AND(ISNUMBER(V98),V98&gt;0.8*'Ratio_M+Cl'!N91,V98&lt;1.2*'Ratio_M+Cl'!N91),V130/'Ratio_M+Cl'!N123,IF(OR(V130="N/A",V162="N/A"),"N/A",""))</f>
        <v/>
      </c>
      <c r="W67" s="186" t="str">
        <f>IF(AND(ISNUMBER(W98),W98&gt;0.8*'Ratio_M+Cl'!O91,W98&lt;1.2*'Ratio_M+Cl'!O91),W130/'Ratio_M+Cl'!O123,IF(OR(W130="N/A",W162="N/A"),"N/A",""))</f>
        <v/>
      </c>
      <c r="X67" s="186" t="str">
        <f>IF(AND(ISNUMBER(X98),X98&gt;0.8*'Ratio_M+Cl'!P91,X98&lt;1.2*'Ratio_M+Cl'!P91),X130/'Ratio_M+Cl'!P123,IF(OR(X130="N/A",X162="N/A"),"N/A",""))</f>
        <v/>
      </c>
      <c r="Y67" s="186">
        <f>IF(AND(ISNUMBER(Y98),Y98&gt;0.8*'Ratio_M+Cl'!Q91,Y98&lt;1.2*'Ratio_M+Cl'!Q91),Y130/'Ratio_M+Cl'!Q123,IF(OR(Y130="N/A",Y162="N/A"),"N/A",""))</f>
        <v>0.18587227431780093</v>
      </c>
      <c r="Z67" s="183" t="str">
        <f>IF(AND(ISNUMBER(Z98),Z98&gt;0.8*'Ratio_M+Cl'!R91,Z98&lt;1.2*'Ratio_M+Cl'!R91),Z130/'Ratio_M+Cl'!R123,IF(OR(Z130="N/A",Z162="N/A"),"N/A",""))</f>
        <v/>
      </c>
      <c r="AA67" s="183" t="str">
        <f>IF(AND(ISNUMBER(AA98),AA98&gt;0.8*'Ratio_M+Cl'!S91,AA98&lt;1.2*'Ratio_M+Cl'!S91),AA130/'Ratio_M+Cl'!S123,IF(OR(AA130="N/A",AA162="N/A"),"N/A",""))</f>
        <v/>
      </c>
      <c r="AB67" s="183" t="str">
        <f>IF(AND(ISNUMBER(AB98),AB98&gt;0.8*'Ratio_M+Cl'!T91,AB98&lt;1.2*'Ratio_M+Cl'!T91),AB130/'Ratio_M+Cl'!T123,IF(OR(AB130="N/A",AB162="N/A"),"N/A",""))</f>
        <v/>
      </c>
      <c r="AC67" s="183" t="str">
        <f>IF(AND(ISNUMBER(AC98),AC98&gt;0.8*'Ratio_M+Cl'!U91,AC98&lt;1.2*'Ratio_M+Cl'!U91),AC130/'Ratio_M+Cl'!U123,IF(OR(AC130="N/A",AC162="N/A"),"N/A",""))</f>
        <v/>
      </c>
      <c r="AD67" s="183" t="str">
        <f>IF(AND(ISNUMBER(AD98),AD98&gt;0.8*'Ratio_M+Cl'!V91,AD98&lt;1.2*'Ratio_M+Cl'!V91),AD130/'Ratio_M+Cl'!V123,IF(OR(AD130="N/A",AD162="N/A"),"N/A",""))</f>
        <v/>
      </c>
      <c r="AE67" s="183">
        <f>IF(AND(ISNUMBER(AE98),AE98&gt;0.8*'Ratio_M+Cl'!W91,AE98&lt;1.2*'Ratio_M+Cl'!W91),AE130/'Ratio_M+Cl'!W123,IF(OR(AE130="N/A",AE162="N/A"),"N/A",""))</f>
        <v>0.21728392078117839</v>
      </c>
      <c r="AF67" s="183" t="str">
        <f>IF(AND(ISNUMBER(AF98),AF98&gt;0.8*'Ratio_M+Cl'!X91,AF98&lt;1.2*'Ratio_M+Cl'!X91),AF130/'Ratio_M+Cl'!X123,IF(OR(AF130="N/A",AF162="N/A"),"N/A",""))</f>
        <v/>
      </c>
      <c r="AG67" s="183">
        <f>IF(AND(ISNUMBER(AG98),AG98&gt;0.8*'Ratio_M+Cl'!Y91,AG98&lt;1.2*'Ratio_M+Cl'!Y91),AG130/'Ratio_M+Cl'!Y123,IF(OR(AG130="N/A",AG162="N/A"),"N/A",""))</f>
        <v>12.635868230143931</v>
      </c>
      <c r="AH67" s="183">
        <f>IF(AND(ISNUMBER(AH98),AH98&gt;0.8*'Ratio_M+Cl'!Z91,AH98&lt;1.2*'Ratio_M+Cl'!Z91),AH130/'Ratio_M+Cl'!Z123,IF(OR(AH130="N/A",AH162="N/A"),"N/A",""))</f>
        <v>20.27745418976334</v>
      </c>
      <c r="AI67" s="183" t="str">
        <f>IF(AND(ISNUMBER(AI98),AI98&gt;0.8*'Ratio_M+Cl'!AA91,AI98&lt;1.2*'Ratio_M+Cl'!AA91),AI130/'Ratio_M+Cl'!AA123,IF(OR(AI130="N/A",AI162="N/A"),"N/A",""))</f>
        <v/>
      </c>
      <c r="AJ67" s="183" t="str">
        <f>IF(AND(ISNUMBER(AJ98),AJ98&gt;0.8*'Ratio_M+Cl'!AB91,AJ98&lt;1.2*'Ratio_M+Cl'!AB91),AJ130/'Ratio_M+Cl'!AB123,IF(OR(AJ130="N/A",AJ162="N/A"),"N/A",""))</f>
        <v/>
      </c>
      <c r="AK67" s="188" t="str">
        <f>IF(AND(ISNUMBER(AK98),AK98&gt;0.8*'Ratio_M+Cl'!AC91,AK98&lt;1.2*'Ratio_M+Cl'!AC91),AK130/'Ratio_M+Cl'!AC123,IF(OR(AK130="N/A",AK162="N/A"),"N/A",""))</f>
        <v/>
      </c>
      <c r="AM67" s="160" t="s">
        <v>336</v>
      </c>
      <c r="AN67" s="225">
        <f t="shared" si="3"/>
        <v>0</v>
      </c>
      <c r="AO67" s="225">
        <f t="shared" si="9"/>
        <v>0</v>
      </c>
      <c r="AP67" s="225">
        <f t="shared" si="10"/>
        <v>0</v>
      </c>
      <c r="AQ67" s="225">
        <f t="shared" si="11"/>
        <v>0</v>
      </c>
      <c r="AR67" s="225">
        <f t="shared" si="12"/>
        <v>0</v>
      </c>
      <c r="AS67" s="225">
        <f t="shared" si="13"/>
        <v>0</v>
      </c>
      <c r="AT67" s="225">
        <f t="shared" si="14"/>
        <v>0</v>
      </c>
      <c r="AU67" s="225">
        <f t="shared" si="15"/>
        <v>0</v>
      </c>
      <c r="AV67" s="225">
        <f t="shared" si="16"/>
        <v>0</v>
      </c>
      <c r="AW67" s="225" t="str">
        <f t="shared" si="17"/>
        <v/>
      </c>
      <c r="AX67" s="225" t="str">
        <f t="shared" si="18"/>
        <v/>
      </c>
      <c r="AY67" s="225" t="str">
        <f t="shared" si="19"/>
        <v/>
      </c>
      <c r="AZ67" s="225" t="str">
        <f t="shared" si="20"/>
        <v/>
      </c>
      <c r="BA67" s="225" t="str">
        <f t="shared" si="21"/>
        <v/>
      </c>
      <c r="BB67" s="225">
        <f t="shared" si="22"/>
        <v>0</v>
      </c>
      <c r="BC67" s="225" t="str">
        <f t="shared" si="23"/>
        <v/>
      </c>
      <c r="BD67" s="225" t="str">
        <f t="shared" si="24"/>
        <v/>
      </c>
      <c r="BE67" s="225" t="str">
        <f t="shared" si="25"/>
        <v/>
      </c>
      <c r="BF67" s="225" t="str">
        <f t="shared" si="26"/>
        <v/>
      </c>
      <c r="BG67" s="225" t="str">
        <f t="shared" si="27"/>
        <v/>
      </c>
      <c r="BH67" s="225">
        <f t="shared" si="28"/>
        <v>0</v>
      </c>
      <c r="BI67" s="225" t="str">
        <f t="shared" si="29"/>
        <v/>
      </c>
      <c r="BJ67" s="225">
        <f t="shared" si="4"/>
        <v>0</v>
      </c>
      <c r="BK67" s="225">
        <f t="shared" si="5"/>
        <v>0</v>
      </c>
      <c r="BL67" s="225" t="str">
        <f t="shared" si="6"/>
        <v/>
      </c>
      <c r="BM67" s="225" t="str">
        <f t="shared" si="7"/>
        <v/>
      </c>
      <c r="BN67" s="225" t="str">
        <f t="shared" si="8"/>
        <v/>
      </c>
    </row>
    <row r="68" spans="1:66" ht="15.75" x14ac:dyDescent="0.3">
      <c r="A68" s="150">
        <v>63</v>
      </c>
      <c r="B68" s="10" t="s">
        <v>59</v>
      </c>
      <c r="C68" s="236">
        <v>271010678.59939951</v>
      </c>
      <c r="D68" s="233"/>
      <c r="E68" s="232">
        <f t="shared" si="1"/>
        <v>0</v>
      </c>
      <c r="G68" s="10" t="s">
        <v>379</v>
      </c>
      <c r="H68" s="151">
        <f>IF(ISNUMBER(P49),P49/SUM($K$43:$AK$71),0)</f>
        <v>1.5797836958008678E-3</v>
      </c>
      <c r="J68" s="160" t="s">
        <v>337</v>
      </c>
      <c r="K68" s="177">
        <f>IF(AND(ISNUMBER(K99),K99&gt;0.8*'Ratio_M+Cl'!C92,K99&lt;1.2*'Ratio_M+Cl'!C92),K131/'Ratio_M+Cl'!C124,IF(OR(K131="N/A",K163="N/A"),"N/A",""))</f>
        <v>1.0830146715583808</v>
      </c>
      <c r="L68" s="177">
        <f>IF(AND(ISNUMBER(L99),L99&gt;0.8*'Ratio_M+Cl'!D92,L99&lt;1.2*'Ratio_M+Cl'!D92),L131/'Ratio_M+Cl'!D124,IF(OR(L131="N/A",L163="N/A"),"N/A",""))</f>
        <v>8.8960869335584309</v>
      </c>
      <c r="M68" s="177">
        <f>IF(AND(ISNUMBER(M99),M99&gt;0.8*'Ratio_M+Cl'!E92,M99&lt;1.2*'Ratio_M+Cl'!E92),M131/'Ratio_M+Cl'!E124,IF(OR(M131="N/A",M163="N/A"),"N/A",""))</f>
        <v>24.001601521740266</v>
      </c>
      <c r="N68" s="177">
        <f>IF(AND(ISNUMBER(N99),N99&gt;0.8*'Ratio_M+Cl'!F92,N99&lt;1.2*'Ratio_M+Cl'!F92),N131/'Ratio_M+Cl'!F124,IF(OR(N131="N/A",N163="N/A"),"N/A",""))</f>
        <v>38.159257485150782</v>
      </c>
      <c r="O68" s="177">
        <f>IF(AND(ISNUMBER(O99),O99&gt;0.8*'Ratio_M+Cl'!G92,O99&lt;1.2*'Ratio_M+Cl'!G92),O131/'Ratio_M+Cl'!G124,IF(OR(O131="N/A",O163="N/A"),"N/A",""))</f>
        <v>41.815818820424283</v>
      </c>
      <c r="P68" s="177">
        <f>IF(AND(ISNUMBER(P99),P99&gt;0.8*'Ratio_M+Cl'!H92,P99&lt;1.2*'Ratio_M+Cl'!H92),P131/'Ratio_M+Cl'!H124,IF(OR(P131="N/A",P163="N/A"),"N/A",""))</f>
        <v>34.767649854738956</v>
      </c>
      <c r="Q68" s="177">
        <f>IF(AND(ISNUMBER(Q99),Q99&gt;0.8*'Ratio_M+Cl'!I92,Q99&lt;1.2*'Ratio_M+Cl'!I92),Q131/'Ratio_M+Cl'!I124,IF(OR(Q131="N/A",Q163="N/A"),"N/A",""))</f>
        <v>21.035106901830144</v>
      </c>
      <c r="R68" s="177">
        <f>IF(AND(ISNUMBER(R99),R99&gt;0.8*'Ratio_M+Cl'!J92,R99&lt;1.2*'Ratio_M+Cl'!J92),R131/'Ratio_M+Cl'!J124,IF(OR(R131="N/A",R163="N/A"),"N/A",""))</f>
        <v>7.8921289635151766</v>
      </c>
      <c r="S68" s="177" t="str">
        <f>IF(AND(ISNUMBER(S99),S99&gt;0.8*'Ratio_M+Cl'!K92,S99&lt;1.2*'Ratio_M+Cl'!K92),S131/'Ratio_M+Cl'!K124,IF(OR(S131="N/A",S163="N/A"),"N/A",""))</f>
        <v/>
      </c>
      <c r="T68" s="186" t="str">
        <f>IF(AND(ISNUMBER(T99),T99&gt;0.8*'Ratio_M+Cl'!L92,T99&lt;1.2*'Ratio_M+Cl'!L92),T131/'Ratio_M+Cl'!L124,IF(OR(T131="N/A",T163="N/A"),"N/A",""))</f>
        <v/>
      </c>
      <c r="U68" s="186" t="str">
        <f>IF(AND(ISNUMBER(U99),U99&gt;0.8*'Ratio_M+Cl'!M92,U99&lt;1.2*'Ratio_M+Cl'!M92),U131/'Ratio_M+Cl'!M124,IF(OR(U131="N/A",U163="N/A"),"N/A",""))</f>
        <v/>
      </c>
      <c r="V68" s="186" t="str">
        <f>IF(AND(ISNUMBER(V99),V99&gt;0.8*'Ratio_M+Cl'!N92,V99&lt;1.2*'Ratio_M+Cl'!N92),V131/'Ratio_M+Cl'!N124,IF(OR(V131="N/A",V163="N/A"),"N/A",""))</f>
        <v/>
      </c>
      <c r="W68" s="186" t="str">
        <f>IF(AND(ISNUMBER(W99),W99&gt;0.8*'Ratio_M+Cl'!O92,W99&lt;1.2*'Ratio_M+Cl'!O92),W131/'Ratio_M+Cl'!O124,IF(OR(W131="N/A",W163="N/A"),"N/A",""))</f>
        <v/>
      </c>
      <c r="X68" s="186">
        <f>IF(AND(ISNUMBER(X99),X99&gt;0.8*'Ratio_M+Cl'!P92,X99&lt;1.2*'Ratio_M+Cl'!P92),X131/'Ratio_M+Cl'!P124,IF(OR(X131="N/A",X163="N/A"),"N/A",""))</f>
        <v>9.6712142965172901E-2</v>
      </c>
      <c r="Y68" s="186" t="str">
        <f>IF(AND(ISNUMBER(Y99),Y99&gt;0.8*'Ratio_M+Cl'!Q92,Y99&lt;1.2*'Ratio_M+Cl'!Q92),Y131/'Ratio_M+Cl'!Q124,IF(OR(Y131="N/A",Y163="N/A"),"N/A",""))</f>
        <v/>
      </c>
      <c r="Z68" s="183" t="str">
        <f>IF(AND(ISNUMBER(Z99),Z99&gt;0.8*'Ratio_M+Cl'!R92,Z99&lt;1.2*'Ratio_M+Cl'!R92),Z131/'Ratio_M+Cl'!R124,IF(OR(Z131="N/A",Z163="N/A"),"N/A",""))</f>
        <v/>
      </c>
      <c r="AA68" s="183" t="str">
        <f>IF(AND(ISNUMBER(AA99),AA99&gt;0.8*'Ratio_M+Cl'!S92,AA99&lt;1.2*'Ratio_M+Cl'!S92),AA131/'Ratio_M+Cl'!S124,IF(OR(AA131="N/A",AA163="N/A"),"N/A",""))</f>
        <v/>
      </c>
      <c r="AB68" s="183">
        <f>IF(AND(ISNUMBER(AB99),AB99&gt;0.8*'Ratio_M+Cl'!T92,AB99&lt;1.2*'Ratio_M+Cl'!T92),AB131/'Ratio_M+Cl'!T124,IF(OR(AB131="N/A",AB163="N/A"),"N/A",""))</f>
        <v>9.2068898405986407E-2</v>
      </c>
      <c r="AC68" s="183" t="str">
        <f>IF(AND(ISNUMBER(AC99),AC99&gt;0.8*'Ratio_M+Cl'!U92,AC99&lt;1.2*'Ratio_M+Cl'!U92),AC131/'Ratio_M+Cl'!U124,IF(OR(AC131="N/A",AC163="N/A"),"N/A",""))</f>
        <v/>
      </c>
      <c r="AD68" s="183" t="str">
        <f>IF(AND(ISNUMBER(AD99),AD99&gt;0.8*'Ratio_M+Cl'!V92,AD99&lt;1.2*'Ratio_M+Cl'!V92),AD131/'Ratio_M+Cl'!V124,IF(OR(AD131="N/A",AD163="N/A"),"N/A",""))</f>
        <v/>
      </c>
      <c r="AE68" s="183" t="str">
        <f>IF(AND(ISNUMBER(AE99),AE99&gt;0.8*'Ratio_M+Cl'!W92,AE99&lt;1.2*'Ratio_M+Cl'!W92),AE131/'Ratio_M+Cl'!W124,IF(OR(AE131="N/A",AE163="N/A"),"N/A",""))</f>
        <v/>
      </c>
      <c r="AF68" s="183" t="str">
        <f>IF(AND(ISNUMBER(AF99),AF99&gt;0.8*'Ratio_M+Cl'!X92,AF99&lt;1.2*'Ratio_M+Cl'!X92),AF131/'Ratio_M+Cl'!X124,IF(OR(AF131="N/A",AF163="N/A"),"N/A",""))</f>
        <v/>
      </c>
      <c r="AG68" s="183">
        <f>IF(AND(ISNUMBER(AG99),AG99&gt;0.8*'Ratio_M+Cl'!Y92,AG99&lt;1.2*'Ratio_M+Cl'!Y92),AG131/'Ratio_M+Cl'!Y124,IF(OR(AG131="N/A",AG163="N/A"),"N/A",""))</f>
        <v>1.1025536425582769</v>
      </c>
      <c r="AH68" s="183">
        <f>IF(AND(ISNUMBER(AH99),AH99&gt;0.8*'Ratio_M+Cl'!Z92,AH99&lt;1.2*'Ratio_M+Cl'!Z92),AH131/'Ratio_M+Cl'!Z124,IF(OR(AH131="N/A",AH163="N/A"),"N/A",""))</f>
        <v>5.5004336927242239</v>
      </c>
      <c r="AI68" s="183" t="str">
        <f>IF(AND(ISNUMBER(AI99),AI99&gt;0.8*'Ratio_M+Cl'!AA92,AI99&lt;1.2*'Ratio_M+Cl'!AA92),AI131/'Ratio_M+Cl'!AA124,IF(OR(AI131="N/A",AI163="N/A"),"N/A",""))</f>
        <v/>
      </c>
      <c r="AJ68" s="183" t="str">
        <f>IF(AND(ISNUMBER(AJ99),AJ99&gt;0.8*'Ratio_M+Cl'!AB92,AJ99&lt;1.2*'Ratio_M+Cl'!AB92),AJ131/'Ratio_M+Cl'!AB124,IF(OR(AJ131="N/A",AJ163="N/A"),"N/A",""))</f>
        <v/>
      </c>
      <c r="AK68" s="188" t="str">
        <f>IF(AND(ISNUMBER(AK99),AK99&gt;0.8*'Ratio_M+Cl'!AC92,AK99&lt;1.2*'Ratio_M+Cl'!AC92),AK131/'Ratio_M+Cl'!AC124,IF(OR(AK131="N/A",AK163="N/A"),"N/A",""))</f>
        <v/>
      </c>
      <c r="AM68" s="160" t="s">
        <v>337</v>
      </c>
      <c r="AN68" s="225">
        <f t="shared" si="3"/>
        <v>0</v>
      </c>
      <c r="AO68" s="225">
        <f t="shared" si="9"/>
        <v>0</v>
      </c>
      <c r="AP68" s="225">
        <f t="shared" si="10"/>
        <v>0</v>
      </c>
      <c r="AQ68" s="225">
        <f t="shared" si="11"/>
        <v>0</v>
      </c>
      <c r="AR68" s="225">
        <f t="shared" si="12"/>
        <v>0</v>
      </c>
      <c r="AS68" s="225">
        <f t="shared" si="13"/>
        <v>0</v>
      </c>
      <c r="AT68" s="225">
        <f t="shared" si="14"/>
        <v>0</v>
      </c>
      <c r="AU68" s="225">
        <f t="shared" si="15"/>
        <v>0</v>
      </c>
      <c r="AV68" s="225" t="str">
        <f t="shared" si="16"/>
        <v/>
      </c>
      <c r="AW68" s="225" t="str">
        <f t="shared" si="17"/>
        <v/>
      </c>
      <c r="AX68" s="225" t="str">
        <f t="shared" si="18"/>
        <v/>
      </c>
      <c r="AY68" s="225" t="str">
        <f t="shared" si="19"/>
        <v/>
      </c>
      <c r="AZ68" s="225" t="str">
        <f t="shared" si="20"/>
        <v/>
      </c>
      <c r="BA68" s="225">
        <f t="shared" si="21"/>
        <v>0</v>
      </c>
      <c r="BB68" s="225" t="str">
        <f t="shared" si="22"/>
        <v/>
      </c>
      <c r="BC68" s="225" t="str">
        <f t="shared" si="23"/>
        <v/>
      </c>
      <c r="BD68" s="225" t="str">
        <f t="shared" si="24"/>
        <v/>
      </c>
      <c r="BE68" s="225">
        <f t="shared" si="25"/>
        <v>0</v>
      </c>
      <c r="BF68" s="225" t="str">
        <f t="shared" si="26"/>
        <v/>
      </c>
      <c r="BG68" s="225" t="str">
        <f t="shared" si="27"/>
        <v/>
      </c>
      <c r="BH68" s="225" t="str">
        <f t="shared" si="28"/>
        <v/>
      </c>
      <c r="BI68" s="225" t="str">
        <f t="shared" si="29"/>
        <v/>
      </c>
      <c r="BJ68" s="225">
        <f t="shared" si="4"/>
        <v>0</v>
      </c>
      <c r="BK68" s="225">
        <f t="shared" si="5"/>
        <v>0</v>
      </c>
      <c r="BL68" s="225" t="str">
        <f t="shared" si="6"/>
        <v/>
      </c>
      <c r="BM68" s="225" t="str">
        <f t="shared" si="7"/>
        <v/>
      </c>
      <c r="BN68" s="225" t="str">
        <f t="shared" si="8"/>
        <v/>
      </c>
    </row>
    <row r="69" spans="1:66" ht="15.75" x14ac:dyDescent="0.3">
      <c r="A69" s="150">
        <v>64</v>
      </c>
      <c r="B69" s="10" t="s">
        <v>60</v>
      </c>
      <c r="C69" s="236">
        <v>251104786.16114801</v>
      </c>
      <c r="D69" s="233"/>
      <c r="E69" s="232">
        <f t="shared" si="1"/>
        <v>0</v>
      </c>
      <c r="G69" s="10" t="s">
        <v>380</v>
      </c>
      <c r="H69" s="151">
        <f>IF(ISNUMBER(Q49),Q49/SUM($K$43:$AK$71),0)</f>
        <v>2.3231164820721587E-3</v>
      </c>
      <c r="J69" s="160" t="s">
        <v>338</v>
      </c>
      <c r="K69" s="177" t="str">
        <f>IF(AND(ISNUMBER(K100),K100&gt;0.8*'Ratio_M+Cl'!C93,K100&lt;1.2*'Ratio_M+Cl'!C93),K132/'Ratio_M+Cl'!C125,IF(OR(K132="N/A",K164="N/A"),"N/A",""))</f>
        <v/>
      </c>
      <c r="L69" s="177">
        <f>IF(AND(ISNUMBER(L100),L100&gt;0.8*'Ratio_M+Cl'!D93,L100&lt;1.2*'Ratio_M+Cl'!D93),L132/'Ratio_M+Cl'!D125,IF(OR(L132="N/A",L164="N/A"),"N/A",""))</f>
        <v>4.5727749453835367</v>
      </c>
      <c r="M69" s="177">
        <f>IF(AND(ISNUMBER(M100),M100&gt;0.8*'Ratio_M+Cl'!E93,M100&lt;1.2*'Ratio_M+Cl'!E93),M132/'Ratio_M+Cl'!E125,IF(OR(M132="N/A",M164="N/A"),"N/A",""))</f>
        <v>13.379315461362605</v>
      </c>
      <c r="N69" s="177">
        <f>IF(AND(ISNUMBER(N100),N100&gt;0.8*'Ratio_M+Cl'!F93,N100&lt;1.2*'Ratio_M+Cl'!F93),N132/'Ratio_M+Cl'!F125,IF(OR(N132="N/A",N164="N/A"),"N/A",""))</f>
        <v>23.29774230499622</v>
      </c>
      <c r="O69" s="177">
        <f>IF(AND(ISNUMBER(O100),O100&gt;0.8*'Ratio_M+Cl'!G93,O100&lt;1.2*'Ratio_M+Cl'!G93),O132/'Ratio_M+Cl'!G125,IF(OR(O132="N/A",O164="N/A"),"N/A",""))</f>
        <v>26.948128639480508</v>
      </c>
      <c r="P69" s="177">
        <f>IF(AND(ISNUMBER(P100),P100&gt;0.8*'Ratio_M+Cl'!H93,P100&lt;1.2*'Ratio_M+Cl'!H93),P132/'Ratio_M+Cl'!H125,IF(OR(P132="N/A",P164="N/A"),"N/A",""))</f>
        <v>22.362361864955531</v>
      </c>
      <c r="Q69" s="177">
        <f>IF(AND(ISNUMBER(Q100),Q100&gt;0.8*'Ratio_M+Cl'!I93,Q100&lt;1.2*'Ratio_M+Cl'!I93),Q132/'Ratio_M+Cl'!I125,IF(OR(Q132="N/A",Q164="N/A"),"N/A",""))</f>
        <v>14.148037866970864</v>
      </c>
      <c r="R69" s="177">
        <f>IF(AND(ISNUMBER(R100),R100&gt;0.8*'Ratio_M+Cl'!J93,R100&lt;1.2*'Ratio_M+Cl'!J93),R132/'Ratio_M+Cl'!J125,IF(OR(R132="N/A",R164="N/A"),"N/A",""))</f>
        <v>4.879147408902277</v>
      </c>
      <c r="S69" s="177">
        <f>IF(AND(ISNUMBER(S100),S100&gt;0.8*'Ratio_M+Cl'!K93,S100&lt;1.2*'Ratio_M+Cl'!K93),S132/'Ratio_M+Cl'!K125,IF(OR(S132="N/A",S164="N/A"),"N/A",""))</f>
        <v>0.52580888549262594</v>
      </c>
      <c r="T69" s="186" t="str">
        <f>IF(AND(ISNUMBER(T100),T100&gt;0.8*'Ratio_M+Cl'!L93,T100&lt;1.2*'Ratio_M+Cl'!L93),T132/'Ratio_M+Cl'!L125,IF(OR(T132="N/A",T164="N/A"),"N/A",""))</f>
        <v/>
      </c>
      <c r="U69" s="186" t="str">
        <f>IF(AND(ISNUMBER(U100),U100&gt;0.8*'Ratio_M+Cl'!M93,U100&lt;1.2*'Ratio_M+Cl'!M93),U132/'Ratio_M+Cl'!M125,IF(OR(U132="N/A",U164="N/A"),"N/A",""))</f>
        <v/>
      </c>
      <c r="V69" s="186" t="str">
        <f>IF(AND(ISNUMBER(V100),V100&gt;0.8*'Ratio_M+Cl'!N93,V100&lt;1.2*'Ratio_M+Cl'!N93),V132/'Ratio_M+Cl'!N125,IF(OR(V132="N/A",V164="N/A"),"N/A",""))</f>
        <v/>
      </c>
      <c r="W69" s="186" t="str">
        <f>IF(AND(ISNUMBER(W100),W100&gt;0.8*'Ratio_M+Cl'!O93,W100&lt;1.2*'Ratio_M+Cl'!O93),W132/'Ratio_M+Cl'!O125,IF(OR(W132="N/A",W164="N/A"),"N/A",""))</f>
        <v/>
      </c>
      <c r="X69" s="186">
        <f>IF(AND(ISNUMBER(X100),X100&gt;0.8*'Ratio_M+Cl'!P93,X100&lt;1.2*'Ratio_M+Cl'!P93),X132/'Ratio_M+Cl'!P125,IF(OR(X132="N/A",X164="N/A"),"N/A",""))</f>
        <v>0.17552312618518354</v>
      </c>
      <c r="Y69" s="186" t="str">
        <f>IF(AND(ISNUMBER(Y100),Y100&gt;0.8*'Ratio_M+Cl'!Q93,Y100&lt;1.2*'Ratio_M+Cl'!Q93),Y132/'Ratio_M+Cl'!Q125,IF(OR(Y132="N/A",Y164="N/A"),"N/A",""))</f>
        <v/>
      </c>
      <c r="Z69" s="183" t="str">
        <f>IF(AND(ISNUMBER(Z100),Z100&gt;0.8*'Ratio_M+Cl'!R93,Z100&lt;1.2*'Ratio_M+Cl'!R93),Z132/'Ratio_M+Cl'!R125,IF(OR(Z132="N/A",Z164="N/A"),"N/A",""))</f>
        <v/>
      </c>
      <c r="AA69" s="183" t="str">
        <f>IF(AND(ISNUMBER(AA100),AA100&gt;0.8*'Ratio_M+Cl'!S93,AA100&lt;1.2*'Ratio_M+Cl'!S93),AA132/'Ratio_M+Cl'!S125,IF(OR(AA132="N/A",AA164="N/A"),"N/A",""))</f>
        <v/>
      </c>
      <c r="AB69" s="183" t="str">
        <f>IF(AND(ISNUMBER(AB100),AB100&gt;0.8*'Ratio_M+Cl'!T93,AB100&lt;1.2*'Ratio_M+Cl'!T93),AB132/'Ratio_M+Cl'!T125,IF(OR(AB132="N/A",AB164="N/A"),"N/A",""))</f>
        <v/>
      </c>
      <c r="AC69" s="183" t="str">
        <f>IF(AND(ISNUMBER(AC100),AC100&gt;0.8*'Ratio_M+Cl'!U93,AC100&lt;1.2*'Ratio_M+Cl'!U93),AC132/'Ratio_M+Cl'!U125,IF(OR(AC132="N/A",AC164="N/A"),"N/A",""))</f>
        <v/>
      </c>
      <c r="AD69" s="183">
        <f>IF(AND(ISNUMBER(AD100),AD100&gt;0.8*'Ratio_M+Cl'!V93,AD100&lt;1.2*'Ratio_M+Cl'!V93),AD132/'Ratio_M+Cl'!V125,IF(OR(AD132="N/A",AD164="N/A"),"N/A",""))</f>
        <v>0.16714125577971567</v>
      </c>
      <c r="AE69" s="183" t="str">
        <f>IF(AND(ISNUMBER(AE100),AE100&gt;0.8*'Ratio_M+Cl'!W93,AE100&lt;1.2*'Ratio_M+Cl'!W93),AE132/'Ratio_M+Cl'!W125,IF(OR(AE132="N/A",AE164="N/A"),"N/A",""))</f>
        <v/>
      </c>
      <c r="AF69" s="183" t="str">
        <f>IF(AND(ISNUMBER(AF100),AF100&gt;0.8*'Ratio_M+Cl'!X93,AF100&lt;1.2*'Ratio_M+Cl'!X93),AF132/'Ratio_M+Cl'!X125,IF(OR(AF132="N/A",AF164="N/A"),"N/A",""))</f>
        <v/>
      </c>
      <c r="AG69" s="183" t="str">
        <f>IF(AND(ISNUMBER(AG100),AG100&gt;0.8*'Ratio_M+Cl'!Y93,AG100&lt;1.2*'Ratio_M+Cl'!Y93),AG132/'Ratio_M+Cl'!Y125,IF(OR(AG132="N/A",AG164="N/A"),"N/A",""))</f>
        <v/>
      </c>
      <c r="AH69" s="183">
        <f>IF(AND(ISNUMBER(AH100),AH100&gt;0.8*'Ratio_M+Cl'!Z93,AH100&lt;1.2*'Ratio_M+Cl'!Z93),AH132/'Ratio_M+Cl'!Z125,IF(OR(AH132="N/A",AH164="N/A"),"N/A",""))</f>
        <v>0.4905050545597579</v>
      </c>
      <c r="AI69" s="183" t="str">
        <f>IF(AND(ISNUMBER(AI100),AI100&gt;0.8*'Ratio_M+Cl'!AA93,AI100&lt;1.2*'Ratio_M+Cl'!AA93),AI132/'Ratio_M+Cl'!AA125,IF(OR(AI132="N/A",AI164="N/A"),"N/A",""))</f>
        <v/>
      </c>
      <c r="AJ69" s="183" t="str">
        <f>IF(AND(ISNUMBER(AJ100),AJ100&gt;0.8*'Ratio_M+Cl'!AB93,AJ100&lt;1.2*'Ratio_M+Cl'!AB93),AJ132/'Ratio_M+Cl'!AB125,IF(OR(AJ132="N/A",AJ164="N/A"),"N/A",""))</f>
        <v/>
      </c>
      <c r="AK69" s="188" t="str">
        <f>IF(AND(ISNUMBER(AK100),AK100&gt;0.8*'Ratio_M+Cl'!AC93,AK100&lt;1.2*'Ratio_M+Cl'!AC93),AK132/'Ratio_M+Cl'!AC125,IF(OR(AK132="N/A",AK164="N/A"),"N/A",""))</f>
        <v/>
      </c>
      <c r="AM69" s="160" t="s">
        <v>338</v>
      </c>
      <c r="AN69" s="225" t="str">
        <f t="shared" si="3"/>
        <v/>
      </c>
      <c r="AO69" s="225">
        <f t="shared" si="9"/>
        <v>0</v>
      </c>
      <c r="AP69" s="225">
        <f t="shared" si="10"/>
        <v>0</v>
      </c>
      <c r="AQ69" s="225">
        <f t="shared" si="11"/>
        <v>0</v>
      </c>
      <c r="AR69" s="225">
        <f t="shared" si="12"/>
        <v>0</v>
      </c>
      <c r="AS69" s="225">
        <f t="shared" si="13"/>
        <v>0</v>
      </c>
      <c r="AT69" s="225">
        <f t="shared" si="14"/>
        <v>0</v>
      </c>
      <c r="AU69" s="225">
        <f t="shared" si="15"/>
        <v>0</v>
      </c>
      <c r="AV69" s="225">
        <f t="shared" si="16"/>
        <v>0</v>
      </c>
      <c r="AW69" s="225" t="str">
        <f t="shared" si="17"/>
        <v/>
      </c>
      <c r="AX69" s="225" t="str">
        <f t="shared" si="18"/>
        <v/>
      </c>
      <c r="AY69" s="225" t="str">
        <f t="shared" si="19"/>
        <v/>
      </c>
      <c r="AZ69" s="225" t="str">
        <f t="shared" si="20"/>
        <v/>
      </c>
      <c r="BA69" s="225">
        <f t="shared" si="21"/>
        <v>0</v>
      </c>
      <c r="BB69" s="225" t="str">
        <f t="shared" si="22"/>
        <v/>
      </c>
      <c r="BC69" s="225" t="str">
        <f t="shared" si="23"/>
        <v/>
      </c>
      <c r="BD69" s="225" t="str">
        <f t="shared" si="24"/>
        <v/>
      </c>
      <c r="BE69" s="225" t="str">
        <f t="shared" si="25"/>
        <v/>
      </c>
      <c r="BF69" s="225" t="str">
        <f t="shared" si="26"/>
        <v/>
      </c>
      <c r="BG69" s="225">
        <f t="shared" si="27"/>
        <v>0</v>
      </c>
      <c r="BH69" s="225" t="str">
        <f t="shared" si="28"/>
        <v/>
      </c>
      <c r="BI69" s="225" t="str">
        <f t="shared" si="29"/>
        <v/>
      </c>
      <c r="BJ69" s="225" t="str">
        <f t="shared" si="4"/>
        <v/>
      </c>
      <c r="BK69" s="225">
        <f t="shared" si="5"/>
        <v>0</v>
      </c>
      <c r="BL69" s="225" t="str">
        <f t="shared" si="6"/>
        <v/>
      </c>
      <c r="BM69" s="225" t="str">
        <f t="shared" si="7"/>
        <v/>
      </c>
      <c r="BN69" s="225" t="str">
        <f t="shared" si="8"/>
        <v/>
      </c>
    </row>
    <row r="70" spans="1:66" ht="15.75" x14ac:dyDescent="0.3">
      <c r="A70" s="150">
        <v>65</v>
      </c>
      <c r="B70" s="10" t="s">
        <v>1101</v>
      </c>
      <c r="C70" s="236">
        <v>79202484.51789473</v>
      </c>
      <c r="D70" s="233"/>
      <c r="E70" s="232">
        <f t="shared" si="1"/>
        <v>0</v>
      </c>
      <c r="G70" s="10" t="s">
        <v>381</v>
      </c>
      <c r="H70" s="151">
        <f>IF(ISNUMBER(R49),R49/SUM($K$43:$AK$71),0)</f>
        <v>1.4139476336210426E-2</v>
      </c>
      <c r="J70" s="160" t="s">
        <v>339</v>
      </c>
      <c r="K70" s="189" t="str">
        <f>IF(AND(ISNUMBER(K101),K101&gt;0.8*'Ratio_M+Cl'!C94,K101&lt;1.2*'Ratio_M+Cl'!C94),K133/'Ratio_M+Cl'!C126,IF(OR(K133="N/A",K165="N/A"),"N/A",""))</f>
        <v/>
      </c>
      <c r="L70" s="186">
        <f>IF(AND(ISNUMBER(L101),L101&gt;0.8*'Ratio_M+Cl'!D94,L101&lt;1.2*'Ratio_M+Cl'!D94),L133/'Ratio_M+Cl'!D126,IF(OR(L133="N/A",L165="N/A"),"N/A",""))</f>
        <v>2.102676690757757</v>
      </c>
      <c r="M70" s="186">
        <f>IF(AND(ISNUMBER(M101),M101&gt;0.8*'Ratio_M+Cl'!E94,M101&lt;1.2*'Ratio_M+Cl'!E94),M133/'Ratio_M+Cl'!E126,IF(OR(M133="N/A",M165="N/A"),"N/A",""))</f>
        <v>6.9755466800859587</v>
      </c>
      <c r="N70" s="186">
        <f>IF(AND(ISNUMBER(N101),N101&gt;0.8*'Ratio_M+Cl'!F94,N101&lt;1.2*'Ratio_M+Cl'!F94),N133/'Ratio_M+Cl'!F126,IF(OR(N133="N/A",N165="N/A"),"N/A",""))</f>
        <v>13.272841551156151</v>
      </c>
      <c r="O70" s="186">
        <f>IF(AND(ISNUMBER(O101),O101&gt;0.8*'Ratio_M+Cl'!G94,O101&lt;1.2*'Ratio_M+Cl'!G94),O133/'Ratio_M+Cl'!G126,IF(OR(O133="N/A",O165="N/A"),"N/A",""))</f>
        <v>16.478615526885765</v>
      </c>
      <c r="P70" s="186">
        <f>IF(AND(ISNUMBER(P101),P101&gt;0.8*'Ratio_M+Cl'!H94,P101&lt;1.2*'Ratio_M+Cl'!H94),P133/'Ratio_M+Cl'!H126,IF(OR(P133="N/A",P165="N/A"),"N/A",""))</f>
        <v>14.465868809801071</v>
      </c>
      <c r="Q70" s="186">
        <f>IF(AND(ISNUMBER(Q101),Q101&gt;0.8*'Ratio_M+Cl'!I94,Q101&lt;1.2*'Ratio_M+Cl'!I94),Q133/'Ratio_M+Cl'!I126,IF(OR(Q133="N/A",Q165="N/A"),"N/A",""))</f>
        <v>8.6326246552658503</v>
      </c>
      <c r="R70" s="186" t="str">
        <f>IF(AND(ISNUMBER(R101),R101&gt;0.8*'Ratio_M+Cl'!J94,R101&lt;1.2*'Ratio_M+Cl'!J94),R133/'Ratio_M+Cl'!J126,IF(OR(R133="N/A",R165="N/A"),"N/A",""))</f>
        <v/>
      </c>
      <c r="S70" s="186">
        <f>IF(AND(ISNUMBER(S101),S101&gt;0.8*'Ratio_M+Cl'!K94,S101&lt;1.2*'Ratio_M+Cl'!K94),S133/'Ratio_M+Cl'!K126,IF(OR(S133="N/A",S165="N/A"),"N/A",""))</f>
        <v>0.24664269988916673</v>
      </c>
      <c r="T70" s="186" t="str">
        <f>IF(AND(ISNUMBER(T101),T101&gt;0.8*'Ratio_M+Cl'!L94,T101&lt;1.2*'Ratio_M+Cl'!L94),T133/'Ratio_M+Cl'!L126,IF(OR(T133="N/A",T165="N/A"),"N/A",""))</f>
        <v/>
      </c>
      <c r="U70" s="186" t="str">
        <f>IF(AND(ISNUMBER(U101),U101&gt;0.8*'Ratio_M+Cl'!M94,U101&lt;1.2*'Ratio_M+Cl'!M94),U133/'Ratio_M+Cl'!M126,IF(OR(U133="N/A",U165="N/A"),"N/A",""))</f>
        <v/>
      </c>
      <c r="V70" s="186">
        <f>IF(AND(ISNUMBER(V101),V101&gt;0.8*'Ratio_M+Cl'!N94,V101&lt;1.2*'Ratio_M+Cl'!N94),V133/'Ratio_M+Cl'!N126,IF(OR(V133="N/A",V165="N/A"),"N/A",""))</f>
        <v>0.10026265136174131</v>
      </c>
      <c r="W70" s="186" t="str">
        <f>IF(AND(ISNUMBER(W101),W101&gt;0.8*'Ratio_M+Cl'!O94,W101&lt;1.2*'Ratio_M+Cl'!O94),W133/'Ratio_M+Cl'!O126,IF(OR(W133="N/A",W165="N/A"),"N/A",""))</f>
        <v/>
      </c>
      <c r="X70" s="186" t="str">
        <f>IF(AND(ISNUMBER(X101),X101&gt;0.8*'Ratio_M+Cl'!P94,X101&lt;1.2*'Ratio_M+Cl'!P94),X133/'Ratio_M+Cl'!P126,IF(OR(X133="N/A",X165="N/A"),"N/A",""))</f>
        <v/>
      </c>
      <c r="Y70" s="186" t="str">
        <f>IF(AND(ISNUMBER(Y101),Y101&gt;0.8*'Ratio_M+Cl'!Q94,Y101&lt;1.2*'Ratio_M+Cl'!Q94),Y133/'Ratio_M+Cl'!Q126,IF(OR(Y133="N/A",Y165="N/A"),"N/A",""))</f>
        <v/>
      </c>
      <c r="Z70" s="183" t="str">
        <f>IF(AND(ISNUMBER(Z101),Z101&gt;0.8*'Ratio_M+Cl'!R94,Z101&lt;1.2*'Ratio_M+Cl'!R94),Z133/'Ratio_M+Cl'!R126,IF(OR(Z133="N/A",Z165="N/A"),"N/A",""))</f>
        <v/>
      </c>
      <c r="AA70" s="183" t="str">
        <f>IF(AND(ISNUMBER(AA101),AA101&gt;0.8*'Ratio_M+Cl'!S94,AA101&lt;1.2*'Ratio_M+Cl'!S94),AA133/'Ratio_M+Cl'!S126,IF(OR(AA133="N/A",AA165="N/A"),"N/A",""))</f>
        <v/>
      </c>
      <c r="AB70" s="183" t="str">
        <f>IF(AND(ISNUMBER(AB101),AB101&gt;0.8*'Ratio_M+Cl'!T94,AB101&lt;1.2*'Ratio_M+Cl'!T94),AB133/'Ratio_M+Cl'!T126,IF(OR(AB133="N/A",AB165="N/A"),"N/A",""))</f>
        <v/>
      </c>
      <c r="AC70" s="183" t="str">
        <f>IF(AND(ISNUMBER(AC101),AC101&gt;0.8*'Ratio_M+Cl'!U94,AC101&lt;1.2*'Ratio_M+Cl'!U94),AC133/'Ratio_M+Cl'!U126,IF(OR(AC133="N/A",AC165="N/A"),"N/A",""))</f>
        <v/>
      </c>
      <c r="AD70" s="183">
        <f>IF(AND(ISNUMBER(AD101),AD101&gt;0.8*'Ratio_M+Cl'!V94,AD101&lt;1.2*'Ratio_M+Cl'!V94),AD133/'Ratio_M+Cl'!V126,IF(OR(AD133="N/A",AD165="N/A"),"N/A",""))</f>
        <v>6.710687732905582E-2</v>
      </c>
      <c r="AE70" s="183">
        <f>IF(AND(ISNUMBER(AE101),AE101&gt;0.8*'Ratio_M+Cl'!W94,AE101&lt;1.2*'Ratio_M+Cl'!W94),AE133/'Ratio_M+Cl'!W126,IF(OR(AE133="N/A",AE165="N/A"),"N/A",""))</f>
        <v>8.8924992480646822E-2</v>
      </c>
      <c r="AF70" s="183" t="str">
        <f>IF(AND(ISNUMBER(AF101),AF101&gt;0.8*'Ratio_M+Cl'!X94,AF101&lt;1.2*'Ratio_M+Cl'!X94),AF133/'Ratio_M+Cl'!X126,IF(OR(AF133="N/A",AF165="N/A"),"N/A",""))</f>
        <v/>
      </c>
      <c r="AG70" s="183">
        <f>IF(AND(ISNUMBER(AG101),AG101&gt;0.8*'Ratio_M+Cl'!Y94,AG101&lt;1.2*'Ratio_M+Cl'!Y94),AG133/'Ratio_M+Cl'!Y126,IF(OR(AG133="N/A",AG165="N/A"),"N/A",""))</f>
        <v>0.13204594690711574</v>
      </c>
      <c r="AH70" s="183" t="str">
        <f>IF(AND(ISNUMBER(AH101),AH101&gt;0.8*'Ratio_M+Cl'!Z94,AH101&lt;1.2*'Ratio_M+Cl'!Z94),AH133/'Ratio_M+Cl'!Z126,IF(OR(AH133="N/A",AH165="N/A"),"N/A",""))</f>
        <v/>
      </c>
      <c r="AI70" s="183" t="str">
        <f>IF(AND(ISNUMBER(AI101),AI101&gt;0.8*'Ratio_M+Cl'!AA94,AI101&lt;1.2*'Ratio_M+Cl'!AA94),AI133/'Ratio_M+Cl'!AA126,IF(OR(AI133="N/A",AI165="N/A"),"N/A",""))</f>
        <v/>
      </c>
      <c r="AJ70" s="183" t="str">
        <f>IF(AND(ISNUMBER(AJ101),AJ101&gt;0.8*'Ratio_M+Cl'!AB94,AJ101&lt;1.2*'Ratio_M+Cl'!AB94),AJ133/'Ratio_M+Cl'!AB126,IF(OR(AJ133="N/A",AJ165="N/A"),"N/A",""))</f>
        <v/>
      </c>
      <c r="AK70" s="188" t="str">
        <f>IF(AND(ISNUMBER(AK101),AK101&gt;0.8*'Ratio_M+Cl'!AC94,AK101&lt;1.2*'Ratio_M+Cl'!AC94),AK133/'Ratio_M+Cl'!AC126,IF(OR(AK133="N/A",AK165="N/A"),"N/A",""))</f>
        <v/>
      </c>
      <c r="AM70" s="160" t="s">
        <v>339</v>
      </c>
      <c r="AN70" s="225" t="str">
        <f t="shared" si="3"/>
        <v/>
      </c>
      <c r="AO70" s="225">
        <f t="shared" si="9"/>
        <v>0</v>
      </c>
      <c r="AP70" s="225">
        <f t="shared" si="10"/>
        <v>0</v>
      </c>
      <c r="AQ70" s="225">
        <f t="shared" si="11"/>
        <v>0</v>
      </c>
      <c r="AR70" s="225">
        <f t="shared" si="12"/>
        <v>0</v>
      </c>
      <c r="AS70" s="225">
        <f t="shared" si="13"/>
        <v>0</v>
      </c>
      <c r="AT70" s="225">
        <f t="shared" si="14"/>
        <v>0</v>
      </c>
      <c r="AU70" s="225" t="str">
        <f t="shared" si="15"/>
        <v/>
      </c>
      <c r="AV70" s="225">
        <f t="shared" si="16"/>
        <v>0</v>
      </c>
      <c r="AW70" s="225" t="str">
        <f t="shared" si="17"/>
        <v/>
      </c>
      <c r="AX70" s="225" t="str">
        <f t="shared" si="18"/>
        <v/>
      </c>
      <c r="AY70" s="225">
        <f t="shared" si="19"/>
        <v>0</v>
      </c>
      <c r="AZ70" s="225" t="str">
        <f t="shared" si="20"/>
        <v/>
      </c>
      <c r="BA70" s="225" t="str">
        <f t="shared" si="21"/>
        <v/>
      </c>
      <c r="BB70" s="225" t="str">
        <f t="shared" si="22"/>
        <v/>
      </c>
      <c r="BC70" s="225" t="str">
        <f t="shared" si="23"/>
        <v/>
      </c>
      <c r="BD70" s="225" t="str">
        <f t="shared" si="24"/>
        <v/>
      </c>
      <c r="BE70" s="225" t="str">
        <f t="shared" si="25"/>
        <v/>
      </c>
      <c r="BF70" s="225" t="str">
        <f t="shared" si="26"/>
        <v/>
      </c>
      <c r="BG70" s="225">
        <f t="shared" si="27"/>
        <v>0</v>
      </c>
      <c r="BH70" s="225">
        <f t="shared" si="28"/>
        <v>0</v>
      </c>
      <c r="BI70" s="225" t="str">
        <f t="shared" si="29"/>
        <v/>
      </c>
      <c r="BJ70" s="225">
        <f t="shared" si="4"/>
        <v>0</v>
      </c>
      <c r="BK70" s="225" t="str">
        <f t="shared" si="5"/>
        <v/>
      </c>
      <c r="BL70" s="225" t="str">
        <f t="shared" si="6"/>
        <v/>
      </c>
      <c r="BM70" s="225" t="str">
        <f t="shared" si="7"/>
        <v/>
      </c>
      <c r="BN70" s="225" t="str">
        <f t="shared" si="8"/>
        <v/>
      </c>
    </row>
    <row r="71" spans="1:66" ht="15.75" x14ac:dyDescent="0.3">
      <c r="A71" s="150">
        <v>66</v>
      </c>
      <c r="B71" s="10" t="s">
        <v>1102</v>
      </c>
      <c r="C71" s="236">
        <v>67388365.517092228</v>
      </c>
      <c r="D71" s="233"/>
      <c r="E71" s="232">
        <f t="shared" ref="E71:E134" si="30">D71/C71</f>
        <v>0</v>
      </c>
      <c r="G71" s="10" t="s">
        <v>382</v>
      </c>
      <c r="H71" s="151">
        <f>IF(ISNUMBER(S49),S49/SUM($K$43:$AK$71),0)</f>
        <v>3.6810926996801704E-2</v>
      </c>
      <c r="J71" s="161" t="s">
        <v>340</v>
      </c>
      <c r="K71" s="190" t="str">
        <f>IF(AND(ISNUMBER(K102),K102&gt;0.8*'Ratio_M+Cl'!C95,K102&lt;1.2*'Ratio_M+Cl'!C95),K134/'Ratio_M+Cl'!C127,IF(OR(K134="N/A",K166="N/A"),"N/A",""))</f>
        <v/>
      </c>
      <c r="L71" s="191">
        <f>IF(AND(ISNUMBER(L102),L102&gt;0.8*'Ratio_M+Cl'!D95,L102&lt;1.2*'Ratio_M+Cl'!D95),L134/'Ratio_M+Cl'!D127,IF(OR(L134="N/A",L166="N/A"),"N/A",""))</f>
        <v>0.51963969846181279</v>
      </c>
      <c r="M71" s="191">
        <f>IF(AND(ISNUMBER(M102),M102&gt;0.8*'Ratio_M+Cl'!E95,M102&lt;1.2*'Ratio_M+Cl'!E95),M134/'Ratio_M+Cl'!E127,IF(OR(M134="N/A",M166="N/A"),"N/A",""))</f>
        <v>3.5415691026703899</v>
      </c>
      <c r="N71" s="191">
        <f>IF(AND(ISNUMBER(N102),N102&gt;0.8*'Ratio_M+Cl'!F95,N102&lt;1.2*'Ratio_M+Cl'!F95),N134/'Ratio_M+Cl'!F127,IF(OR(N134="N/A",N166="N/A"),"N/A",""))</f>
        <v>7.2282546823277372</v>
      </c>
      <c r="O71" s="191">
        <f>IF(AND(ISNUMBER(O102),O102&gt;0.8*'Ratio_M+Cl'!G95,O102&lt;1.2*'Ratio_M+Cl'!G95),O134/'Ratio_M+Cl'!G127,IF(OR(O134="N/A",O166="N/A"),"N/A",""))</f>
        <v>9.8048829345071766</v>
      </c>
      <c r="P71" s="191">
        <f>IF(AND(ISNUMBER(P102),P102&gt;0.8*'Ratio_M+Cl'!H95,P102&lt;1.2*'Ratio_M+Cl'!H95),P134/'Ratio_M+Cl'!H127,IF(OR(P134="N/A",P166="N/A"),"N/A",""))</f>
        <v>9.0262071398552894</v>
      </c>
      <c r="Q71" s="191">
        <f>IF(AND(ISNUMBER(Q102),Q102&gt;0.8*'Ratio_M+Cl'!I95,Q102&lt;1.2*'Ratio_M+Cl'!I95),Q134/'Ratio_M+Cl'!I127,IF(OR(Q134="N/A",Q166="N/A"),"N/A",""))</f>
        <v>5.2799781553243532</v>
      </c>
      <c r="R71" s="191">
        <f>IF(AND(ISNUMBER(R102),R102&gt;0.8*'Ratio_M+Cl'!J95,R102&lt;1.2*'Ratio_M+Cl'!J95),R134/'Ratio_M+Cl'!J127,IF(OR(R134="N/A",R166="N/A"),"N/A",""))</f>
        <v>1.3496733365764289</v>
      </c>
      <c r="S71" s="191" t="str">
        <f>IF(AND(ISNUMBER(S102),S102&gt;0.8*'Ratio_M+Cl'!K95,S102&lt;1.2*'Ratio_M+Cl'!K95),S134/'Ratio_M+Cl'!K127,IF(OR(S134="N/A",S166="N/A"),"N/A",""))</f>
        <v/>
      </c>
      <c r="T71" s="191" t="str">
        <f>IF(AND(ISNUMBER(T102),T102&gt;0.8*'Ratio_M+Cl'!L95,T102&lt;1.2*'Ratio_M+Cl'!L95),T134/'Ratio_M+Cl'!L127,IF(OR(T134="N/A",T166="N/A"),"N/A",""))</f>
        <v/>
      </c>
      <c r="U71" s="191" t="str">
        <f>IF(AND(ISNUMBER(U102),U102&gt;0.8*'Ratio_M+Cl'!M95,U102&lt;1.2*'Ratio_M+Cl'!M95),U134/'Ratio_M+Cl'!M127,IF(OR(U134="N/A",U166="N/A"),"N/A",""))</f>
        <v/>
      </c>
      <c r="V71" s="191" t="str">
        <f>IF(AND(ISNUMBER(V102),V102&gt;0.8*'Ratio_M+Cl'!N95,V102&lt;1.2*'Ratio_M+Cl'!N95),V134/'Ratio_M+Cl'!N127,IF(OR(V134="N/A",V166="N/A"),"N/A",""))</f>
        <v/>
      </c>
      <c r="W71" s="191" t="str">
        <f>IF(AND(ISNUMBER(W102),W102&gt;0.8*'Ratio_M+Cl'!O95,W102&lt;1.2*'Ratio_M+Cl'!O95),W134/'Ratio_M+Cl'!O127,IF(OR(W134="N/A",W166="N/A"),"N/A",""))</f>
        <v/>
      </c>
      <c r="X71" s="191" t="str">
        <f>IF(AND(ISNUMBER(X102),X102&gt;0.8*'Ratio_M+Cl'!P95,X102&lt;1.2*'Ratio_M+Cl'!P95),X134/'Ratio_M+Cl'!P127,IF(OR(X134="N/A",X166="N/A"),"N/A",""))</f>
        <v/>
      </c>
      <c r="Y71" s="191">
        <f>IF(AND(ISNUMBER(Y102),Y102&gt;0.8*'Ratio_M+Cl'!Q95,Y102&lt;1.2*'Ratio_M+Cl'!Q95),Y134/'Ratio_M+Cl'!Q127,IF(OR(Y134="N/A",Y166="N/A"),"N/A",""))</f>
        <v>0.13756570949720853</v>
      </c>
      <c r="Z71" s="192" t="str">
        <f>IF(AND(ISNUMBER(Z102),Z102&gt;0.8*'Ratio_M+Cl'!R95,Z102&lt;1.2*'Ratio_M+Cl'!R95),Z134/'Ratio_M+Cl'!R127,IF(OR(Z134="N/A",Z166="N/A"),"N/A",""))</f>
        <v/>
      </c>
      <c r="AA71" s="192" t="str">
        <f>IF(AND(ISNUMBER(AA102),AA102&gt;0.8*'Ratio_M+Cl'!S95,AA102&lt;1.2*'Ratio_M+Cl'!S95),AA134/'Ratio_M+Cl'!S127,IF(OR(AA134="N/A",AA166="N/A"),"N/A",""))</f>
        <v/>
      </c>
      <c r="AB71" s="192" t="str">
        <f>IF(AND(ISNUMBER(AB102),AB102&gt;0.8*'Ratio_M+Cl'!T95,AB102&lt;1.2*'Ratio_M+Cl'!T95),AB134/'Ratio_M+Cl'!T127,IF(OR(AB134="N/A",AB166="N/A"),"N/A",""))</f>
        <v/>
      </c>
      <c r="AC71" s="192" t="str">
        <f>IF(AND(ISNUMBER(AC102),AC102&gt;0.8*'Ratio_M+Cl'!U95,AC102&lt;1.2*'Ratio_M+Cl'!U95),AC134/'Ratio_M+Cl'!U127,IF(OR(AC134="N/A",AC166="N/A"),"N/A",""))</f>
        <v/>
      </c>
      <c r="AD71" s="192" t="str">
        <f>IF(AND(ISNUMBER(AD102),AD102&gt;0.8*'Ratio_M+Cl'!V95,AD102&lt;1.2*'Ratio_M+Cl'!V95),AD134/'Ratio_M+Cl'!V127,IF(OR(AD134="N/A",AD166="N/A"),"N/A",""))</f>
        <v/>
      </c>
      <c r="AE71" s="192" t="str">
        <f>IF(AND(ISNUMBER(AE102),AE102&gt;0.8*'Ratio_M+Cl'!W95,AE102&lt;1.2*'Ratio_M+Cl'!W95),AE134/'Ratio_M+Cl'!W127,IF(OR(AE134="N/A",AE166="N/A"),"N/A",""))</f>
        <v/>
      </c>
      <c r="AF71" s="192" t="str">
        <f>IF(AND(ISNUMBER(AF102),AF102&gt;0.8*'Ratio_M+Cl'!X95,AF102&lt;1.2*'Ratio_M+Cl'!X95),AF134/'Ratio_M+Cl'!X127,IF(OR(AF134="N/A",AF166="N/A"),"N/A",""))</f>
        <v/>
      </c>
      <c r="AG71" s="192" t="str">
        <f>IF(AND(ISNUMBER(AG102),AG102&gt;0.8*'Ratio_M+Cl'!Y95,AG102&lt;1.2*'Ratio_M+Cl'!Y95),AG134/'Ratio_M+Cl'!Y127,IF(OR(AG134="N/A",AG166="N/A"),"N/A",""))</f>
        <v/>
      </c>
      <c r="AH71" s="192" t="str">
        <f>IF(AND(ISNUMBER(AH102),AH102&gt;0.8*'Ratio_M+Cl'!Z95,AH102&lt;1.2*'Ratio_M+Cl'!Z95),AH134/'Ratio_M+Cl'!Z127,IF(OR(AH134="N/A",AH166="N/A"),"N/A",""))</f>
        <v/>
      </c>
      <c r="AI71" s="192" t="str">
        <f>IF(AND(ISNUMBER(AI102),AI102&gt;0.8*'Ratio_M+Cl'!AA95,AI102&lt;1.2*'Ratio_M+Cl'!AA95),AI134/'Ratio_M+Cl'!AA127,IF(OR(AI134="N/A",AI166="N/A"),"N/A",""))</f>
        <v/>
      </c>
      <c r="AJ71" s="192" t="str">
        <f>IF(AND(ISNUMBER(AJ102),AJ102&gt;0.8*'Ratio_M+Cl'!AB95,AJ102&lt;1.2*'Ratio_M+Cl'!AB95),AJ134/'Ratio_M+Cl'!AB127,IF(OR(AJ134="N/A",AJ166="N/A"),"N/A",""))</f>
        <v/>
      </c>
      <c r="AK71" s="193" t="str">
        <f>IF(AND(ISNUMBER(AK102),AK102&gt;0.8*'Ratio_M+Cl'!AC95,AK102&lt;1.2*'Ratio_M+Cl'!AC95),AK134/'Ratio_M+Cl'!AC127,IF(OR(AK134="N/A",AK166="N/A"),"N/A",""))</f>
        <v/>
      </c>
      <c r="AM71" s="161" t="s">
        <v>340</v>
      </c>
      <c r="AN71" s="225" t="str">
        <f t="shared" si="3"/>
        <v/>
      </c>
      <c r="AO71" s="225">
        <f t="shared" si="9"/>
        <v>0</v>
      </c>
      <c r="AP71" s="225">
        <f t="shared" si="10"/>
        <v>0</v>
      </c>
      <c r="AQ71" s="225">
        <f t="shared" si="11"/>
        <v>0</v>
      </c>
      <c r="AR71" s="225">
        <f t="shared" si="12"/>
        <v>0</v>
      </c>
      <c r="AS71" s="225">
        <f t="shared" si="13"/>
        <v>0</v>
      </c>
      <c r="AT71" s="225">
        <f t="shared" si="14"/>
        <v>0</v>
      </c>
      <c r="AU71" s="225">
        <f t="shared" si="15"/>
        <v>0</v>
      </c>
      <c r="AV71" s="225" t="str">
        <f t="shared" si="16"/>
        <v/>
      </c>
      <c r="AW71" s="225" t="str">
        <f t="shared" si="17"/>
        <v/>
      </c>
      <c r="AX71" s="225" t="str">
        <f t="shared" si="18"/>
        <v/>
      </c>
      <c r="AY71" s="225" t="str">
        <f t="shared" si="19"/>
        <v/>
      </c>
      <c r="AZ71" s="225" t="str">
        <f t="shared" si="20"/>
        <v/>
      </c>
      <c r="BA71" s="225" t="str">
        <f t="shared" si="21"/>
        <v/>
      </c>
      <c r="BB71" s="225">
        <f t="shared" si="22"/>
        <v>0</v>
      </c>
      <c r="BC71" s="225" t="str">
        <f t="shared" si="23"/>
        <v/>
      </c>
      <c r="BD71" s="225" t="str">
        <f t="shared" si="24"/>
        <v/>
      </c>
      <c r="BE71" s="225" t="str">
        <f t="shared" si="25"/>
        <v/>
      </c>
      <c r="BF71" s="225" t="str">
        <f t="shared" si="26"/>
        <v/>
      </c>
      <c r="BG71" s="225" t="str">
        <f t="shared" si="27"/>
        <v/>
      </c>
      <c r="BH71" s="225" t="str">
        <f t="shared" si="28"/>
        <v/>
      </c>
      <c r="BI71" s="225" t="str">
        <f t="shared" si="29"/>
        <v/>
      </c>
      <c r="BJ71" s="225" t="str">
        <f t="shared" si="4"/>
        <v/>
      </c>
      <c r="BK71" s="225" t="str">
        <f t="shared" si="5"/>
        <v/>
      </c>
      <c r="BL71" s="225" t="str">
        <f t="shared" si="6"/>
        <v/>
      </c>
      <c r="BM71" s="225" t="str">
        <f t="shared" si="7"/>
        <v/>
      </c>
      <c r="BN71" s="225" t="str">
        <f t="shared" si="8"/>
        <v/>
      </c>
    </row>
    <row r="72" spans="1:66" x14ac:dyDescent="0.25">
      <c r="A72" s="150">
        <v>67</v>
      </c>
      <c r="B72" s="10" t="s">
        <v>1103</v>
      </c>
      <c r="C72" s="236">
        <v>6562648.6221834403</v>
      </c>
      <c r="D72" s="233"/>
      <c r="E72" s="232">
        <f t="shared" si="30"/>
        <v>0</v>
      </c>
      <c r="G72" s="10" t="s">
        <v>500</v>
      </c>
      <c r="H72" s="151">
        <f>IF(ISNUMBER(T49),T49/SUM($K$43:$AK$71),0)</f>
        <v>3.8116319460070172E-2</v>
      </c>
    </row>
    <row r="73" spans="1:66" ht="15.75" x14ac:dyDescent="0.3">
      <c r="A73" s="150">
        <v>68</v>
      </c>
      <c r="B73" s="10" t="s">
        <v>1104</v>
      </c>
      <c r="C73" s="236">
        <v>5736788.5264898548</v>
      </c>
      <c r="D73" s="233"/>
      <c r="E73" s="232">
        <f t="shared" si="30"/>
        <v>0</v>
      </c>
      <c r="G73" s="10" t="s">
        <v>501</v>
      </c>
      <c r="H73" s="151">
        <f>IF(ISNUMBER(U49),U49/SUM($K$43:$AK$71),0)</f>
        <v>1.6321596314113323E-2</v>
      </c>
      <c r="J73" s="146" t="s">
        <v>327</v>
      </c>
      <c r="K73" s="154" t="s">
        <v>1012</v>
      </c>
      <c r="L73" s="155" t="s">
        <v>322</v>
      </c>
      <c r="M73" s="155" t="s">
        <v>323</v>
      </c>
      <c r="N73" s="155" t="s">
        <v>324</v>
      </c>
      <c r="O73" s="156" t="s">
        <v>325</v>
      </c>
      <c r="P73" s="155" t="s">
        <v>326</v>
      </c>
      <c r="Q73" s="155" t="s">
        <v>2</v>
      </c>
      <c r="R73" s="155" t="s">
        <v>3</v>
      </c>
      <c r="S73" s="155" t="s">
        <v>4</v>
      </c>
      <c r="T73" s="155" t="s">
        <v>5</v>
      </c>
      <c r="U73" s="155" t="s">
        <v>6</v>
      </c>
      <c r="V73" s="155" t="s">
        <v>7</v>
      </c>
      <c r="W73" s="155" t="s">
        <v>8</v>
      </c>
      <c r="X73" s="155" t="s">
        <v>1016</v>
      </c>
      <c r="Y73" s="155" t="s">
        <v>1017</v>
      </c>
      <c r="Z73" s="155" t="s">
        <v>1018</v>
      </c>
      <c r="AA73" s="155" t="s">
        <v>1074</v>
      </c>
      <c r="AB73" s="155" t="s">
        <v>1075</v>
      </c>
      <c r="AC73" s="155" t="s">
        <v>1076</v>
      </c>
      <c r="AD73" s="155" t="s">
        <v>1077</v>
      </c>
      <c r="AE73" s="155" t="s">
        <v>1078</v>
      </c>
      <c r="AF73" s="155" t="s">
        <v>1079</v>
      </c>
      <c r="AG73" s="155" t="s">
        <v>1080</v>
      </c>
      <c r="AH73" s="155" t="s">
        <v>1081</v>
      </c>
      <c r="AI73" s="155" t="s">
        <v>1082</v>
      </c>
      <c r="AJ73" s="155" t="s">
        <v>1083</v>
      </c>
      <c r="AK73" s="157" t="s">
        <v>1084</v>
      </c>
    </row>
    <row r="74" spans="1:66" ht="15.75" x14ac:dyDescent="0.3">
      <c r="A74" s="150">
        <v>69</v>
      </c>
      <c r="B74" s="10" t="s">
        <v>679</v>
      </c>
      <c r="C74" s="236">
        <v>6137.2645885010606</v>
      </c>
      <c r="D74" s="233"/>
      <c r="E74" s="232">
        <f t="shared" si="30"/>
        <v>0</v>
      </c>
      <c r="G74" s="10" t="s">
        <v>1571</v>
      </c>
      <c r="H74" s="151">
        <f>IF(ISNUMBER(V49),V49/SUM($K$43:$AK$71),0)</f>
        <v>2.6910754358782257E-3</v>
      </c>
      <c r="J74" s="158" t="s">
        <v>1011</v>
      </c>
      <c r="K74" s="50" t="str">
        <f t="shared" ref="K74:Z89" si="31">IF(ISNUMBER(IF(ISNUMBER(K138),IF(AND(1000000*K106&gt;$L$2,1000000*K138&gt;$L$2),K138,""),"")/IF(ISNUMBER(K106),IF(AND(1000000*K106&gt;$L$2,1000000*K138&gt;$L$2),K106,""),"")),100*K138/K106,"")</f>
        <v/>
      </c>
      <c r="L74" s="1">
        <f t="shared" si="31"/>
        <v>12.121674251740348</v>
      </c>
      <c r="M74" s="1">
        <f t="shared" si="31"/>
        <v>274.95284708429159</v>
      </c>
      <c r="N74" s="1">
        <f t="shared" si="31"/>
        <v>1212.7155923422324</v>
      </c>
      <c r="O74" s="29">
        <f t="shared" si="31"/>
        <v>203.81354357794706</v>
      </c>
      <c r="P74" s="1">
        <f t="shared" si="31"/>
        <v>87.909562758955801</v>
      </c>
      <c r="Q74" s="145">
        <f t="shared" si="31"/>
        <v>31.92470265344862</v>
      </c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66" ht="15.75" x14ac:dyDescent="0.3">
      <c r="A75" s="150">
        <v>70</v>
      </c>
      <c r="B75" s="10" t="s">
        <v>680</v>
      </c>
      <c r="C75" s="236">
        <v>6621.4594635886024</v>
      </c>
      <c r="D75" s="233"/>
      <c r="E75" s="232">
        <f t="shared" si="30"/>
        <v>0</v>
      </c>
      <c r="G75" s="10" t="s">
        <v>1572</v>
      </c>
      <c r="H75" s="151">
        <f>IF(ISNUMBER(W49),W49/SUM($K$43:$AK$71),0)</f>
        <v>1.0921573166760375E-4</v>
      </c>
      <c r="J75" s="159" t="s">
        <v>321</v>
      </c>
      <c r="K75" s="32">
        <f t="shared" si="31"/>
        <v>2443.7812865322817</v>
      </c>
      <c r="L75" s="15">
        <f t="shared" si="31"/>
        <v>1.7500502610223532</v>
      </c>
      <c r="M75" s="15">
        <f t="shared" si="31"/>
        <v>41.848334176133008</v>
      </c>
      <c r="N75" s="15">
        <f t="shared" si="31"/>
        <v>85.483082689060709</v>
      </c>
      <c r="O75" s="15">
        <f t="shared" si="31"/>
        <v>66.049167063349685</v>
      </c>
      <c r="P75" s="30">
        <f t="shared" si="31"/>
        <v>33.184609807649487</v>
      </c>
      <c r="Q75" s="31">
        <f t="shared" si="31"/>
        <v>209.20263744707313</v>
      </c>
      <c r="R75" s="144">
        <f t="shared" si="31"/>
        <v>321.93078482712713</v>
      </c>
      <c r="S75" s="1"/>
      <c r="T75" s="1"/>
      <c r="U75" s="1"/>
      <c r="V75" s="1"/>
      <c r="W75" s="1"/>
      <c r="X75" s="1"/>
      <c r="Y75" s="1"/>
      <c r="Z75" s="3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66" ht="15.75" x14ac:dyDescent="0.3">
      <c r="A76" s="150">
        <v>71</v>
      </c>
      <c r="B76" s="10" t="s">
        <v>61</v>
      </c>
      <c r="C76" s="236">
        <v>38541053.950622074</v>
      </c>
      <c r="D76" s="233"/>
      <c r="E76" s="232">
        <f t="shared" si="30"/>
        <v>0</v>
      </c>
      <c r="G76" s="10" t="s">
        <v>502</v>
      </c>
      <c r="H76" s="151">
        <f>IF(ISNUMBER(K50),K50/SUM($K$43:$AK$71),0)</f>
        <v>0</v>
      </c>
      <c r="J76" s="160" t="s">
        <v>10</v>
      </c>
      <c r="K76" s="37">
        <f t="shared" si="31"/>
        <v>6650.9951589067077</v>
      </c>
      <c r="L76" s="1">
        <f t="shared" si="31"/>
        <v>81.306901513999236</v>
      </c>
      <c r="M76" s="1">
        <f t="shared" si="31"/>
        <v>96.737090869425629</v>
      </c>
      <c r="N76" s="1">
        <f t="shared" si="31"/>
        <v>89.80852103284802</v>
      </c>
      <c r="O76" s="1">
        <f t="shared" si="31"/>
        <v>76.834955848997254</v>
      </c>
      <c r="P76" s="1">
        <f t="shared" si="31"/>
        <v>85.218849304589213</v>
      </c>
      <c r="Q76" s="29">
        <f t="shared" si="31"/>
        <v>95.430731984953496</v>
      </c>
      <c r="R76" s="1">
        <f t="shared" si="31"/>
        <v>93.420734172316543</v>
      </c>
      <c r="S76" s="144">
        <f t="shared" si="31"/>
        <v>98.742237235908874</v>
      </c>
      <c r="T76" s="1"/>
      <c r="U76" s="1"/>
      <c r="V76" s="1"/>
      <c r="W76" s="1"/>
      <c r="X76" s="1"/>
      <c r="Y76" s="1"/>
      <c r="Z76" s="3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66" ht="15.75" x14ac:dyDescent="0.3">
      <c r="A77" s="150">
        <v>72</v>
      </c>
      <c r="B77" s="10" t="s">
        <v>62</v>
      </c>
      <c r="C77" s="236">
        <v>30737708.554976702</v>
      </c>
      <c r="D77" s="233"/>
      <c r="E77" s="232">
        <f t="shared" si="30"/>
        <v>0</v>
      </c>
      <c r="G77" s="10" t="s">
        <v>383</v>
      </c>
      <c r="H77" s="151">
        <f>IF(ISNUMBER(L50),L50/SUM($K$43:$AK$71),0)</f>
        <v>1.7833127547318871E-5</v>
      </c>
      <c r="J77" s="160" t="s">
        <v>11</v>
      </c>
      <c r="K77" s="37">
        <f t="shared" si="31"/>
        <v>1265.0991591324819</v>
      </c>
      <c r="L77" s="1">
        <f t="shared" si="31"/>
        <v>80.202305220725165</v>
      </c>
      <c r="M77" s="1">
        <f t="shared" si="31"/>
        <v>95.925263228764479</v>
      </c>
      <c r="N77" s="1">
        <f t="shared" si="31"/>
        <v>90.207129998833992</v>
      </c>
      <c r="O77" s="1">
        <f t="shared" si="31"/>
        <v>77.291621477108393</v>
      </c>
      <c r="P77" s="1">
        <f t="shared" si="31"/>
        <v>85.158708073644206</v>
      </c>
      <c r="Q77" s="1">
        <f t="shared" si="31"/>
        <v>96.094766628478226</v>
      </c>
      <c r="R77" s="29">
        <f t="shared" si="31"/>
        <v>92.654941664613943</v>
      </c>
      <c r="S77" s="1">
        <f t="shared" si="31"/>
        <v>85.083651008279588</v>
      </c>
      <c r="T77" s="144">
        <f t="shared" si="31"/>
        <v>87.415750206372991</v>
      </c>
      <c r="U77" s="1"/>
      <c r="V77" s="1"/>
      <c r="W77" s="1"/>
      <c r="X77" s="1"/>
      <c r="Y77" s="1"/>
      <c r="Z77" s="3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66" ht="15.75" x14ac:dyDescent="0.3">
      <c r="A78" s="150">
        <v>73</v>
      </c>
      <c r="B78" s="10" t="s">
        <v>63</v>
      </c>
      <c r="C78" s="236">
        <v>321448281.86923426</v>
      </c>
      <c r="D78" s="233"/>
      <c r="E78" s="232">
        <v>0.8</v>
      </c>
      <c r="G78" s="10" t="s">
        <v>384</v>
      </c>
      <c r="H78" s="151">
        <f>IF(ISNUMBER(M50),M50/SUM($K$43:$AK$71),0)</f>
        <v>8.0791332078504593E-6</v>
      </c>
      <c r="J78" s="160" t="s">
        <v>12</v>
      </c>
      <c r="K78" s="37">
        <f t="shared" si="31"/>
        <v>107.8894248097881</v>
      </c>
      <c r="L78" s="1">
        <f t="shared" si="31"/>
        <v>79.75316034262363</v>
      </c>
      <c r="M78" s="1">
        <f t="shared" si="31"/>
        <v>95.810802942152279</v>
      </c>
      <c r="N78" s="1">
        <f t="shared" si="31"/>
        <v>89.453933735464048</v>
      </c>
      <c r="O78" s="1">
        <f t="shared" si="31"/>
        <v>78.203048331471777</v>
      </c>
      <c r="P78" s="1">
        <f t="shared" si="31"/>
        <v>85.063555661353107</v>
      </c>
      <c r="Q78" s="1">
        <f t="shared" si="31"/>
        <v>96.438663473616103</v>
      </c>
      <c r="R78" s="1">
        <f t="shared" si="31"/>
        <v>93.474725161669298</v>
      </c>
      <c r="S78" s="29">
        <f t="shared" si="31"/>
        <v>85.327433054016126</v>
      </c>
      <c r="T78" s="1">
        <f t="shared" si="31"/>
        <v>87.540713575898565</v>
      </c>
      <c r="U78" s="144">
        <f t="shared" si="31"/>
        <v>100.53197670148856</v>
      </c>
      <c r="V78" s="1"/>
      <c r="W78" s="1"/>
      <c r="X78" s="1"/>
      <c r="Y78" s="1"/>
      <c r="Z78" s="3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66" ht="15.75" x14ac:dyDescent="0.3">
      <c r="A79" s="150">
        <v>74</v>
      </c>
      <c r="B79" s="10" t="s">
        <v>64</v>
      </c>
      <c r="C79" s="236">
        <v>307982179.90266627</v>
      </c>
      <c r="D79" s="233"/>
      <c r="E79" s="232">
        <v>0.8</v>
      </c>
      <c r="G79" s="10" t="s">
        <v>385</v>
      </c>
      <c r="H79" s="151">
        <f>IF(ISNUMBER(N50),N50/SUM($K$43:$AK$71),0)</f>
        <v>7.7131499162999489E-6</v>
      </c>
      <c r="J79" s="159" t="s">
        <v>13</v>
      </c>
      <c r="K79" s="32">
        <f t="shared" si="31"/>
        <v>190.02154159804505</v>
      </c>
      <c r="L79" s="15">
        <f t="shared" si="31"/>
        <v>75.092225359182933</v>
      </c>
      <c r="M79" s="15">
        <f t="shared" si="31"/>
        <v>96.743093396142655</v>
      </c>
      <c r="N79" s="15">
        <f t="shared" si="31"/>
        <v>88.466560401183258</v>
      </c>
      <c r="O79" s="15">
        <f t="shared" si="31"/>
        <v>77.152148501808085</v>
      </c>
      <c r="P79" s="15">
        <f t="shared" si="31"/>
        <v>85.728073886370254</v>
      </c>
      <c r="Q79" s="15">
        <f t="shared" si="31"/>
        <v>97.440395773659986</v>
      </c>
      <c r="R79" s="15">
        <f t="shared" si="31"/>
        <v>92.936520200420887</v>
      </c>
      <c r="S79" s="15">
        <f t="shared" si="31"/>
        <v>85.17099397048716</v>
      </c>
      <c r="T79" s="30">
        <f t="shared" si="31"/>
        <v>87.604397900061613</v>
      </c>
      <c r="U79" s="1">
        <f t="shared" si="31"/>
        <v>95.741432754113944</v>
      </c>
      <c r="V79" s="144">
        <f t="shared" si="31"/>
        <v>97.043596834554307</v>
      </c>
      <c r="W79" s="1"/>
      <c r="X79" s="31"/>
      <c r="Y79" s="31"/>
      <c r="Z79" s="3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66" ht="15.75" x14ac:dyDescent="0.3">
      <c r="A80" s="150">
        <v>75</v>
      </c>
      <c r="B80" s="10" t="s">
        <v>65</v>
      </c>
      <c r="C80" s="236">
        <v>636783725.84428775</v>
      </c>
      <c r="D80" s="233"/>
      <c r="E80" s="232">
        <v>0.8</v>
      </c>
      <c r="G80" s="10" t="s">
        <v>386</v>
      </c>
      <c r="H80" s="151">
        <f>IF(ISNUMBER(O50),O50/SUM($K$43:$AK$71),0)</f>
        <v>3.5660317335743512E-5</v>
      </c>
      <c r="J80" s="160" t="s">
        <v>14</v>
      </c>
      <c r="K80" s="37">
        <f t="shared" si="31"/>
        <v>39.220129288001324</v>
      </c>
      <c r="L80" s="1">
        <f t="shared" si="31"/>
        <v>72.805094890950201</v>
      </c>
      <c r="M80" s="1">
        <f t="shared" si="31"/>
        <v>91.843363050357709</v>
      </c>
      <c r="N80" s="1">
        <f t="shared" si="31"/>
        <v>85.923568157745507</v>
      </c>
      <c r="O80" s="1">
        <f t="shared" si="31"/>
        <v>72.973686421878313</v>
      </c>
      <c r="P80" s="1">
        <f t="shared" si="31"/>
        <v>86.326904104609412</v>
      </c>
      <c r="Q80" s="1">
        <f t="shared" si="31"/>
        <v>100.20389685491484</v>
      </c>
      <c r="R80" s="1">
        <f t="shared" si="31"/>
        <v>92.380349808049573</v>
      </c>
      <c r="S80" s="1">
        <f t="shared" si="31"/>
        <v>84.869001187250149</v>
      </c>
      <c r="T80" s="1">
        <f t="shared" si="31"/>
        <v>87.628624602708797</v>
      </c>
      <c r="U80" s="29">
        <f t="shared" si="31"/>
        <v>95.045299621828832</v>
      </c>
      <c r="V80" s="1">
        <f t="shared" si="31"/>
        <v>96.434973168392929</v>
      </c>
      <c r="W80" s="144">
        <f t="shared" si="31"/>
        <v>84.735953071700891</v>
      </c>
      <c r="X80" s="31"/>
      <c r="Y80" s="31"/>
      <c r="Z80" s="3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1:37" ht="15.75" x14ac:dyDescent="0.3">
      <c r="A81" s="150">
        <v>76</v>
      </c>
      <c r="B81" s="10" t="s">
        <v>66</v>
      </c>
      <c r="C81" s="236">
        <v>569628092.15496826</v>
      </c>
      <c r="D81" s="233"/>
      <c r="E81" s="232">
        <v>0.5</v>
      </c>
      <c r="G81" s="10" t="s">
        <v>387</v>
      </c>
      <c r="H81" s="151">
        <f>IF(ISNUMBER(P50),P50/SUM($K$43:$AK$71),0)</f>
        <v>6.2505744100785693E-5</v>
      </c>
      <c r="J81" s="160" t="s">
        <v>15</v>
      </c>
      <c r="K81" s="37">
        <f t="shared" si="31"/>
        <v>40.593885021420277</v>
      </c>
      <c r="L81" s="1">
        <f t="shared" si="31"/>
        <v>71.487611129903826</v>
      </c>
      <c r="M81" s="1">
        <f t="shared" si="31"/>
        <v>90.070451304840503</v>
      </c>
      <c r="N81" s="1">
        <f t="shared" si="31"/>
        <v>95.950054332017018</v>
      </c>
      <c r="O81" s="1">
        <f t="shared" si="31"/>
        <v>68.660311331319861</v>
      </c>
      <c r="P81" s="1">
        <f t="shared" si="31"/>
        <v>70.483651440523261</v>
      </c>
      <c r="Q81" s="1">
        <f t="shared" si="31"/>
        <v>88.337544098811875</v>
      </c>
      <c r="R81" s="1">
        <f t="shared" si="31"/>
        <v>73.278571116640862</v>
      </c>
      <c r="S81" s="1">
        <f t="shared" si="31"/>
        <v>81.933898746070653</v>
      </c>
      <c r="T81" s="1">
        <f t="shared" si="31"/>
        <v>86.857443195571662</v>
      </c>
      <c r="U81" s="1">
        <f t="shared" si="31"/>
        <v>96.286705138363502</v>
      </c>
      <c r="V81" s="29">
        <f t="shared" si="31"/>
        <v>96.416685007326777</v>
      </c>
      <c r="W81" s="1">
        <f t="shared" si="31"/>
        <v>107.34225394095971</v>
      </c>
      <c r="X81" s="144">
        <f t="shared" si="31"/>
        <v>30.695187192535656</v>
      </c>
      <c r="Y81" s="31"/>
      <c r="Z81" s="3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1:37" ht="15.75" x14ac:dyDescent="0.3">
      <c r="A82" s="150">
        <v>77</v>
      </c>
      <c r="B82" s="10" t="s">
        <v>67</v>
      </c>
      <c r="C82" s="236">
        <v>465956305.10388172</v>
      </c>
      <c r="D82" s="233"/>
      <c r="E82" s="232">
        <f t="shared" si="30"/>
        <v>0</v>
      </c>
      <c r="G82" s="10" t="s">
        <v>388</v>
      </c>
      <c r="H82" s="151">
        <f>IF(ISNUMBER(Q50),Q50/SUM($K$43:$AK$71),0)</f>
        <v>1.3218705275657921E-5</v>
      </c>
      <c r="J82" s="160" t="s">
        <v>16</v>
      </c>
      <c r="K82" s="37">
        <f t="shared" si="31"/>
        <v>2.1391561424175234</v>
      </c>
      <c r="L82" s="1">
        <f t="shared" si="31"/>
        <v>143.02370851181311</v>
      </c>
      <c r="M82" s="1">
        <f t="shared" si="31"/>
        <v>286.04214727518143</v>
      </c>
      <c r="N82" s="1">
        <f t="shared" si="31"/>
        <v>96.877292615534088</v>
      </c>
      <c r="O82" s="1">
        <f t="shared" si="31"/>
        <v>82.266977339619459</v>
      </c>
      <c r="P82" s="1">
        <f t="shared" si="31"/>
        <v>130.37237735530394</v>
      </c>
      <c r="Q82" s="1">
        <f t="shared" si="31"/>
        <v>23.17338740305922</v>
      </c>
      <c r="R82" s="1">
        <f t="shared" si="31"/>
        <v>78.267857697239364</v>
      </c>
      <c r="S82" s="1">
        <f t="shared" si="31"/>
        <v>183.4486834233781</v>
      </c>
      <c r="T82" s="1">
        <f t="shared" si="31"/>
        <v>146.40450355908558</v>
      </c>
      <c r="U82" s="1">
        <f t="shared" si="31"/>
        <v>107.29868757966389</v>
      </c>
      <c r="V82" s="1">
        <f t="shared" si="31"/>
        <v>146.38940344482654</v>
      </c>
      <c r="W82" s="29">
        <f t="shared" si="31"/>
        <v>245.57753073617238</v>
      </c>
      <c r="X82" s="31">
        <f t="shared" si="31"/>
        <v>25.890660173413362</v>
      </c>
      <c r="Y82" s="144">
        <f t="shared" si="31"/>
        <v>8.6277620412244076</v>
      </c>
      <c r="Z82" s="3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1:37" ht="15.75" x14ac:dyDescent="0.3">
      <c r="A83" s="150">
        <v>78</v>
      </c>
      <c r="B83" s="10" t="s">
        <v>68</v>
      </c>
      <c r="C83" s="236">
        <v>364392034.48392874</v>
      </c>
      <c r="D83" s="233"/>
      <c r="E83" s="232">
        <f t="shared" si="30"/>
        <v>0</v>
      </c>
      <c r="G83" s="10" t="s">
        <v>389</v>
      </c>
      <c r="H83" s="151">
        <f>IF(ISNUMBER(R50),R50/SUM($K$43:$AK$71),0)</f>
        <v>0</v>
      </c>
      <c r="J83" s="159" t="s">
        <v>17</v>
      </c>
      <c r="K83" s="32">
        <f t="shared" si="31"/>
        <v>95.997786164763468</v>
      </c>
      <c r="L83" s="15">
        <f t="shared" si="31"/>
        <v>5.9959812764971785</v>
      </c>
      <c r="M83" s="15">
        <f t="shared" si="31"/>
        <v>215.69644682438326</v>
      </c>
      <c r="N83" s="15">
        <f t="shared" si="31"/>
        <v>191.68233007651989</v>
      </c>
      <c r="O83" s="15">
        <f t="shared" si="31"/>
        <v>10.753207459447191</v>
      </c>
      <c r="P83" s="15">
        <f t="shared" si="31"/>
        <v>44.448132490071949</v>
      </c>
      <c r="Q83" s="15">
        <f t="shared" si="31"/>
        <v>2242.1870692461216</v>
      </c>
      <c r="R83" s="15" t="str">
        <f t="shared" si="31"/>
        <v/>
      </c>
      <c r="S83" s="15">
        <f t="shared" si="31"/>
        <v>60.418839750522281</v>
      </c>
      <c r="T83" s="15">
        <f t="shared" si="31"/>
        <v>1.6104013774475412</v>
      </c>
      <c r="U83" s="15">
        <f t="shared" si="31"/>
        <v>31.032783855550534</v>
      </c>
      <c r="V83" s="15">
        <f t="shared" si="31"/>
        <v>22.697395531701272</v>
      </c>
      <c r="W83" s="15">
        <f t="shared" si="31"/>
        <v>45.358056026420556</v>
      </c>
      <c r="X83" s="30">
        <f t="shared" si="31"/>
        <v>6.1478865480908587</v>
      </c>
      <c r="Y83" s="31">
        <f t="shared" si="31"/>
        <v>63.226810083699306</v>
      </c>
      <c r="Z83" s="144">
        <f t="shared" si="31"/>
        <v>83.902382739073602</v>
      </c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1:37" ht="15.75" x14ac:dyDescent="0.3">
      <c r="A84" s="150">
        <v>79</v>
      </c>
      <c r="B84" s="10" t="s">
        <v>69</v>
      </c>
      <c r="C84" s="236">
        <v>219536137.70576501</v>
      </c>
      <c r="D84" s="233"/>
      <c r="E84" s="232">
        <f t="shared" si="30"/>
        <v>0</v>
      </c>
      <c r="G84" s="10" t="s">
        <v>390</v>
      </c>
      <c r="H84" s="151">
        <f>IF(ISNUMBER(S50),S50/SUM($K$43:$AK$71),0)</f>
        <v>7.2448670275565888E-4</v>
      </c>
      <c r="J84" s="160" t="s">
        <v>9</v>
      </c>
      <c r="K84" s="37" t="str">
        <f t="shared" si="31"/>
        <v/>
      </c>
      <c r="L84" s="1">
        <f t="shared" si="31"/>
        <v>21.16189066897438</v>
      </c>
      <c r="M84" s="1">
        <f t="shared" si="31"/>
        <v>6980.0985939458724</v>
      </c>
      <c r="N84" s="1">
        <f t="shared" si="31"/>
        <v>27.411982728578415</v>
      </c>
      <c r="O84" s="1" t="str">
        <f t="shared" si="31"/>
        <v/>
      </c>
      <c r="P84" s="1">
        <f t="shared" si="31"/>
        <v>330.38520722553227</v>
      </c>
      <c r="Q84" s="1">
        <f t="shared" si="31"/>
        <v>171.6080132341917</v>
      </c>
      <c r="R84" s="1" t="str">
        <f t="shared" si="31"/>
        <v/>
      </c>
      <c r="S84" s="1" t="str">
        <f t="shared" si="31"/>
        <v/>
      </c>
      <c r="T84" s="1">
        <f t="shared" si="31"/>
        <v>130.38163360093077</v>
      </c>
      <c r="U84" s="1">
        <f t="shared" si="31"/>
        <v>100.21861423564802</v>
      </c>
      <c r="V84" s="1">
        <f t="shared" si="31"/>
        <v>96.485963011819422</v>
      </c>
      <c r="W84" s="1">
        <f t="shared" si="31"/>
        <v>80.190415931436831</v>
      </c>
      <c r="X84" s="1">
        <f t="shared" si="31"/>
        <v>83.911521672247915</v>
      </c>
      <c r="Y84" s="29">
        <f t="shared" si="31"/>
        <v>82.279710019234642</v>
      </c>
      <c r="Z84" s="31" t="str">
        <f t="shared" si="31"/>
        <v/>
      </c>
      <c r="AA84" s="144">
        <f t="shared" ref="AA84:AK99" si="32">IF(ISNUMBER(IF(ISNUMBER(AA148),IF(AND(1000000*AA116&gt;$L$2,1000000*AA148&gt;$L$2),AA148,""),"")/IF(ISNUMBER(AA116),IF(AND(1000000*AA116&gt;$L$2,1000000*AA148&gt;$L$2),AA116,""),"")),100*AA148/AA116,"")</f>
        <v>165.48273883777847</v>
      </c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1:37" ht="15.75" x14ac:dyDescent="0.3">
      <c r="A85" s="150">
        <v>80</v>
      </c>
      <c r="B85" s="10" t="s">
        <v>70</v>
      </c>
      <c r="C85" s="236">
        <v>186745244.69412825</v>
      </c>
      <c r="D85" s="233"/>
      <c r="E85" s="232">
        <f t="shared" si="30"/>
        <v>0</v>
      </c>
      <c r="G85" s="10" t="s">
        <v>503</v>
      </c>
      <c r="H85" s="151">
        <f>IF(ISNUMBER(T50),T50/SUM($K$43:$AK$71),0)</f>
        <v>1.4778559262408606E-3</v>
      </c>
      <c r="J85" s="160" t="s">
        <v>18</v>
      </c>
      <c r="K85" s="37">
        <f t="shared" si="31"/>
        <v>34.614903595334319</v>
      </c>
      <c r="L85" s="1">
        <f t="shared" si="31"/>
        <v>74.479447152178153</v>
      </c>
      <c r="M85" s="1">
        <f t="shared" si="31"/>
        <v>97.28963703078692</v>
      </c>
      <c r="N85" s="1">
        <f t="shared" si="31"/>
        <v>80.911028642091082</v>
      </c>
      <c r="O85" s="1">
        <f t="shared" si="31"/>
        <v>55.249428613652356</v>
      </c>
      <c r="P85" s="1">
        <f t="shared" si="31"/>
        <v>28.582771240419181</v>
      </c>
      <c r="Q85" s="1" t="str">
        <f t="shared" si="31"/>
        <v/>
      </c>
      <c r="R85" s="1">
        <f t="shared" si="31"/>
        <v>29.053263242855675</v>
      </c>
      <c r="S85" s="1" t="str">
        <f t="shared" si="31"/>
        <v/>
      </c>
      <c r="T85" s="1">
        <f t="shared" si="31"/>
        <v>115.314017379414</v>
      </c>
      <c r="U85" s="1">
        <f t="shared" si="31"/>
        <v>89.623014406163875</v>
      </c>
      <c r="V85" s="1">
        <f t="shared" si="31"/>
        <v>94.35942195289509</v>
      </c>
      <c r="W85" s="1">
        <f t="shared" si="31"/>
        <v>88.78581592657909</v>
      </c>
      <c r="X85" s="1">
        <f t="shared" si="31"/>
        <v>90.168777742793338</v>
      </c>
      <c r="Y85" s="1">
        <f t="shared" si="31"/>
        <v>94.248679567500616</v>
      </c>
      <c r="Z85" s="29">
        <f t="shared" si="31"/>
        <v>96.463225296576837</v>
      </c>
      <c r="AA85" s="1">
        <f t="shared" si="32"/>
        <v>32.888929325853368</v>
      </c>
      <c r="AB85" s="144">
        <f t="shared" si="32"/>
        <v>48.351541285383448</v>
      </c>
      <c r="AC85" s="1"/>
      <c r="AD85" s="1"/>
      <c r="AE85" s="1"/>
      <c r="AF85" s="1"/>
      <c r="AG85" s="1"/>
      <c r="AH85" s="1"/>
      <c r="AI85" s="1"/>
      <c r="AJ85" s="1"/>
      <c r="AK85" s="1"/>
    </row>
    <row r="86" spans="1:37" ht="15.75" x14ac:dyDescent="0.3">
      <c r="A86" s="150">
        <v>81</v>
      </c>
      <c r="B86" s="10" t="s">
        <v>71</v>
      </c>
      <c r="C86" s="236">
        <v>394984083.81744373</v>
      </c>
      <c r="D86" s="233"/>
      <c r="E86" s="232">
        <f t="shared" si="30"/>
        <v>0</v>
      </c>
      <c r="G86" s="10" t="s">
        <v>504</v>
      </c>
      <c r="H86" s="151">
        <f>IF(ISNUMBER(U50),U50/SUM($K$43:$AK$71),0)</f>
        <v>1.214325567472955E-3</v>
      </c>
      <c r="J86" s="160" t="s">
        <v>19</v>
      </c>
      <c r="K86" s="37">
        <f t="shared" si="31"/>
        <v>54.133351215547918</v>
      </c>
      <c r="L86" s="1">
        <f t="shared" si="31"/>
        <v>78.097782067696059</v>
      </c>
      <c r="M86" s="1">
        <f t="shared" si="31"/>
        <v>94.546888063905982</v>
      </c>
      <c r="N86" s="1">
        <f t="shared" si="31"/>
        <v>88.677968249366785</v>
      </c>
      <c r="O86" s="1">
        <f t="shared" si="31"/>
        <v>73.010415584072362</v>
      </c>
      <c r="P86" s="1">
        <f t="shared" si="31"/>
        <v>91.670003616431586</v>
      </c>
      <c r="Q86" s="1">
        <f t="shared" si="31"/>
        <v>48.388995075217601</v>
      </c>
      <c r="R86" s="1" t="str">
        <f t="shared" si="31"/>
        <v/>
      </c>
      <c r="S86" s="1" t="str">
        <f t="shared" si="31"/>
        <v/>
      </c>
      <c r="T86" s="1" t="str">
        <f t="shared" si="31"/>
        <v/>
      </c>
      <c r="U86" s="1">
        <f t="shared" si="31"/>
        <v>56.596734036853427</v>
      </c>
      <c r="V86" s="1">
        <f t="shared" si="31"/>
        <v>96.436910026722643</v>
      </c>
      <c r="W86" s="1">
        <f t="shared" si="31"/>
        <v>89.063780651883832</v>
      </c>
      <c r="X86" s="1">
        <f t="shared" si="31"/>
        <v>88.012767022138931</v>
      </c>
      <c r="Y86" s="1">
        <f t="shared" si="31"/>
        <v>94.925037759838531</v>
      </c>
      <c r="Z86" s="31">
        <f t="shared" si="31"/>
        <v>94.80769314821994</v>
      </c>
      <c r="AA86" s="29">
        <f t="shared" si="32"/>
        <v>80.163418702254233</v>
      </c>
      <c r="AB86" s="1">
        <f t="shared" si="32"/>
        <v>92.502398868228767</v>
      </c>
      <c r="AC86" s="144">
        <f t="shared" si="32"/>
        <v>232.04314492336101</v>
      </c>
      <c r="AD86" s="1"/>
      <c r="AE86" s="1"/>
      <c r="AF86" s="1"/>
      <c r="AG86" s="1"/>
      <c r="AH86" s="1"/>
      <c r="AI86" s="1"/>
      <c r="AJ86" s="1"/>
      <c r="AK86" s="1"/>
    </row>
    <row r="87" spans="1:37" ht="15.75" x14ac:dyDescent="0.3">
      <c r="A87" s="150">
        <v>82</v>
      </c>
      <c r="B87" s="10" t="s">
        <v>72</v>
      </c>
      <c r="C87" s="236">
        <v>380917371.36705029</v>
      </c>
      <c r="D87" s="233"/>
      <c r="E87" s="232">
        <f t="shared" si="30"/>
        <v>0</v>
      </c>
      <c r="G87" s="10" t="s">
        <v>505</v>
      </c>
      <c r="H87" s="151">
        <f>IF(ISNUMBER(V50),V50/SUM($K$43:$AK$71),0)</f>
        <v>3.7726851243278088E-4</v>
      </c>
      <c r="J87" s="160" t="s">
        <v>20</v>
      </c>
      <c r="K87" s="37">
        <f t="shared" si="31"/>
        <v>60.826414388333887</v>
      </c>
      <c r="L87" s="1">
        <f t="shared" si="31"/>
        <v>79.854423583370561</v>
      </c>
      <c r="M87" s="1">
        <f t="shared" si="31"/>
        <v>96.866847822378119</v>
      </c>
      <c r="N87" s="1">
        <f t="shared" si="31"/>
        <v>88.275320621136743</v>
      </c>
      <c r="O87" s="1">
        <f t="shared" si="31"/>
        <v>77.933079948480014</v>
      </c>
      <c r="P87" s="1">
        <f t="shared" si="31"/>
        <v>84.01037234270261</v>
      </c>
      <c r="Q87" s="1">
        <f t="shared" si="31"/>
        <v>98.787298064156133</v>
      </c>
      <c r="R87" s="1">
        <f t="shared" si="31"/>
        <v>270.32486108018134</v>
      </c>
      <c r="S87" s="1">
        <f t="shared" si="31"/>
        <v>34.704016844072413</v>
      </c>
      <c r="T87" s="31">
        <f t="shared" si="31"/>
        <v>410.28260235276332</v>
      </c>
      <c r="U87" s="31">
        <f t="shared" si="31"/>
        <v>52.978859398401504</v>
      </c>
      <c r="V87" s="31">
        <f t="shared" si="31"/>
        <v>94.217818195692104</v>
      </c>
      <c r="W87" s="31">
        <f t="shared" si="31"/>
        <v>88.566159556866651</v>
      </c>
      <c r="X87" s="31">
        <f t="shared" si="31"/>
        <v>89.471352579462689</v>
      </c>
      <c r="Y87" s="31">
        <f t="shared" si="31"/>
        <v>96.652476390120214</v>
      </c>
      <c r="Z87" s="31">
        <f t="shared" si="31"/>
        <v>95.027908600040391</v>
      </c>
      <c r="AA87" s="1">
        <f t="shared" si="32"/>
        <v>91.649551429067174</v>
      </c>
      <c r="AB87" s="29">
        <f t="shared" si="32"/>
        <v>87.964697175955834</v>
      </c>
      <c r="AC87" s="1">
        <f t="shared" si="32"/>
        <v>61.565035926535167</v>
      </c>
      <c r="AD87" s="144">
        <f t="shared" si="32"/>
        <v>186.48126169559032</v>
      </c>
      <c r="AE87" s="1"/>
      <c r="AF87" s="1"/>
      <c r="AG87" s="1"/>
      <c r="AH87" s="1"/>
      <c r="AI87" s="1"/>
      <c r="AJ87" s="1"/>
      <c r="AK87" s="1"/>
    </row>
    <row r="88" spans="1:37" ht="15.75" x14ac:dyDescent="0.3">
      <c r="A88" s="150">
        <v>83</v>
      </c>
      <c r="B88" s="10" t="s">
        <v>73</v>
      </c>
      <c r="C88" s="236">
        <v>644908056.02081299</v>
      </c>
      <c r="D88" s="233"/>
      <c r="E88" s="232">
        <f t="shared" si="30"/>
        <v>0</v>
      </c>
      <c r="G88" s="10" t="s">
        <v>1573</v>
      </c>
      <c r="H88" s="151">
        <f>IF(ISNUMBER(W50),W50/SUM($K$43:$AK$71),0)</f>
        <v>0</v>
      </c>
      <c r="J88" s="160" t="s">
        <v>21</v>
      </c>
      <c r="K88" s="37">
        <f t="shared" si="31"/>
        <v>61.226796961043426</v>
      </c>
      <c r="L88" s="1">
        <f t="shared" si="31"/>
        <v>80.279523000205828</v>
      </c>
      <c r="M88" s="1">
        <f t="shared" si="31"/>
        <v>97.080634816291266</v>
      </c>
      <c r="N88" s="1">
        <f t="shared" si="31"/>
        <v>89.390497490748501</v>
      </c>
      <c r="O88" s="1">
        <f t="shared" si="31"/>
        <v>78.425729836011939</v>
      </c>
      <c r="P88" s="1">
        <f t="shared" si="31"/>
        <v>83.672454374112874</v>
      </c>
      <c r="Q88" s="1">
        <f t="shared" si="31"/>
        <v>90.545776522705992</v>
      </c>
      <c r="R88" s="1">
        <f t="shared" si="31"/>
        <v>75.775582166973905</v>
      </c>
      <c r="S88" s="1">
        <f t="shared" si="31"/>
        <v>105.26599201388835</v>
      </c>
      <c r="T88" s="31">
        <f t="shared" si="31"/>
        <v>83.378680714600122</v>
      </c>
      <c r="U88" s="31">
        <f t="shared" si="31"/>
        <v>151.26331848443016</v>
      </c>
      <c r="V88" s="31">
        <f t="shared" si="31"/>
        <v>102.70977904246003</v>
      </c>
      <c r="W88" s="31">
        <f t="shared" si="31"/>
        <v>85.894464965729654</v>
      </c>
      <c r="X88" s="31">
        <f t="shared" si="31"/>
        <v>89.674705535094034</v>
      </c>
      <c r="Y88" s="31">
        <f t="shared" si="31"/>
        <v>97.798933903504093</v>
      </c>
      <c r="Z88" s="31">
        <f t="shared" si="31"/>
        <v>96.90306364594862</v>
      </c>
      <c r="AA88" s="1">
        <f t="shared" si="32"/>
        <v>90.675829415791796</v>
      </c>
      <c r="AB88" s="1">
        <f t="shared" si="32"/>
        <v>92.789815420499565</v>
      </c>
      <c r="AC88" s="29">
        <f t="shared" si="32"/>
        <v>102.04248053878885</v>
      </c>
      <c r="AD88" s="1">
        <f t="shared" si="32"/>
        <v>55.853999835120234</v>
      </c>
      <c r="AE88" s="144">
        <f t="shared" si="32"/>
        <v>32.063128086541276</v>
      </c>
      <c r="AF88" s="1"/>
      <c r="AG88" s="1"/>
      <c r="AH88" s="1"/>
      <c r="AI88" s="1"/>
      <c r="AJ88" s="1"/>
      <c r="AK88" s="1"/>
    </row>
    <row r="89" spans="1:37" ht="15.75" x14ac:dyDescent="0.3">
      <c r="A89" s="150">
        <v>84</v>
      </c>
      <c r="B89" s="10" t="s">
        <v>74</v>
      </c>
      <c r="C89" s="236">
        <v>602826032.91091919</v>
      </c>
      <c r="D89" s="233"/>
      <c r="E89" s="232">
        <f t="shared" si="30"/>
        <v>0</v>
      </c>
      <c r="G89" s="10" t="s">
        <v>1574</v>
      </c>
      <c r="H89" s="151">
        <f>IF(ISNUMBER(X50),X50/SUM($K$43:$AK$71),0)</f>
        <v>0</v>
      </c>
      <c r="J89" s="160" t="s">
        <v>22</v>
      </c>
      <c r="K89" s="37">
        <f t="shared" si="31"/>
        <v>63.130426445283064</v>
      </c>
      <c r="L89" s="1">
        <f t="shared" si="31"/>
        <v>79.977038891975155</v>
      </c>
      <c r="M89" s="1">
        <f t="shared" si="31"/>
        <v>95.585325135860529</v>
      </c>
      <c r="N89" s="1">
        <f t="shared" si="31"/>
        <v>89.517985629283615</v>
      </c>
      <c r="O89" s="1">
        <f t="shared" si="31"/>
        <v>78.722475873356004</v>
      </c>
      <c r="P89" s="1">
        <f t="shared" si="31"/>
        <v>83.601225532911954</v>
      </c>
      <c r="Q89" s="1">
        <f t="shared" si="31"/>
        <v>92.813277016223594</v>
      </c>
      <c r="R89" s="1">
        <f t="shared" si="31"/>
        <v>95.726641243779767</v>
      </c>
      <c r="S89" s="1">
        <f t="shared" si="31"/>
        <v>63.504614545421333</v>
      </c>
      <c r="T89" s="31">
        <f t="shared" si="31"/>
        <v>362.87790484079488</v>
      </c>
      <c r="U89" s="31">
        <f t="shared" si="31"/>
        <v>38.39613355959267</v>
      </c>
      <c r="V89" s="31">
        <f t="shared" si="31"/>
        <v>11.782170445666752</v>
      </c>
      <c r="W89" s="31">
        <f t="shared" si="31"/>
        <v>120.19934653308948</v>
      </c>
      <c r="X89" s="31">
        <f t="shared" si="31"/>
        <v>91.597908429424422</v>
      </c>
      <c r="Y89" s="31">
        <f t="shared" si="31"/>
        <v>96.372679480204837</v>
      </c>
      <c r="Z89" s="31">
        <f t="shared" si="31"/>
        <v>96.265666576389719</v>
      </c>
      <c r="AA89" s="1">
        <f t="shared" si="32"/>
        <v>91.560674005926131</v>
      </c>
      <c r="AB89" s="1">
        <f t="shared" si="32"/>
        <v>92.056977809842863</v>
      </c>
      <c r="AC89" s="1">
        <f t="shared" si="32"/>
        <v>98.944790475810535</v>
      </c>
      <c r="AD89" s="29">
        <f t="shared" si="32"/>
        <v>93.334796644232085</v>
      </c>
      <c r="AE89" s="1">
        <f t="shared" si="32"/>
        <v>78.724566771082394</v>
      </c>
      <c r="AF89" s="144">
        <f t="shared" si="32"/>
        <v>213.36447600775134</v>
      </c>
      <c r="AG89" s="1"/>
      <c r="AH89" s="1"/>
      <c r="AI89" s="1"/>
      <c r="AJ89" s="1"/>
      <c r="AK89" s="1"/>
    </row>
    <row r="90" spans="1:37" ht="15.75" x14ac:dyDescent="0.3">
      <c r="A90" s="150">
        <v>85</v>
      </c>
      <c r="B90" s="10" t="s">
        <v>75</v>
      </c>
      <c r="C90" s="236">
        <v>416826749.62848675</v>
      </c>
      <c r="D90" s="233"/>
      <c r="E90" s="232">
        <f t="shared" si="30"/>
        <v>0</v>
      </c>
      <c r="G90" s="10" t="s">
        <v>506</v>
      </c>
      <c r="H90" s="151">
        <f>IF(ISNUMBER(K51),K51/SUM($K$43:$AK$71),0)</f>
        <v>0</v>
      </c>
      <c r="J90" s="160" t="s">
        <v>23</v>
      </c>
      <c r="K90" s="37">
        <f t="shared" ref="K90:Z102" si="33">IF(ISNUMBER(IF(ISNUMBER(K154),IF(AND(1000000*K122&gt;$L$2,1000000*K154&gt;$L$2),K154,""),"")/IF(ISNUMBER(K122),IF(AND(1000000*K122&gt;$L$2,1000000*K154&gt;$L$2),K122,""),"")),100*K154/K122,"")</f>
        <v>63.732254006828398</v>
      </c>
      <c r="L90" s="1">
        <f t="shared" si="33"/>
        <v>78.89701276791871</v>
      </c>
      <c r="M90" s="1">
        <f t="shared" si="33"/>
        <v>96.240643784241612</v>
      </c>
      <c r="N90" s="1">
        <f t="shared" si="33"/>
        <v>89.657497099691014</v>
      </c>
      <c r="O90" s="1">
        <f t="shared" si="33"/>
        <v>78.412811900740209</v>
      </c>
      <c r="P90" s="1">
        <f t="shared" si="33"/>
        <v>85.234894072243904</v>
      </c>
      <c r="Q90" s="1">
        <f t="shared" si="33"/>
        <v>95.243124236946514</v>
      </c>
      <c r="R90" s="1">
        <f t="shared" si="33"/>
        <v>89.079437056405226</v>
      </c>
      <c r="S90" s="1">
        <f t="shared" si="33"/>
        <v>54.659601703504507</v>
      </c>
      <c r="T90" s="31">
        <f t="shared" si="33"/>
        <v>40.133926013065498</v>
      </c>
      <c r="U90" s="31">
        <f t="shared" si="33"/>
        <v>42.659531849173788</v>
      </c>
      <c r="V90" s="31">
        <f t="shared" si="33"/>
        <v>1180.8261137560364</v>
      </c>
      <c r="W90" s="31">
        <f t="shared" si="33"/>
        <v>39.264883037933522</v>
      </c>
      <c r="X90" s="31">
        <f t="shared" si="33"/>
        <v>69.27665010633406</v>
      </c>
      <c r="Y90" s="31">
        <f t="shared" si="33"/>
        <v>100.61766810632601</v>
      </c>
      <c r="Z90" s="31">
        <f t="shared" si="33"/>
        <v>94.589857224092668</v>
      </c>
      <c r="AA90" s="1">
        <f t="shared" si="32"/>
        <v>89.051144887480788</v>
      </c>
      <c r="AB90" s="1">
        <f t="shared" si="32"/>
        <v>91.794906338302795</v>
      </c>
      <c r="AC90" s="1">
        <f t="shared" si="32"/>
        <v>99.018453712455027</v>
      </c>
      <c r="AD90" s="1">
        <f t="shared" si="32"/>
        <v>93.628408388629722</v>
      </c>
      <c r="AE90" s="29">
        <f t="shared" si="32"/>
        <v>80.682755526114406</v>
      </c>
      <c r="AF90" s="1">
        <f t="shared" si="32"/>
        <v>109.98262246152136</v>
      </c>
      <c r="AG90" s="144">
        <f t="shared" si="32"/>
        <v>44.42308989325074</v>
      </c>
      <c r="AH90" s="1"/>
      <c r="AI90" s="1"/>
      <c r="AJ90" s="1"/>
      <c r="AK90" s="1"/>
    </row>
    <row r="91" spans="1:37" ht="15.75" x14ac:dyDescent="0.3">
      <c r="A91" s="150">
        <v>86</v>
      </c>
      <c r="B91" s="10" t="s">
        <v>76</v>
      </c>
      <c r="C91" s="236">
        <v>355667565.74047846</v>
      </c>
      <c r="D91" s="233"/>
      <c r="E91" s="232">
        <f t="shared" si="30"/>
        <v>0</v>
      </c>
      <c r="G91" s="10" t="s">
        <v>391</v>
      </c>
      <c r="H91" s="151">
        <f>IF(ISNUMBER(L51),L51/SUM($K$43:$AK$71),0)</f>
        <v>0</v>
      </c>
      <c r="J91" s="160" t="s">
        <v>24</v>
      </c>
      <c r="K91" s="37">
        <f t="shared" si="33"/>
        <v>62.379019837524957</v>
      </c>
      <c r="L91" s="1">
        <f t="shared" si="33"/>
        <v>78.983197006506487</v>
      </c>
      <c r="M91" s="1">
        <f t="shared" si="33"/>
        <v>96.683577442390913</v>
      </c>
      <c r="N91" s="1">
        <f t="shared" si="33"/>
        <v>89.110751731301548</v>
      </c>
      <c r="O91" s="1">
        <f t="shared" si="33"/>
        <v>82.356560064218712</v>
      </c>
      <c r="P91" s="1">
        <f t="shared" si="33"/>
        <v>84.79479215572961</v>
      </c>
      <c r="Q91" s="1">
        <f t="shared" si="33"/>
        <v>94.198788190430349</v>
      </c>
      <c r="R91" s="1">
        <f t="shared" si="33"/>
        <v>97.123333332662313</v>
      </c>
      <c r="S91" s="1">
        <f t="shared" si="33"/>
        <v>41.542638945524132</v>
      </c>
      <c r="T91" s="31">
        <f t="shared" si="33"/>
        <v>73.519774060907977</v>
      </c>
      <c r="U91" s="31">
        <f t="shared" si="33"/>
        <v>98.263132510108989</v>
      </c>
      <c r="V91" s="31">
        <f t="shared" si="33"/>
        <v>721.44623783726342</v>
      </c>
      <c r="W91" s="31" t="str">
        <f t="shared" si="33"/>
        <v/>
      </c>
      <c r="X91" s="31">
        <f t="shared" si="33"/>
        <v>105.66200627528958</v>
      </c>
      <c r="Y91" s="31">
        <f t="shared" si="33"/>
        <v>90.239455098835094</v>
      </c>
      <c r="Z91" s="31">
        <f t="shared" si="33"/>
        <v>97.289697665087274</v>
      </c>
      <c r="AA91" s="1">
        <f t="shared" si="32"/>
        <v>90.503257702078031</v>
      </c>
      <c r="AB91" s="1">
        <f t="shared" si="32"/>
        <v>92.873304799008238</v>
      </c>
      <c r="AC91" s="1">
        <f t="shared" si="32"/>
        <v>98.685167477543175</v>
      </c>
      <c r="AD91" s="1">
        <f t="shared" si="32"/>
        <v>95.519290532848586</v>
      </c>
      <c r="AE91" s="1">
        <f t="shared" si="32"/>
        <v>88.001844459396921</v>
      </c>
      <c r="AF91" s="29">
        <f t="shared" si="32"/>
        <v>107.41334794508838</v>
      </c>
      <c r="AG91" s="1">
        <f t="shared" si="32"/>
        <v>164.12481984016395</v>
      </c>
      <c r="AH91" s="144">
        <f t="shared" si="32"/>
        <v>144.57399946436564</v>
      </c>
      <c r="AI91" s="1"/>
      <c r="AJ91" s="1"/>
      <c r="AK91" s="1"/>
    </row>
    <row r="92" spans="1:37" ht="15.75" x14ac:dyDescent="0.3">
      <c r="A92" s="150">
        <v>87</v>
      </c>
      <c r="B92" s="10" t="s">
        <v>1105</v>
      </c>
      <c r="C92" s="236">
        <v>105225344.49532028</v>
      </c>
      <c r="D92" s="233"/>
      <c r="E92" s="232">
        <f t="shared" si="30"/>
        <v>0</v>
      </c>
      <c r="G92" s="10" t="s">
        <v>392</v>
      </c>
      <c r="H92" s="151">
        <f>IF(ISNUMBER(M51),M51/SUM($K$43:$AK$71),0)</f>
        <v>0</v>
      </c>
      <c r="J92" s="160" t="s">
        <v>330</v>
      </c>
      <c r="K92" s="37">
        <f t="shared" si="33"/>
        <v>63.630372259885782</v>
      </c>
      <c r="L92" s="1">
        <f t="shared" si="33"/>
        <v>79.827524554520451</v>
      </c>
      <c r="M92" s="1">
        <f t="shared" si="33"/>
        <v>95.777838059280597</v>
      </c>
      <c r="N92" s="1">
        <f t="shared" si="33"/>
        <v>89.565408623732537</v>
      </c>
      <c r="O92" s="1">
        <f t="shared" si="33"/>
        <v>78.346008597381214</v>
      </c>
      <c r="P92" s="1">
        <f t="shared" si="33"/>
        <v>84.01363021926943</v>
      </c>
      <c r="Q92" s="1">
        <f t="shared" si="33"/>
        <v>93.754777396993148</v>
      </c>
      <c r="R92" s="1">
        <f t="shared" si="33"/>
        <v>93.511040512765078</v>
      </c>
      <c r="S92" s="1">
        <f t="shared" si="33"/>
        <v>60.752835507205255</v>
      </c>
      <c r="T92" s="31">
        <f t="shared" si="33"/>
        <v>29.768254869846924</v>
      </c>
      <c r="U92" s="31" t="str">
        <f t="shared" si="33"/>
        <v/>
      </c>
      <c r="V92" s="31">
        <f t="shared" si="33"/>
        <v>260.11938027021733</v>
      </c>
      <c r="W92" s="31">
        <f t="shared" si="33"/>
        <v>308.64231846764045</v>
      </c>
      <c r="X92" s="31">
        <f t="shared" si="33"/>
        <v>382.93055812857608</v>
      </c>
      <c r="Y92" s="31">
        <f t="shared" si="33"/>
        <v>281.48796132629161</v>
      </c>
      <c r="Z92" s="31">
        <f t="shared" si="33"/>
        <v>92.072288798136725</v>
      </c>
      <c r="AA92" s="1">
        <f t="shared" si="32"/>
        <v>86.168829222410892</v>
      </c>
      <c r="AB92" s="1">
        <f t="shared" si="32"/>
        <v>93.3057856365063</v>
      </c>
      <c r="AC92" s="1">
        <f t="shared" si="32"/>
        <v>99.293116814889842</v>
      </c>
      <c r="AD92" s="1">
        <f t="shared" si="32"/>
        <v>95.922206226141469</v>
      </c>
      <c r="AE92" s="1">
        <f t="shared" si="32"/>
        <v>89.423301845457544</v>
      </c>
      <c r="AF92" s="1">
        <f t="shared" si="32"/>
        <v>101.53572018974582</v>
      </c>
      <c r="AG92" s="29">
        <f t="shared" si="32"/>
        <v>118.28845585756555</v>
      </c>
      <c r="AH92" s="1">
        <f t="shared" si="32"/>
        <v>73.560312168358735</v>
      </c>
      <c r="AI92" s="144">
        <f t="shared" si="32"/>
        <v>153.88176532782336</v>
      </c>
      <c r="AJ92" s="1"/>
      <c r="AK92" s="1"/>
    </row>
    <row r="93" spans="1:37" ht="15.75" x14ac:dyDescent="0.3">
      <c r="A93" s="150">
        <v>88</v>
      </c>
      <c r="B93" s="10" t="s">
        <v>1106</v>
      </c>
      <c r="C93" s="236">
        <v>92115017.433900878</v>
      </c>
      <c r="D93" s="233"/>
      <c r="E93" s="232">
        <f t="shared" si="30"/>
        <v>0</v>
      </c>
      <c r="G93" s="10" t="s">
        <v>393</v>
      </c>
      <c r="H93" s="151">
        <f>IF(ISNUMBER(N51),N51/SUM($K$43:$AK$71),0)</f>
        <v>1.1860150960429146E-6</v>
      </c>
      <c r="J93" s="160" t="s">
        <v>331</v>
      </c>
      <c r="K93" s="37">
        <f t="shared" si="33"/>
        <v>63.614043133292547</v>
      </c>
      <c r="L93" s="1">
        <f t="shared" si="33"/>
        <v>80.863958484958573</v>
      </c>
      <c r="M93" s="1">
        <f t="shared" si="33"/>
        <v>95.819474199075742</v>
      </c>
      <c r="N93" s="1">
        <f t="shared" si="33"/>
        <v>89.296579473144575</v>
      </c>
      <c r="O93" s="1">
        <f t="shared" si="33"/>
        <v>78.357981577855028</v>
      </c>
      <c r="P93" s="1">
        <f t="shared" si="33"/>
        <v>85.010802632509453</v>
      </c>
      <c r="Q93" s="1">
        <f t="shared" si="33"/>
        <v>95.845024177634002</v>
      </c>
      <c r="R93" s="1">
        <f t="shared" si="33"/>
        <v>100.04422773199475</v>
      </c>
      <c r="S93" s="1">
        <f t="shared" si="33"/>
        <v>71.167027863182142</v>
      </c>
      <c r="T93" s="31">
        <f t="shared" si="33"/>
        <v>184.10430804608291</v>
      </c>
      <c r="U93" s="31">
        <f t="shared" si="33"/>
        <v>77.501203031545074</v>
      </c>
      <c r="V93" s="31">
        <f t="shared" si="33"/>
        <v>64.754112248770838</v>
      </c>
      <c r="W93" s="31">
        <f t="shared" si="33"/>
        <v>389.87536983113574</v>
      </c>
      <c r="X93" s="31">
        <f t="shared" si="33"/>
        <v>108.41348121157756</v>
      </c>
      <c r="Y93" s="31">
        <f t="shared" si="33"/>
        <v>62.511798374291246</v>
      </c>
      <c r="Z93" s="31">
        <f t="shared" si="33"/>
        <v>108.57344598859727</v>
      </c>
      <c r="AA93" s="1">
        <f t="shared" si="32"/>
        <v>75.327497191080823</v>
      </c>
      <c r="AB93" s="1">
        <f t="shared" si="32"/>
        <v>91.038002750330165</v>
      </c>
      <c r="AC93" s="1">
        <f t="shared" si="32"/>
        <v>98.931867909668966</v>
      </c>
      <c r="AD93" s="1">
        <f t="shared" si="32"/>
        <v>95.25031124508287</v>
      </c>
      <c r="AE93" s="1">
        <f t="shared" si="32"/>
        <v>90.196786902589963</v>
      </c>
      <c r="AF93" s="1">
        <f t="shared" si="32"/>
        <v>100.93083719710545</v>
      </c>
      <c r="AG93" s="1">
        <f t="shared" si="32"/>
        <v>113.16450529036221</v>
      </c>
      <c r="AH93" s="29">
        <f t="shared" si="32"/>
        <v>141.96983318417236</v>
      </c>
      <c r="AI93" s="1">
        <f t="shared" si="32"/>
        <v>116.48693338602158</v>
      </c>
      <c r="AJ93" s="144">
        <f t="shared" si="32"/>
        <v>197.23992137597057</v>
      </c>
      <c r="AK93" s="1"/>
    </row>
    <row r="94" spans="1:37" ht="15.75" x14ac:dyDescent="0.3">
      <c r="A94" s="150">
        <v>89</v>
      </c>
      <c r="B94" s="10" t="s">
        <v>1107</v>
      </c>
      <c r="C94" s="236">
        <v>8291863.8719108701</v>
      </c>
      <c r="D94" s="233"/>
      <c r="E94" s="232">
        <f t="shared" si="30"/>
        <v>0</v>
      </c>
      <c r="G94" s="10" t="s">
        <v>394</v>
      </c>
      <c r="H94" s="151">
        <f>IF(ISNUMBER(O51),O51/SUM($K$43:$AK$71),0)</f>
        <v>1.930019239814632E-6</v>
      </c>
      <c r="J94" s="160" t="s">
        <v>332</v>
      </c>
      <c r="K94" s="37">
        <f t="shared" si="33"/>
        <v>63.226349376560854</v>
      </c>
      <c r="L94" s="1">
        <f t="shared" si="33"/>
        <v>80.596000024741954</v>
      </c>
      <c r="M94" s="1">
        <f t="shared" si="33"/>
        <v>95.999353900912354</v>
      </c>
      <c r="N94" s="1">
        <f t="shared" si="33"/>
        <v>89.610446085496775</v>
      </c>
      <c r="O94" s="1">
        <f t="shared" si="33"/>
        <v>78.709123852193073</v>
      </c>
      <c r="P94" s="1">
        <f t="shared" si="33"/>
        <v>84.741047982685686</v>
      </c>
      <c r="Q94" s="1">
        <f t="shared" si="33"/>
        <v>96.436746994000629</v>
      </c>
      <c r="R94" s="1">
        <f t="shared" si="33"/>
        <v>94.94114475000454</v>
      </c>
      <c r="S94" s="1">
        <f t="shared" si="33"/>
        <v>75.593977619199691</v>
      </c>
      <c r="T94" s="31">
        <f t="shared" si="33"/>
        <v>51.280470396705297</v>
      </c>
      <c r="U94" s="31">
        <f t="shared" si="33"/>
        <v>43.938202479139889</v>
      </c>
      <c r="V94" s="31">
        <f t="shared" si="33"/>
        <v>51.153618570725186</v>
      </c>
      <c r="W94" s="31">
        <f t="shared" si="33"/>
        <v>87.402066731774823</v>
      </c>
      <c r="X94" s="31">
        <f t="shared" si="33"/>
        <v>255.04924781491761</v>
      </c>
      <c r="Y94" s="31">
        <f t="shared" si="33"/>
        <v>67.95004825209385</v>
      </c>
      <c r="Z94" s="31">
        <f t="shared" si="33"/>
        <v>361.09914366525805</v>
      </c>
      <c r="AA94" s="1">
        <f t="shared" si="32"/>
        <v>66.155076824177812</v>
      </c>
      <c r="AB94" s="1">
        <f t="shared" si="32"/>
        <v>79.286066214820423</v>
      </c>
      <c r="AC94" s="1">
        <f t="shared" si="32"/>
        <v>97.420500230971214</v>
      </c>
      <c r="AD94" s="1">
        <f t="shared" si="32"/>
        <v>94.61406012972725</v>
      </c>
      <c r="AE94" s="1">
        <f t="shared" si="32"/>
        <v>90.301745248414974</v>
      </c>
      <c r="AF94" s="1">
        <f t="shared" si="32"/>
        <v>96.757334222581605</v>
      </c>
      <c r="AG94" s="1">
        <f t="shared" si="32"/>
        <v>104.01864671306517</v>
      </c>
      <c r="AH94" s="1">
        <f t="shared" si="32"/>
        <v>88.421124315100997</v>
      </c>
      <c r="AI94" s="29">
        <f t="shared" si="32"/>
        <v>153.01351735943604</v>
      </c>
      <c r="AJ94" s="1">
        <f t="shared" si="32"/>
        <v>2532.7426690537004</v>
      </c>
      <c r="AK94" s="144">
        <f t="shared" si="32"/>
        <v>62.015070490678703</v>
      </c>
    </row>
    <row r="95" spans="1:37" ht="15.75" x14ac:dyDescent="0.3">
      <c r="A95" s="150">
        <v>90</v>
      </c>
      <c r="B95" s="10" t="s">
        <v>1108</v>
      </c>
      <c r="C95" s="236">
        <v>8335974.6558285831</v>
      </c>
      <c r="D95" s="233"/>
      <c r="E95" s="232">
        <f t="shared" si="30"/>
        <v>0</v>
      </c>
      <c r="G95" s="10" t="s">
        <v>395</v>
      </c>
      <c r="H95" s="151">
        <f>IF(ISNUMBER(P51),P51/SUM($K$43:$AK$71),0)</f>
        <v>0</v>
      </c>
      <c r="J95" s="160" t="s">
        <v>333</v>
      </c>
      <c r="K95" s="37">
        <f t="shared" si="33"/>
        <v>62.680162210600628</v>
      </c>
      <c r="L95" s="1">
        <f t="shared" si="33"/>
        <v>80.268248218355851</v>
      </c>
      <c r="M95" s="1">
        <f t="shared" si="33"/>
        <v>95.324092001628429</v>
      </c>
      <c r="N95" s="1">
        <f t="shared" si="33"/>
        <v>90.087189152123926</v>
      </c>
      <c r="O95" s="1">
        <f t="shared" si="33"/>
        <v>78.371930115081753</v>
      </c>
      <c r="P95" s="1">
        <f t="shared" si="33"/>
        <v>83.80656775166149</v>
      </c>
      <c r="Q95" s="1">
        <f t="shared" si="33"/>
        <v>93.054840309301142</v>
      </c>
      <c r="R95" s="1">
        <f t="shared" si="33"/>
        <v>91.317587519195911</v>
      </c>
      <c r="S95" s="1">
        <f t="shared" si="33"/>
        <v>67.413303938957256</v>
      </c>
      <c r="T95" s="31">
        <f t="shared" si="33"/>
        <v>38.891755239850561</v>
      </c>
      <c r="U95" s="31">
        <f t="shared" si="33"/>
        <v>26.251582782420304</v>
      </c>
      <c r="V95" s="31">
        <f t="shared" si="33"/>
        <v>98.036065151638155</v>
      </c>
      <c r="W95" s="31">
        <f t="shared" si="33"/>
        <v>41.197780947072218</v>
      </c>
      <c r="X95" s="31">
        <f t="shared" si="33"/>
        <v>72.314271847601489</v>
      </c>
      <c r="Y95" s="31">
        <f t="shared" si="33"/>
        <v>44.043592675754056</v>
      </c>
      <c r="Z95" s="31">
        <f t="shared" si="33"/>
        <v>14.536372214173294</v>
      </c>
      <c r="AA95" s="1">
        <f t="shared" si="32"/>
        <v>65.941113223769591</v>
      </c>
      <c r="AB95" s="1">
        <f t="shared" si="32"/>
        <v>37.700653120936188</v>
      </c>
      <c r="AC95" s="1">
        <f t="shared" si="32"/>
        <v>96.734095508243371</v>
      </c>
      <c r="AD95" s="1">
        <f t="shared" si="32"/>
        <v>93.90894429599571</v>
      </c>
      <c r="AE95" s="1">
        <f t="shared" si="32"/>
        <v>87.231468206371517</v>
      </c>
      <c r="AF95" s="1">
        <f t="shared" si="32"/>
        <v>97.106110620382665</v>
      </c>
      <c r="AG95" s="1">
        <f t="shared" si="32"/>
        <v>108.58839554104416</v>
      </c>
      <c r="AH95" s="1">
        <f t="shared" si="32"/>
        <v>82.042307238845808</v>
      </c>
      <c r="AI95" s="1">
        <f t="shared" si="32"/>
        <v>75.615660281891493</v>
      </c>
      <c r="AJ95" s="29">
        <f t="shared" si="32"/>
        <v>122.22029537066561</v>
      </c>
      <c r="AK95" s="145">
        <f t="shared" si="32"/>
        <v>42.762526956781358</v>
      </c>
    </row>
    <row r="96" spans="1:37" ht="15.75" x14ac:dyDescent="0.3">
      <c r="A96" s="150">
        <v>91</v>
      </c>
      <c r="B96" s="10" t="s">
        <v>681</v>
      </c>
      <c r="C96" s="236">
        <v>1020.2732442493736</v>
      </c>
      <c r="D96" s="233"/>
      <c r="E96" s="232">
        <f t="shared" si="30"/>
        <v>0</v>
      </c>
      <c r="G96" s="10" t="s">
        <v>396</v>
      </c>
      <c r="H96" s="151">
        <f>IF(ISNUMBER(Q51),Q51/SUM($K$43:$AK$71),0)</f>
        <v>0</v>
      </c>
      <c r="J96" s="160" t="s">
        <v>334</v>
      </c>
      <c r="K96" s="37">
        <f t="shared" si="33"/>
        <v>63.397867002374873</v>
      </c>
      <c r="L96" s="1">
        <f t="shared" si="33"/>
        <v>80.002885156256198</v>
      </c>
      <c r="M96" s="1">
        <f t="shared" si="33"/>
        <v>95.731434766205695</v>
      </c>
      <c r="N96" s="1">
        <f t="shared" si="33"/>
        <v>88.780534799134401</v>
      </c>
      <c r="O96" s="1">
        <f t="shared" si="33"/>
        <v>77.127616848992687</v>
      </c>
      <c r="P96" s="1">
        <f t="shared" si="33"/>
        <v>85.262871379985697</v>
      </c>
      <c r="Q96" s="1">
        <f t="shared" si="33"/>
        <v>96.594589394376911</v>
      </c>
      <c r="R96" s="1">
        <f t="shared" si="33"/>
        <v>91.84306766563715</v>
      </c>
      <c r="S96" s="1">
        <f t="shared" si="33"/>
        <v>98.14308786170686</v>
      </c>
      <c r="T96" s="31">
        <f t="shared" si="33"/>
        <v>166.43557669481856</v>
      </c>
      <c r="U96" s="31">
        <f t="shared" si="33"/>
        <v>15.103222381450207</v>
      </c>
      <c r="V96" s="31">
        <f t="shared" si="33"/>
        <v>48.265044390805166</v>
      </c>
      <c r="W96" s="31">
        <f t="shared" si="33"/>
        <v>10.926301319695197</v>
      </c>
      <c r="X96" s="31">
        <f t="shared" si="33"/>
        <v>95.620315519240151</v>
      </c>
      <c r="Y96" s="31">
        <f t="shared" si="33"/>
        <v>81.778192889250235</v>
      </c>
      <c r="Z96" s="31">
        <f t="shared" si="33"/>
        <v>142.45837850688204</v>
      </c>
      <c r="AA96" s="1">
        <f t="shared" si="32"/>
        <v>14.589598843856889</v>
      </c>
      <c r="AB96" s="1">
        <f t="shared" si="32"/>
        <v>452.36733693548973</v>
      </c>
      <c r="AC96" s="1">
        <f t="shared" si="32"/>
        <v>110.90294145684217</v>
      </c>
      <c r="AD96" s="1">
        <f t="shared" si="32"/>
        <v>91.915706912071485</v>
      </c>
      <c r="AE96" s="1">
        <f t="shared" si="32"/>
        <v>88.872305001989574</v>
      </c>
      <c r="AF96" s="1">
        <f t="shared" si="32"/>
        <v>98.803473386219977</v>
      </c>
      <c r="AG96" s="1">
        <f t="shared" si="32"/>
        <v>104.12152601131024</v>
      </c>
      <c r="AH96" s="1">
        <f t="shared" si="32"/>
        <v>86.930612975773656</v>
      </c>
      <c r="AI96" s="1">
        <f t="shared" si="32"/>
        <v>75.855433845634209</v>
      </c>
      <c r="AJ96" s="1">
        <f t="shared" si="32"/>
        <v>121.07126443233548</v>
      </c>
      <c r="AK96" s="29">
        <f t="shared" si="32"/>
        <v>177.99394733651602</v>
      </c>
    </row>
    <row r="97" spans="1:66" ht="15.75" x14ac:dyDescent="0.3">
      <c r="A97" s="150">
        <v>92</v>
      </c>
      <c r="B97" s="10" t="s">
        <v>682</v>
      </c>
      <c r="C97" s="236">
        <v>1938.7389472350476</v>
      </c>
      <c r="D97" s="233"/>
      <c r="E97" s="232">
        <f t="shared" si="30"/>
        <v>0</v>
      </c>
      <c r="G97" s="10" t="s">
        <v>397</v>
      </c>
      <c r="H97" s="151">
        <f>IF(ISNUMBER(R51),R51/SUM($K$43:$AK$71),0)</f>
        <v>7.9414603990274576E-6</v>
      </c>
      <c r="J97" s="160" t="s">
        <v>335</v>
      </c>
      <c r="K97" s="37">
        <f t="shared" si="33"/>
        <v>62.079663844882461</v>
      </c>
      <c r="L97" s="1">
        <f t="shared" si="33"/>
        <v>79.700064179106477</v>
      </c>
      <c r="M97" s="1">
        <f t="shared" si="33"/>
        <v>95.485972536406479</v>
      </c>
      <c r="N97" s="1">
        <f t="shared" si="33"/>
        <v>89.775901928987125</v>
      </c>
      <c r="O97" s="1">
        <f t="shared" si="33"/>
        <v>78.079804194794292</v>
      </c>
      <c r="P97" s="1">
        <f t="shared" si="33"/>
        <v>82.910898921524904</v>
      </c>
      <c r="Q97" s="1">
        <f t="shared" si="33"/>
        <v>94.296379823391476</v>
      </c>
      <c r="R97" s="1">
        <f t="shared" si="33"/>
        <v>86.502591882833727</v>
      </c>
      <c r="S97" s="1">
        <f t="shared" si="33"/>
        <v>64.602047343625514</v>
      </c>
      <c r="T97" s="31">
        <f t="shared" si="33"/>
        <v>163.88538240219174</v>
      </c>
      <c r="U97" s="31">
        <f t="shared" si="33"/>
        <v>100.754720996283</v>
      </c>
      <c r="V97" s="31">
        <f t="shared" si="33"/>
        <v>20.869561919899574</v>
      </c>
      <c r="W97" s="31">
        <f t="shared" si="33"/>
        <v>251.98992428745407</v>
      </c>
      <c r="X97" s="31">
        <f t="shared" si="33"/>
        <v>173.08274246881473</v>
      </c>
      <c r="Y97" s="31">
        <f t="shared" si="33"/>
        <v>30.474995473228965</v>
      </c>
      <c r="Z97" s="31">
        <f t="shared" si="33"/>
        <v>116.40290918937362</v>
      </c>
      <c r="AA97" s="31">
        <f t="shared" si="32"/>
        <v>59.437009248172018</v>
      </c>
      <c r="AB97" s="31">
        <f t="shared" si="32"/>
        <v>41.476056707921479</v>
      </c>
      <c r="AC97" s="31">
        <f t="shared" si="32"/>
        <v>179.96980641024973</v>
      </c>
      <c r="AD97" s="31">
        <f t="shared" si="32"/>
        <v>76.569534875297478</v>
      </c>
      <c r="AE97" s="31">
        <f t="shared" si="32"/>
        <v>82.941221686094039</v>
      </c>
      <c r="AF97" s="31">
        <f t="shared" si="32"/>
        <v>94.290261770550686</v>
      </c>
      <c r="AG97" s="31">
        <f t="shared" si="32"/>
        <v>109.12716963505135</v>
      </c>
      <c r="AH97" s="31">
        <f t="shared" si="32"/>
        <v>82.084805330318446</v>
      </c>
      <c r="AI97" s="31">
        <f t="shared" si="32"/>
        <v>72.668523424056076</v>
      </c>
      <c r="AJ97" s="31">
        <f t="shared" si="32"/>
        <v>121.32246460093488</v>
      </c>
      <c r="AK97" s="28" t="str">
        <f t="shared" si="32"/>
        <v/>
      </c>
    </row>
    <row r="98" spans="1:66" ht="15.75" x14ac:dyDescent="0.3">
      <c r="A98" s="150">
        <v>93</v>
      </c>
      <c r="B98" s="10" t="s">
        <v>77</v>
      </c>
      <c r="C98" s="236">
        <v>4278397.302011935</v>
      </c>
      <c r="D98" s="233"/>
      <c r="E98" s="232">
        <f t="shared" si="30"/>
        <v>0</v>
      </c>
      <c r="G98" s="10" t="s">
        <v>398</v>
      </c>
      <c r="H98" s="151">
        <f>IF(ISNUMBER(S51),S51/SUM($K$43:$AK$71),0)</f>
        <v>0</v>
      </c>
      <c r="J98" s="160" t="s">
        <v>336</v>
      </c>
      <c r="K98" s="37">
        <f t="shared" si="33"/>
        <v>59.349126996746698</v>
      </c>
      <c r="L98" s="1">
        <f t="shared" si="33"/>
        <v>79.014763567586016</v>
      </c>
      <c r="M98" s="1">
        <f t="shared" si="33"/>
        <v>95.876946415287691</v>
      </c>
      <c r="N98" s="1">
        <f t="shared" si="33"/>
        <v>89.596187223394296</v>
      </c>
      <c r="O98" s="1">
        <f t="shared" si="33"/>
        <v>76.880170113042695</v>
      </c>
      <c r="P98" s="1">
        <f t="shared" si="33"/>
        <v>87.064683779057262</v>
      </c>
      <c r="Q98" s="1">
        <f t="shared" si="33"/>
        <v>94.584666297450667</v>
      </c>
      <c r="R98" s="1">
        <f t="shared" si="33"/>
        <v>87.559421618703439</v>
      </c>
      <c r="S98" s="1">
        <f t="shared" si="33"/>
        <v>68.84840843156023</v>
      </c>
      <c r="T98" s="31">
        <f t="shared" si="33"/>
        <v>65.441188127307569</v>
      </c>
      <c r="U98" s="31">
        <f t="shared" si="33"/>
        <v>952.42291535895981</v>
      </c>
      <c r="V98" s="31">
        <f t="shared" si="33"/>
        <v>44.827291835845379</v>
      </c>
      <c r="W98" s="31">
        <f t="shared" si="33"/>
        <v>140.22516584322574</v>
      </c>
      <c r="X98" s="31">
        <f t="shared" si="33"/>
        <v>118.88785871043571</v>
      </c>
      <c r="Y98" s="31">
        <f t="shared" si="33"/>
        <v>80.279685578273259</v>
      </c>
      <c r="Z98" s="31">
        <f t="shared" si="33"/>
        <v>315.69370830143407</v>
      </c>
      <c r="AA98" s="31">
        <f t="shared" si="32"/>
        <v>249.47979548712448</v>
      </c>
      <c r="AB98" s="31">
        <f t="shared" si="32"/>
        <v>302.80094190005428</v>
      </c>
      <c r="AC98" s="31">
        <f t="shared" si="32"/>
        <v>275.55290592154847</v>
      </c>
      <c r="AD98" s="31">
        <f t="shared" si="32"/>
        <v>207.15732875003519</v>
      </c>
      <c r="AE98" s="31">
        <f t="shared" si="32"/>
        <v>98.774961200042142</v>
      </c>
      <c r="AF98" s="31">
        <f t="shared" si="32"/>
        <v>289.43564356649352</v>
      </c>
      <c r="AG98" s="31">
        <f t="shared" si="32"/>
        <v>97.631128961253779</v>
      </c>
      <c r="AH98" s="31">
        <f t="shared" si="32"/>
        <v>78.858785576655663</v>
      </c>
      <c r="AI98" s="31">
        <f t="shared" si="32"/>
        <v>73.390526508259867</v>
      </c>
      <c r="AJ98" s="31">
        <f t="shared" si="32"/>
        <v>116.09429927882488</v>
      </c>
      <c r="AK98" s="28" t="str">
        <f t="shared" si="32"/>
        <v/>
      </c>
    </row>
    <row r="99" spans="1:66" ht="15.75" x14ac:dyDescent="0.3">
      <c r="A99" s="150">
        <v>94</v>
      </c>
      <c r="B99" s="10" t="s">
        <v>78</v>
      </c>
      <c r="C99" s="236">
        <v>3212743.7437880049</v>
      </c>
      <c r="D99" s="233"/>
      <c r="E99" s="232">
        <f t="shared" si="30"/>
        <v>0</v>
      </c>
      <c r="G99" s="10" t="s">
        <v>507</v>
      </c>
      <c r="H99" s="151">
        <f>IF(ISNUMBER(T51),T51/SUM($K$43:$AK$71),0)</f>
        <v>0</v>
      </c>
      <c r="J99" s="160" t="s">
        <v>337</v>
      </c>
      <c r="K99" s="37">
        <f t="shared" si="33"/>
        <v>56.870248387789587</v>
      </c>
      <c r="L99" s="1">
        <f t="shared" si="33"/>
        <v>79.014607275019173</v>
      </c>
      <c r="M99" s="1">
        <f t="shared" si="33"/>
        <v>95.973750481011095</v>
      </c>
      <c r="N99" s="1">
        <f t="shared" si="33"/>
        <v>87.790630257197549</v>
      </c>
      <c r="O99" s="1">
        <f t="shared" si="33"/>
        <v>75.308288568718339</v>
      </c>
      <c r="P99" s="1">
        <f t="shared" si="33"/>
        <v>83.242504872610496</v>
      </c>
      <c r="Q99" s="1">
        <f t="shared" si="33"/>
        <v>94.883351941858947</v>
      </c>
      <c r="R99" s="1">
        <f t="shared" si="33"/>
        <v>89.151024262689134</v>
      </c>
      <c r="S99" s="1">
        <f t="shared" si="33"/>
        <v>63.575375033101594</v>
      </c>
      <c r="T99" s="142">
        <f t="shared" si="33"/>
        <v>112.16245471783861</v>
      </c>
      <c r="U99" s="142">
        <f t="shared" si="33"/>
        <v>345.05344949357806</v>
      </c>
      <c r="V99" s="142">
        <f t="shared" si="33"/>
        <v>488.20346429776794</v>
      </c>
      <c r="W99" s="142">
        <f t="shared" si="33"/>
        <v>275.8817442828618</v>
      </c>
      <c r="X99" s="142">
        <f t="shared" si="33"/>
        <v>91.511911207332048</v>
      </c>
      <c r="Y99" s="142">
        <f t="shared" si="33"/>
        <v>58.146328665443228</v>
      </c>
      <c r="Z99" s="142">
        <f t="shared" si="33"/>
        <v>235.89265282455349</v>
      </c>
      <c r="AA99" s="142">
        <f t="shared" si="32"/>
        <v>523.98467968288207</v>
      </c>
      <c r="AB99" s="31">
        <f t="shared" si="32"/>
        <v>83.601884624952149</v>
      </c>
      <c r="AC99" s="31">
        <f t="shared" si="32"/>
        <v>347.46742070301872</v>
      </c>
      <c r="AD99" s="31">
        <f t="shared" si="32"/>
        <v>119.15294283666125</v>
      </c>
      <c r="AE99" s="31">
        <f t="shared" si="32"/>
        <v>313.8775778869948</v>
      </c>
      <c r="AF99" s="31">
        <f t="shared" si="32"/>
        <v>154.6411724203717</v>
      </c>
      <c r="AG99" s="31">
        <f t="shared" si="32"/>
        <v>107.62684083574335</v>
      </c>
      <c r="AH99" s="31">
        <f t="shared" si="32"/>
        <v>94.507512513531864</v>
      </c>
      <c r="AI99" s="31">
        <f t="shared" si="32"/>
        <v>72.126228323888228</v>
      </c>
      <c r="AJ99" s="31" t="str">
        <f t="shared" si="32"/>
        <v/>
      </c>
      <c r="AK99" s="28" t="str">
        <f t="shared" si="32"/>
        <v/>
      </c>
    </row>
    <row r="100" spans="1:66" ht="15.75" x14ac:dyDescent="0.3">
      <c r="A100" s="150">
        <v>95</v>
      </c>
      <c r="B100" s="10" t="s">
        <v>79</v>
      </c>
      <c r="C100" s="236">
        <v>56599825.452692524</v>
      </c>
      <c r="D100" s="233"/>
      <c r="E100" s="232">
        <f t="shared" si="30"/>
        <v>0</v>
      </c>
      <c r="G100" s="10" t="s">
        <v>508</v>
      </c>
      <c r="H100" s="151">
        <f>IF(ISNUMBER(U51),U51/SUM($K$43:$AK$71),0)</f>
        <v>5.5980340564273801E-6</v>
      </c>
      <c r="J100" s="160" t="s">
        <v>338</v>
      </c>
      <c r="K100" s="37">
        <f t="shared" si="33"/>
        <v>35.739931825917537</v>
      </c>
      <c r="L100" s="1">
        <f t="shared" si="33"/>
        <v>79.17401749346908</v>
      </c>
      <c r="M100" s="1">
        <f t="shared" si="33"/>
        <v>96.41327355194727</v>
      </c>
      <c r="N100" s="1">
        <f t="shared" si="33"/>
        <v>87.222363053626751</v>
      </c>
      <c r="O100" s="1">
        <f t="shared" si="33"/>
        <v>74.306616991454746</v>
      </c>
      <c r="P100" s="1">
        <f t="shared" si="33"/>
        <v>85.961692294393899</v>
      </c>
      <c r="Q100" s="1">
        <f t="shared" si="33"/>
        <v>94.766409496764993</v>
      </c>
      <c r="R100" s="1">
        <f t="shared" si="33"/>
        <v>86.916587115210945</v>
      </c>
      <c r="S100" s="1">
        <f t="shared" si="33"/>
        <v>83.156163519724572</v>
      </c>
      <c r="T100" s="142">
        <f t="shared" si="33"/>
        <v>66.170572660507204</v>
      </c>
      <c r="U100" s="162">
        <f t="shared" si="33"/>
        <v>269.55322936827025</v>
      </c>
      <c r="V100" s="162">
        <f t="shared" si="33"/>
        <v>374.56041629079482</v>
      </c>
      <c r="W100" s="162">
        <f t="shared" si="33"/>
        <v>401.15838993793471</v>
      </c>
      <c r="X100" s="162">
        <f t="shared" si="33"/>
        <v>109.28190797587425</v>
      </c>
      <c r="Y100" s="162">
        <f t="shared" si="33"/>
        <v>52.600075262728609</v>
      </c>
      <c r="Z100" s="142">
        <f t="shared" si="33"/>
        <v>202.24979029307627</v>
      </c>
      <c r="AA100" s="142">
        <f t="shared" ref="AA100:AK102" si="34">IF(ISNUMBER(IF(ISNUMBER(AA164),IF(AND(1000000*AA132&gt;$L$2,1000000*AA164&gt;$L$2),AA164,""),"")/IF(ISNUMBER(AA132),IF(AND(1000000*AA132&gt;$L$2,1000000*AA164&gt;$L$2),AA132,""),"")),100*AA164/AA132,"")</f>
        <v>123.09736881079152</v>
      </c>
      <c r="AB100" s="31">
        <f t="shared" si="34"/>
        <v>116.94136805182771</v>
      </c>
      <c r="AC100" s="31">
        <f t="shared" si="34"/>
        <v>282.2115327951301</v>
      </c>
      <c r="AD100" s="31">
        <f t="shared" si="34"/>
        <v>95.998104600601337</v>
      </c>
      <c r="AE100" s="31">
        <f t="shared" si="34"/>
        <v>187.78037435785365</v>
      </c>
      <c r="AF100" s="31">
        <f t="shared" si="34"/>
        <v>200.84459072426264</v>
      </c>
      <c r="AG100" s="31">
        <f t="shared" si="34"/>
        <v>21.489094905294223</v>
      </c>
      <c r="AH100" s="31">
        <f t="shared" si="34"/>
        <v>102.94787138935021</v>
      </c>
      <c r="AI100" s="31">
        <f t="shared" si="34"/>
        <v>67.552761033893589</v>
      </c>
      <c r="AJ100" s="31" t="str">
        <f t="shared" si="34"/>
        <v/>
      </c>
      <c r="AK100" s="28" t="str">
        <f t="shared" si="34"/>
        <v/>
      </c>
    </row>
    <row r="101" spans="1:66" ht="15.75" x14ac:dyDescent="0.3">
      <c r="A101" s="150">
        <v>96</v>
      </c>
      <c r="B101" s="10" t="s">
        <v>80</v>
      </c>
      <c r="C101" s="236">
        <v>54756421.999752052</v>
      </c>
      <c r="D101" s="233"/>
      <c r="E101" s="232">
        <f t="shared" si="30"/>
        <v>0</v>
      </c>
      <c r="G101" s="10" t="s">
        <v>509</v>
      </c>
      <c r="H101" s="151">
        <f>IF(ISNUMBER(V51),V51/SUM($K$43:$AK$71),0)</f>
        <v>0</v>
      </c>
      <c r="J101" s="160" t="s">
        <v>339</v>
      </c>
      <c r="K101" s="37">
        <f t="shared" si="33"/>
        <v>152.66310893825684</v>
      </c>
      <c r="L101" s="1">
        <f t="shared" si="33"/>
        <v>77.402698166073947</v>
      </c>
      <c r="M101" s="1">
        <f t="shared" si="33"/>
        <v>98.63330979226005</v>
      </c>
      <c r="N101" s="1">
        <f t="shared" si="33"/>
        <v>85.219064981578867</v>
      </c>
      <c r="O101" s="1">
        <f t="shared" si="33"/>
        <v>73.777845199062511</v>
      </c>
      <c r="P101" s="1">
        <f t="shared" si="33"/>
        <v>85.999511715055874</v>
      </c>
      <c r="Q101" s="1">
        <f t="shared" si="33"/>
        <v>94.295807111998414</v>
      </c>
      <c r="R101" s="1">
        <f t="shared" si="33"/>
        <v>71.972940591893177</v>
      </c>
      <c r="S101" s="1">
        <f t="shared" si="33"/>
        <v>99.524140233396125</v>
      </c>
      <c r="T101" s="142">
        <f t="shared" si="33"/>
        <v>45.117143772948999</v>
      </c>
      <c r="U101" s="162">
        <f t="shared" si="33"/>
        <v>352.13533631033602</v>
      </c>
      <c r="V101" s="162">
        <f t="shared" si="33"/>
        <v>88.238685473413142</v>
      </c>
      <c r="W101" s="162">
        <f t="shared" si="33"/>
        <v>149.56052075973901</v>
      </c>
      <c r="X101" s="162">
        <f t="shared" si="33"/>
        <v>33.357508692077651</v>
      </c>
      <c r="Y101" s="162">
        <f t="shared" si="33"/>
        <v>27.735115433426007</v>
      </c>
      <c r="Z101" s="142">
        <f t="shared" si="33"/>
        <v>166.88621162879949</v>
      </c>
      <c r="AA101" s="142">
        <f t="shared" si="34"/>
        <v>875.89420977471082</v>
      </c>
      <c r="AB101" s="31">
        <f t="shared" si="34"/>
        <v>66.029677677450579</v>
      </c>
      <c r="AC101" s="31">
        <f t="shared" si="34"/>
        <v>73.951458423261855</v>
      </c>
      <c r="AD101" s="31">
        <f t="shared" si="34"/>
        <v>110.24686466538321</v>
      </c>
      <c r="AE101" s="31">
        <f t="shared" si="34"/>
        <v>87.224633381438665</v>
      </c>
      <c r="AF101" s="31">
        <f t="shared" si="34"/>
        <v>61.119425021652091</v>
      </c>
      <c r="AG101" s="31">
        <f t="shared" si="34"/>
        <v>79.314387467989405</v>
      </c>
      <c r="AH101" s="31">
        <f t="shared" si="34"/>
        <v>139.12728447967737</v>
      </c>
      <c r="AI101" s="31">
        <f t="shared" si="34"/>
        <v>48.496273228948532</v>
      </c>
      <c r="AJ101" s="31" t="str">
        <f t="shared" si="34"/>
        <v/>
      </c>
      <c r="AK101" s="28" t="str">
        <f t="shared" si="34"/>
        <v/>
      </c>
    </row>
    <row r="102" spans="1:66" ht="15.75" x14ac:dyDescent="0.3">
      <c r="A102" s="150">
        <v>97</v>
      </c>
      <c r="B102" s="10" t="s">
        <v>81</v>
      </c>
      <c r="C102" s="236">
        <v>169678373.00449175</v>
      </c>
      <c r="D102" s="233"/>
      <c r="E102" s="232">
        <f t="shared" si="30"/>
        <v>0</v>
      </c>
      <c r="G102" s="10" t="s">
        <v>510</v>
      </c>
      <c r="H102" s="151">
        <f>IF(ISNUMBER(W51),W51/SUM($K$43:$AK$71),0)</f>
        <v>0</v>
      </c>
      <c r="J102" s="161" t="s">
        <v>340</v>
      </c>
      <c r="K102" s="36">
        <f t="shared" si="33"/>
        <v>16.819986251431828</v>
      </c>
      <c r="L102" s="33">
        <f t="shared" si="33"/>
        <v>77.038658415285084</v>
      </c>
      <c r="M102" s="33">
        <f t="shared" si="33"/>
        <v>96.602154066803024</v>
      </c>
      <c r="N102" s="33">
        <f t="shared" si="33"/>
        <v>86.049536549258619</v>
      </c>
      <c r="O102" s="33">
        <f t="shared" si="33"/>
        <v>71.920146560603399</v>
      </c>
      <c r="P102" s="33">
        <f t="shared" si="33"/>
        <v>83.211570536951314</v>
      </c>
      <c r="Q102" s="33">
        <f t="shared" si="33"/>
        <v>97.716779684991423</v>
      </c>
      <c r="R102" s="33">
        <f t="shared" si="33"/>
        <v>102.94101297467488</v>
      </c>
      <c r="S102" s="33">
        <f t="shared" si="33"/>
        <v>109.98000278179697</v>
      </c>
      <c r="T102" s="163">
        <f t="shared" si="33"/>
        <v>62.72319760584012</v>
      </c>
      <c r="U102" s="163">
        <f t="shared" si="33"/>
        <v>316.30485795908612</v>
      </c>
      <c r="V102" s="163">
        <f t="shared" si="33"/>
        <v>45.058130014979817</v>
      </c>
      <c r="W102" s="163">
        <f t="shared" si="33"/>
        <v>187.10796996526992</v>
      </c>
      <c r="X102" s="163">
        <f t="shared" si="33"/>
        <v>118.48732771018403</v>
      </c>
      <c r="Y102" s="163">
        <f t="shared" si="33"/>
        <v>89.809458379273465</v>
      </c>
      <c r="Z102" s="143">
        <f t="shared" si="33"/>
        <v>52.768199021305648</v>
      </c>
      <c r="AA102" s="143">
        <f t="shared" si="34"/>
        <v>20.26494861651625</v>
      </c>
      <c r="AB102" s="33">
        <f t="shared" si="34"/>
        <v>114.20042453126231</v>
      </c>
      <c r="AC102" s="33">
        <f t="shared" si="34"/>
        <v>330.16649999547184</v>
      </c>
      <c r="AD102" s="33">
        <f t="shared" si="34"/>
        <v>21.274715072701927</v>
      </c>
      <c r="AE102" s="33">
        <f t="shared" si="34"/>
        <v>41.671799877909656</v>
      </c>
      <c r="AF102" s="33">
        <f t="shared" si="34"/>
        <v>196.38887843042366</v>
      </c>
      <c r="AG102" s="33">
        <f t="shared" si="34"/>
        <v>27.340408997792156</v>
      </c>
      <c r="AH102" s="33">
        <f t="shared" si="34"/>
        <v>34.178026372710178</v>
      </c>
      <c r="AI102" s="33" t="str">
        <f t="shared" si="34"/>
        <v/>
      </c>
      <c r="AJ102" s="33" t="str">
        <f t="shared" si="34"/>
        <v/>
      </c>
      <c r="AK102" s="34" t="str">
        <f t="shared" si="34"/>
        <v/>
      </c>
    </row>
    <row r="103" spans="1:66" x14ac:dyDescent="0.25">
      <c r="A103" s="150">
        <v>98</v>
      </c>
      <c r="B103" s="10" t="s">
        <v>82</v>
      </c>
      <c r="C103" s="236">
        <v>150108620.34176373</v>
      </c>
      <c r="D103" s="233"/>
      <c r="E103" s="232">
        <f t="shared" si="30"/>
        <v>0</v>
      </c>
      <c r="G103" s="10" t="s">
        <v>1053</v>
      </c>
      <c r="H103" s="151">
        <f>IF(ISNUMBER(X51),X51/SUM($K$43:$AK$71),0)</f>
        <v>0</v>
      </c>
    </row>
    <row r="104" spans="1:66" x14ac:dyDescent="0.25">
      <c r="A104" s="150">
        <v>99</v>
      </c>
      <c r="B104" s="10" t="s">
        <v>83</v>
      </c>
      <c r="C104" s="236">
        <v>193495674.78516775</v>
      </c>
      <c r="D104" s="233"/>
      <c r="E104" s="232">
        <f t="shared" si="30"/>
        <v>0</v>
      </c>
      <c r="G104" s="10" t="s">
        <v>1575</v>
      </c>
      <c r="H104" s="151">
        <f>IF(ISNUMBER(Y51),Y51/SUM($K$43:$AK$71),0)</f>
        <v>0</v>
      </c>
      <c r="J104" s="246" t="s">
        <v>1088</v>
      </c>
      <c r="AM104" s="246" t="s">
        <v>1811</v>
      </c>
    </row>
    <row r="105" spans="1:66" ht="15.75" x14ac:dyDescent="0.3">
      <c r="A105" s="150">
        <v>100</v>
      </c>
      <c r="B105" s="10" t="s">
        <v>84</v>
      </c>
      <c r="C105" s="236">
        <v>149286070.35482824</v>
      </c>
      <c r="D105" s="233"/>
      <c r="E105" s="232">
        <f t="shared" si="30"/>
        <v>0</v>
      </c>
      <c r="G105" s="10" t="s">
        <v>511</v>
      </c>
      <c r="H105" s="151">
        <f>IF(ISNUMBER(K52),K52/SUM($K$43:$AK$71),0)</f>
        <v>0</v>
      </c>
      <c r="J105" s="247"/>
      <c r="K105" s="154" t="s">
        <v>1012</v>
      </c>
      <c r="L105" s="155" t="s">
        <v>322</v>
      </c>
      <c r="M105" s="155" t="s">
        <v>323</v>
      </c>
      <c r="N105" s="155" t="s">
        <v>324</v>
      </c>
      <c r="O105" s="155" t="s">
        <v>325</v>
      </c>
      <c r="P105" s="155" t="s">
        <v>326</v>
      </c>
      <c r="Q105" s="155" t="s">
        <v>2</v>
      </c>
      <c r="R105" s="155" t="s">
        <v>3</v>
      </c>
      <c r="S105" s="155" t="s">
        <v>4</v>
      </c>
      <c r="T105" s="155" t="s">
        <v>5</v>
      </c>
      <c r="U105" s="155" t="s">
        <v>6</v>
      </c>
      <c r="V105" s="155" t="s">
        <v>7</v>
      </c>
      <c r="W105" s="155" t="s">
        <v>8</v>
      </c>
      <c r="X105" s="155" t="s">
        <v>1016</v>
      </c>
      <c r="Y105" s="155" t="s">
        <v>1017</v>
      </c>
      <c r="Z105" s="155" t="s">
        <v>1018</v>
      </c>
      <c r="AA105" s="155" t="s">
        <v>1074</v>
      </c>
      <c r="AB105" s="155" t="s">
        <v>1075</v>
      </c>
      <c r="AC105" s="155" t="s">
        <v>1076</v>
      </c>
      <c r="AD105" s="155" t="s">
        <v>1077</v>
      </c>
      <c r="AE105" s="155" t="s">
        <v>1078</v>
      </c>
      <c r="AF105" s="155" t="s">
        <v>1079</v>
      </c>
      <c r="AG105" s="155" t="s">
        <v>1080</v>
      </c>
      <c r="AH105" s="155" t="s">
        <v>1081</v>
      </c>
      <c r="AI105" s="155" t="s">
        <v>1082</v>
      </c>
      <c r="AJ105" s="155" t="s">
        <v>1083</v>
      </c>
      <c r="AK105" s="157" t="s">
        <v>1084</v>
      </c>
      <c r="AM105" s="247"/>
      <c r="AN105" s="154" t="s">
        <v>1012</v>
      </c>
      <c r="AO105" s="155" t="s">
        <v>322</v>
      </c>
      <c r="AP105" s="155" t="s">
        <v>323</v>
      </c>
      <c r="AQ105" s="155" t="s">
        <v>324</v>
      </c>
      <c r="AR105" s="155" t="s">
        <v>325</v>
      </c>
      <c r="AS105" s="155" t="s">
        <v>326</v>
      </c>
      <c r="AT105" s="155" t="s">
        <v>2</v>
      </c>
      <c r="AU105" s="155" t="s">
        <v>3</v>
      </c>
      <c r="AV105" s="155" t="s">
        <v>4</v>
      </c>
      <c r="AW105" s="155" t="s">
        <v>5</v>
      </c>
      <c r="AX105" s="155" t="s">
        <v>6</v>
      </c>
      <c r="AY105" s="155" t="s">
        <v>7</v>
      </c>
      <c r="AZ105" s="155" t="s">
        <v>8</v>
      </c>
      <c r="BA105" s="155" t="s">
        <v>1016</v>
      </c>
      <c r="BB105" s="155" t="s">
        <v>1017</v>
      </c>
      <c r="BC105" s="155" t="s">
        <v>1018</v>
      </c>
      <c r="BD105" s="155" t="s">
        <v>1074</v>
      </c>
      <c r="BE105" s="155" t="s">
        <v>1075</v>
      </c>
      <c r="BF105" s="155" t="s">
        <v>1076</v>
      </c>
      <c r="BG105" s="155" t="s">
        <v>1077</v>
      </c>
      <c r="BH105" s="155" t="s">
        <v>1078</v>
      </c>
      <c r="BI105" s="155" t="s">
        <v>1079</v>
      </c>
      <c r="BJ105" s="155" t="s">
        <v>1080</v>
      </c>
      <c r="BK105" s="155" t="s">
        <v>1081</v>
      </c>
      <c r="BL105" s="155" t="s">
        <v>1082</v>
      </c>
      <c r="BM105" s="155" t="s">
        <v>1083</v>
      </c>
      <c r="BN105" s="157" t="s">
        <v>1084</v>
      </c>
    </row>
    <row r="106" spans="1:66" ht="15.75" x14ac:dyDescent="0.3">
      <c r="A106" s="150">
        <v>101</v>
      </c>
      <c r="B106" s="10" t="s">
        <v>85</v>
      </c>
      <c r="C106" s="236">
        <v>111090507.05623825</v>
      </c>
      <c r="D106" s="233"/>
      <c r="E106" s="232">
        <f t="shared" si="30"/>
        <v>0</v>
      </c>
      <c r="G106" s="10" t="s">
        <v>399</v>
      </c>
      <c r="H106" s="151">
        <f>IF(ISNUMBER(L52),L52/SUM($K$43:$AK$71),0)</f>
        <v>0</v>
      </c>
      <c r="J106" s="158" t="s">
        <v>1011</v>
      </c>
      <c r="K106" s="11">
        <f t="shared" ref="K106:Q115" si="35">IF(ISNUMBER(VLOOKUP(CONCATENATE($J106,"_",K$105,"_a"),$B$6:$C$1151,2,FALSE)),VLOOKUP(CONCATENATE($J106,"_",K$105,"_a"),$B$6:$C$1151,2,FALSE)/1000000,"N/A")</f>
        <v>0</v>
      </c>
      <c r="L106" s="11">
        <f t="shared" si="35"/>
        <v>3.812107141891495E-3</v>
      </c>
      <c r="M106" s="6">
        <f t="shared" si="35"/>
        <v>3.7196472828750974E-3</v>
      </c>
      <c r="N106" s="6">
        <f t="shared" si="35"/>
        <v>7.499708247833475E-4</v>
      </c>
      <c r="O106" s="12">
        <f t="shared" si="35"/>
        <v>3.0517511391295739E-3</v>
      </c>
      <c r="P106" s="6">
        <f t="shared" si="35"/>
        <v>5.7192344485932287E-3</v>
      </c>
      <c r="Q106" s="141">
        <f t="shared" si="35"/>
        <v>1.7734019692361592E-2</v>
      </c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M106" s="158" t="s">
        <v>1011</v>
      </c>
      <c r="AN106" s="204" t="str">
        <f t="shared" ref="AN106:AW115" si="36">IF(ISNUMBER(VLOOKUP(CONCATENATE($J106,"_",AN$105,"_a"),$B$6:$E$1151,4,FALSE)),VLOOKUP(CONCATENATE($J106,"_",AN$105,"_a"),$B$6:$E$1151,4,FALSE),"N/A")</f>
        <v>N/A</v>
      </c>
      <c r="AO106" s="204">
        <f t="shared" si="36"/>
        <v>0.1</v>
      </c>
      <c r="AP106" s="217">
        <f t="shared" si="36"/>
        <v>10.1</v>
      </c>
      <c r="AQ106" s="217">
        <f t="shared" si="36"/>
        <v>0.2</v>
      </c>
      <c r="AR106" s="218">
        <f t="shared" si="36"/>
        <v>0.2</v>
      </c>
      <c r="AS106" s="217">
        <f t="shared" si="36"/>
        <v>0</v>
      </c>
      <c r="AT106" s="219">
        <f t="shared" si="36"/>
        <v>0</v>
      </c>
      <c r="AU106" s="217" t="str">
        <f t="shared" si="36"/>
        <v>N/A</v>
      </c>
      <c r="AV106" s="217" t="str">
        <f t="shared" si="36"/>
        <v>N/A</v>
      </c>
      <c r="AW106" s="217" t="str">
        <f t="shared" si="36"/>
        <v>N/A</v>
      </c>
      <c r="AX106" s="217" t="str">
        <f t="shared" ref="AX106:BG115" si="37">IF(ISNUMBER(VLOOKUP(CONCATENATE($J106,"_",AX$105,"_a"),$B$6:$E$1151,4,FALSE)),VLOOKUP(CONCATENATE($J106,"_",AX$105,"_a"),$B$6:$E$1151,4,FALSE),"N/A")</f>
        <v>N/A</v>
      </c>
      <c r="AY106" s="217" t="str">
        <f t="shared" si="37"/>
        <v>N/A</v>
      </c>
      <c r="AZ106" s="217" t="str">
        <f t="shared" si="37"/>
        <v>N/A</v>
      </c>
      <c r="BA106" s="217" t="str">
        <f t="shared" si="37"/>
        <v>N/A</v>
      </c>
      <c r="BB106" s="217" t="str">
        <f t="shared" si="37"/>
        <v>N/A</v>
      </c>
      <c r="BC106" s="217" t="str">
        <f t="shared" si="37"/>
        <v>N/A</v>
      </c>
      <c r="BD106" s="217" t="str">
        <f t="shared" si="37"/>
        <v>N/A</v>
      </c>
      <c r="BE106" s="217" t="str">
        <f t="shared" si="37"/>
        <v>N/A</v>
      </c>
      <c r="BF106" s="217" t="str">
        <f t="shared" si="37"/>
        <v>N/A</v>
      </c>
      <c r="BG106" s="217" t="str">
        <f t="shared" si="37"/>
        <v>N/A</v>
      </c>
      <c r="BH106" s="217" t="str">
        <f t="shared" ref="BH106:BN115" si="38">IF(ISNUMBER(VLOOKUP(CONCATENATE($J106,"_",BH$105,"_a"),$B$6:$E$1151,4,FALSE)),VLOOKUP(CONCATENATE($J106,"_",BH$105,"_a"),$B$6:$E$1151,4,FALSE),"N/A")</f>
        <v>N/A</v>
      </c>
      <c r="BI106" s="217" t="str">
        <f t="shared" si="38"/>
        <v>N/A</v>
      </c>
      <c r="BJ106" s="217" t="str">
        <f t="shared" si="38"/>
        <v>N/A</v>
      </c>
      <c r="BK106" s="217" t="str">
        <f t="shared" si="38"/>
        <v>N/A</v>
      </c>
      <c r="BL106" s="217" t="str">
        <f t="shared" si="38"/>
        <v>N/A</v>
      </c>
      <c r="BM106" s="217" t="str">
        <f t="shared" si="38"/>
        <v>N/A</v>
      </c>
      <c r="BN106" s="217" t="str">
        <f t="shared" si="38"/>
        <v>N/A</v>
      </c>
    </row>
    <row r="107" spans="1:66" ht="15.75" x14ac:dyDescent="0.3">
      <c r="A107" s="150">
        <v>102</v>
      </c>
      <c r="B107" s="10" t="s">
        <v>86</v>
      </c>
      <c r="C107" s="236">
        <v>95235751.969915301</v>
      </c>
      <c r="D107" s="233"/>
      <c r="E107" s="232">
        <f t="shared" si="30"/>
        <v>0</v>
      </c>
      <c r="G107" s="10" t="s">
        <v>400</v>
      </c>
      <c r="H107" s="151">
        <f>IF(ISNUMBER(M52),M52/SUM($K$43:$AK$71),0)</f>
        <v>0</v>
      </c>
      <c r="J107" s="159" t="s">
        <v>321</v>
      </c>
      <c r="K107" s="9">
        <f t="shared" si="35"/>
        <v>6.3334450811194075E-4</v>
      </c>
      <c r="L107" s="9">
        <f t="shared" si="35"/>
        <v>6.7692985243838003E-3</v>
      </c>
      <c r="M107" s="9">
        <f t="shared" si="35"/>
        <v>2.8138592456359453E-3</v>
      </c>
      <c r="N107" s="9">
        <f t="shared" si="35"/>
        <v>8.5008025954207804E-3</v>
      </c>
      <c r="O107" s="9">
        <f t="shared" si="35"/>
        <v>7.0999646580290995E-2</v>
      </c>
      <c r="P107" s="13">
        <f t="shared" si="35"/>
        <v>0.12941413989120448</v>
      </c>
      <c r="Q107" s="6">
        <f t="shared" si="35"/>
        <v>3.4136347756576714E-3</v>
      </c>
      <c r="R107" s="140">
        <f t="shared" ref="R107:R134" si="39">IF(ISNUMBER(VLOOKUP(CONCATENATE($J107,"_",R$105,"_a"),$B$6:$C$1151,2,FALSE)),VLOOKUP(CONCATENATE($J107,"_",R$105,"_a"),$B$6:$C$1151,2,FALSE)/1000000,"N/A")</f>
        <v>3.2426160589638466E-3</v>
      </c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M107" s="159" t="s">
        <v>321</v>
      </c>
      <c r="AN107" s="220">
        <f t="shared" si="36"/>
        <v>0</v>
      </c>
      <c r="AO107" s="220">
        <f t="shared" si="36"/>
        <v>0</v>
      </c>
      <c r="AP107" s="220">
        <f t="shared" si="36"/>
        <v>0</v>
      </c>
      <c r="AQ107" s="220">
        <f t="shared" si="36"/>
        <v>0.3</v>
      </c>
      <c r="AR107" s="220">
        <f t="shared" si="36"/>
        <v>0.3</v>
      </c>
      <c r="AS107" s="221">
        <f t="shared" si="36"/>
        <v>0.3</v>
      </c>
      <c r="AT107" s="217">
        <f t="shared" si="36"/>
        <v>0</v>
      </c>
      <c r="AU107" s="222">
        <f t="shared" si="36"/>
        <v>0</v>
      </c>
      <c r="AV107" s="217" t="str">
        <f t="shared" si="36"/>
        <v>N/A</v>
      </c>
      <c r="AW107" s="217" t="str">
        <f t="shared" si="36"/>
        <v>N/A</v>
      </c>
      <c r="AX107" s="217" t="str">
        <f t="shared" si="37"/>
        <v>N/A</v>
      </c>
      <c r="AY107" s="217" t="str">
        <f t="shared" si="37"/>
        <v>N/A</v>
      </c>
      <c r="AZ107" s="217" t="str">
        <f t="shared" si="37"/>
        <v>N/A</v>
      </c>
      <c r="BA107" s="217" t="str">
        <f t="shared" si="37"/>
        <v>N/A</v>
      </c>
      <c r="BB107" s="217" t="str">
        <f t="shared" si="37"/>
        <v>N/A</v>
      </c>
      <c r="BC107" s="217" t="str">
        <f t="shared" si="37"/>
        <v>N/A</v>
      </c>
      <c r="BD107" s="217" t="str">
        <f t="shared" si="37"/>
        <v>N/A</v>
      </c>
      <c r="BE107" s="217" t="str">
        <f t="shared" si="37"/>
        <v>N/A</v>
      </c>
      <c r="BF107" s="217" t="str">
        <f t="shared" si="37"/>
        <v>N/A</v>
      </c>
      <c r="BG107" s="217" t="str">
        <f t="shared" si="37"/>
        <v>N/A</v>
      </c>
      <c r="BH107" s="217" t="str">
        <f t="shared" si="38"/>
        <v>N/A</v>
      </c>
      <c r="BI107" s="217" t="str">
        <f t="shared" si="38"/>
        <v>N/A</v>
      </c>
      <c r="BJ107" s="217" t="str">
        <f t="shared" si="38"/>
        <v>N/A</v>
      </c>
      <c r="BK107" s="217" t="str">
        <f t="shared" si="38"/>
        <v>N/A</v>
      </c>
      <c r="BL107" s="217" t="str">
        <f t="shared" si="38"/>
        <v>N/A</v>
      </c>
      <c r="BM107" s="217" t="str">
        <f t="shared" si="38"/>
        <v>N/A</v>
      </c>
      <c r="BN107" s="217" t="str">
        <f t="shared" si="38"/>
        <v>N/A</v>
      </c>
    </row>
    <row r="108" spans="1:66" ht="15.75" x14ac:dyDescent="0.3">
      <c r="A108" s="150">
        <v>103</v>
      </c>
      <c r="B108" s="10" t="s">
        <v>87</v>
      </c>
      <c r="C108" s="236">
        <v>181585809.44052875</v>
      </c>
      <c r="D108" s="233"/>
      <c r="E108" s="232">
        <f t="shared" si="30"/>
        <v>0</v>
      </c>
      <c r="G108" s="10" t="s">
        <v>401</v>
      </c>
      <c r="H108" s="151">
        <f>IF(ISNUMBER(N52),N52/SUM($K$43:$AK$71),0)</f>
        <v>0</v>
      </c>
      <c r="J108" s="160" t="s">
        <v>10</v>
      </c>
      <c r="K108" s="11">
        <f t="shared" si="35"/>
        <v>8.0793653257185249E-4</v>
      </c>
      <c r="L108" s="11">
        <f t="shared" si="35"/>
        <v>7.6446183674593877</v>
      </c>
      <c r="M108" s="6">
        <f t="shared" si="35"/>
        <v>36.545209677670925</v>
      </c>
      <c r="N108" s="6">
        <f t="shared" si="35"/>
        <v>30.016765360475301</v>
      </c>
      <c r="O108" s="6">
        <f t="shared" si="35"/>
        <v>38.222789301618342</v>
      </c>
      <c r="P108" s="6">
        <f t="shared" si="35"/>
        <v>93.224454730905592</v>
      </c>
      <c r="Q108" s="12">
        <f t="shared" si="35"/>
        <v>83.411583505229956</v>
      </c>
      <c r="R108" s="6">
        <f t="shared" si="39"/>
        <v>26.357348741058598</v>
      </c>
      <c r="S108" s="140">
        <f t="shared" ref="S108:S134" si="40">IF(ISNUMBER(VLOOKUP(CONCATENATE($J108,"_",S$105,"_a"),$B$6:$C$1151,2,FALSE)),VLOOKUP(CONCATENATE($J108,"_",S$105,"_a"),$B$6:$C$1151,2,FALSE)/1000000,"N/A")</f>
        <v>0.97980277416709183</v>
      </c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M108" s="160" t="s">
        <v>10</v>
      </c>
      <c r="AN108" s="204">
        <f t="shared" si="36"/>
        <v>0</v>
      </c>
      <c r="AO108" s="204">
        <f t="shared" si="36"/>
        <v>0</v>
      </c>
      <c r="AP108" s="217">
        <f t="shared" si="36"/>
        <v>0</v>
      </c>
      <c r="AQ108" s="217">
        <f t="shared" si="36"/>
        <v>0</v>
      </c>
      <c r="AR108" s="217">
        <f t="shared" si="36"/>
        <v>0</v>
      </c>
      <c r="AS108" s="217">
        <f t="shared" si="36"/>
        <v>0</v>
      </c>
      <c r="AT108" s="218">
        <f t="shared" si="36"/>
        <v>0</v>
      </c>
      <c r="AU108" s="217">
        <f t="shared" si="36"/>
        <v>0</v>
      </c>
      <c r="AV108" s="222">
        <f t="shared" si="36"/>
        <v>0</v>
      </c>
      <c r="AW108" s="217" t="str">
        <f t="shared" si="36"/>
        <v>N/A</v>
      </c>
      <c r="AX108" s="217" t="str">
        <f t="shared" si="37"/>
        <v>N/A</v>
      </c>
      <c r="AY108" s="217" t="str">
        <f t="shared" si="37"/>
        <v>N/A</v>
      </c>
      <c r="AZ108" s="217" t="str">
        <f t="shared" si="37"/>
        <v>N/A</v>
      </c>
      <c r="BA108" s="217" t="str">
        <f t="shared" si="37"/>
        <v>N/A</v>
      </c>
      <c r="BB108" s="217" t="str">
        <f t="shared" si="37"/>
        <v>N/A</v>
      </c>
      <c r="BC108" s="217" t="str">
        <f t="shared" si="37"/>
        <v>N/A</v>
      </c>
      <c r="BD108" s="217" t="str">
        <f t="shared" si="37"/>
        <v>N/A</v>
      </c>
      <c r="BE108" s="217" t="str">
        <f t="shared" si="37"/>
        <v>N/A</v>
      </c>
      <c r="BF108" s="217" t="str">
        <f t="shared" si="37"/>
        <v>N/A</v>
      </c>
      <c r="BG108" s="217" t="str">
        <f t="shared" si="37"/>
        <v>N/A</v>
      </c>
      <c r="BH108" s="217" t="str">
        <f t="shared" si="38"/>
        <v>N/A</v>
      </c>
      <c r="BI108" s="217" t="str">
        <f t="shared" si="38"/>
        <v>N/A</v>
      </c>
      <c r="BJ108" s="217" t="str">
        <f t="shared" si="38"/>
        <v>N/A</v>
      </c>
      <c r="BK108" s="217" t="str">
        <f t="shared" si="38"/>
        <v>N/A</v>
      </c>
      <c r="BL108" s="217" t="str">
        <f t="shared" si="38"/>
        <v>N/A</v>
      </c>
      <c r="BM108" s="217" t="str">
        <f t="shared" si="38"/>
        <v>N/A</v>
      </c>
      <c r="BN108" s="217" t="str">
        <f t="shared" si="38"/>
        <v>N/A</v>
      </c>
    </row>
    <row r="109" spans="1:66" ht="15.75" x14ac:dyDescent="0.3">
      <c r="A109" s="150">
        <v>104</v>
      </c>
      <c r="B109" s="10" t="s">
        <v>88</v>
      </c>
      <c r="C109" s="236">
        <v>176937931.38765526</v>
      </c>
      <c r="D109" s="233"/>
      <c r="E109" s="232">
        <f t="shared" si="30"/>
        <v>0</v>
      </c>
      <c r="G109" s="10" t="s">
        <v>402</v>
      </c>
      <c r="H109" s="151">
        <f>IF(ISNUMBER(O52),O52/SUM($K$43:$AK$71),0)</f>
        <v>0</v>
      </c>
      <c r="J109" s="160" t="s">
        <v>11</v>
      </c>
      <c r="K109" s="11">
        <f t="shared" si="35"/>
        <v>4.1604614524842998E-4</v>
      </c>
      <c r="L109" s="11">
        <f t="shared" si="35"/>
        <v>37.189385476895822</v>
      </c>
      <c r="M109" s="6">
        <f t="shared" si="35"/>
        <v>226.59130653099052</v>
      </c>
      <c r="N109" s="6">
        <f t="shared" si="35"/>
        <v>280.21751662791252</v>
      </c>
      <c r="O109" s="6">
        <f t="shared" si="35"/>
        <v>147.39088976556874</v>
      </c>
      <c r="P109" s="6">
        <f t="shared" si="35"/>
        <v>190.7878418170985</v>
      </c>
      <c r="Q109" s="6">
        <f t="shared" si="35"/>
        <v>348.17261553152451</v>
      </c>
      <c r="R109" s="12">
        <f t="shared" si="39"/>
        <v>271.01067859939951</v>
      </c>
      <c r="S109" s="6">
        <f t="shared" si="40"/>
        <v>79.202484517894732</v>
      </c>
      <c r="T109" s="140">
        <f t="shared" ref="T109:T134" si="41">IF(ISNUMBER(VLOOKUP(CONCATENATE($J109,"_",T$105,"_a"),$B$6:$C$1151,2,FALSE)),VLOOKUP(CONCATENATE($J109,"_",T$105,"_a"),$B$6:$C$1151,2,FALSE)/1000000,"N/A")</f>
        <v>6.5626486221834401</v>
      </c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M109" s="160" t="s">
        <v>11</v>
      </c>
      <c r="AN109" s="204">
        <f t="shared" si="36"/>
        <v>0.5</v>
      </c>
      <c r="AO109" s="204">
        <f t="shared" si="36"/>
        <v>0.5</v>
      </c>
      <c r="AP109" s="217">
        <f t="shared" si="36"/>
        <v>0</v>
      </c>
      <c r="AQ109" s="217">
        <f t="shared" si="36"/>
        <v>0</v>
      </c>
      <c r="AR109" s="217">
        <f t="shared" si="36"/>
        <v>0</v>
      </c>
      <c r="AS109" s="217">
        <f t="shared" si="36"/>
        <v>0</v>
      </c>
      <c r="AT109" s="217">
        <f t="shared" si="36"/>
        <v>0</v>
      </c>
      <c r="AU109" s="218">
        <f t="shared" si="36"/>
        <v>0</v>
      </c>
      <c r="AV109" s="217">
        <f t="shared" si="36"/>
        <v>0</v>
      </c>
      <c r="AW109" s="222">
        <f t="shared" si="36"/>
        <v>0</v>
      </c>
      <c r="AX109" s="217" t="str">
        <f t="shared" si="37"/>
        <v>N/A</v>
      </c>
      <c r="AY109" s="217" t="str">
        <f t="shared" si="37"/>
        <v>N/A</v>
      </c>
      <c r="AZ109" s="217" t="str">
        <f t="shared" si="37"/>
        <v>N/A</v>
      </c>
      <c r="BA109" s="217" t="str">
        <f t="shared" si="37"/>
        <v>N/A</v>
      </c>
      <c r="BB109" s="217" t="str">
        <f t="shared" si="37"/>
        <v>N/A</v>
      </c>
      <c r="BC109" s="217" t="str">
        <f t="shared" si="37"/>
        <v>N/A</v>
      </c>
      <c r="BD109" s="217" t="str">
        <f t="shared" si="37"/>
        <v>N/A</v>
      </c>
      <c r="BE109" s="217" t="str">
        <f t="shared" si="37"/>
        <v>N/A</v>
      </c>
      <c r="BF109" s="217" t="str">
        <f t="shared" si="37"/>
        <v>N/A</v>
      </c>
      <c r="BG109" s="217" t="str">
        <f t="shared" si="37"/>
        <v>N/A</v>
      </c>
      <c r="BH109" s="217" t="str">
        <f t="shared" si="38"/>
        <v>N/A</v>
      </c>
      <c r="BI109" s="217" t="str">
        <f t="shared" si="38"/>
        <v>N/A</v>
      </c>
      <c r="BJ109" s="217" t="str">
        <f t="shared" si="38"/>
        <v>N/A</v>
      </c>
      <c r="BK109" s="217" t="str">
        <f t="shared" si="38"/>
        <v>N/A</v>
      </c>
      <c r="BL109" s="217" t="str">
        <f t="shared" si="38"/>
        <v>N/A</v>
      </c>
      <c r="BM109" s="217" t="str">
        <f t="shared" si="38"/>
        <v>N/A</v>
      </c>
      <c r="BN109" s="217" t="str">
        <f t="shared" si="38"/>
        <v>N/A</v>
      </c>
    </row>
    <row r="110" spans="1:66" ht="15.75" x14ac:dyDescent="0.3">
      <c r="A110" s="150">
        <v>105</v>
      </c>
      <c r="B110" s="10" t="s">
        <v>89</v>
      </c>
      <c r="C110" s="236">
        <v>572932468.35687256</v>
      </c>
      <c r="D110" s="233"/>
      <c r="E110" s="232">
        <f t="shared" si="30"/>
        <v>0</v>
      </c>
      <c r="G110" s="10" t="s">
        <v>403</v>
      </c>
      <c r="H110" s="151">
        <f>IF(ISNUMBER(P52),P52/SUM($K$43:$AK$71),0)</f>
        <v>0</v>
      </c>
      <c r="J110" s="160" t="s">
        <v>12</v>
      </c>
      <c r="K110" s="11">
        <f t="shared" si="35"/>
        <v>6.1372645885010603E-3</v>
      </c>
      <c r="L110" s="11">
        <f t="shared" si="35"/>
        <v>38.541053950622072</v>
      </c>
      <c r="M110" s="6">
        <f t="shared" si="35"/>
        <v>321.44828186923428</v>
      </c>
      <c r="N110" s="6">
        <f t="shared" si="35"/>
        <v>636.7837258442878</v>
      </c>
      <c r="O110" s="6">
        <f t="shared" si="35"/>
        <v>465.95630510388173</v>
      </c>
      <c r="P110" s="6">
        <f t="shared" si="35"/>
        <v>219.53613770576501</v>
      </c>
      <c r="Q110" s="6">
        <f t="shared" si="35"/>
        <v>394.98408381744372</v>
      </c>
      <c r="R110" s="6">
        <f t="shared" si="39"/>
        <v>644.90805602081298</v>
      </c>
      <c r="S110" s="12">
        <f t="shared" si="40"/>
        <v>416.82674962848677</v>
      </c>
      <c r="T110" s="6">
        <f t="shared" si="41"/>
        <v>105.22534449532027</v>
      </c>
      <c r="U110" s="140">
        <f t="shared" ref="U110:U134" si="42">IF(ISNUMBER(VLOOKUP(CONCATENATE($J110,"_",U$105,"_a"),$B$6:$C$1151,2,FALSE)),VLOOKUP(CONCATENATE($J110,"_",U$105,"_a"),$B$6:$C$1151,2,FALSE)/1000000,"N/A")</f>
        <v>8.2918638719108699</v>
      </c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M110" s="160" t="s">
        <v>12</v>
      </c>
      <c r="AN110" s="204">
        <f t="shared" si="36"/>
        <v>0</v>
      </c>
      <c r="AO110" s="204">
        <f t="shared" si="36"/>
        <v>0</v>
      </c>
      <c r="AP110" s="217">
        <f t="shared" si="36"/>
        <v>0.8</v>
      </c>
      <c r="AQ110" s="217">
        <f t="shared" si="36"/>
        <v>0.8</v>
      </c>
      <c r="AR110" s="217">
        <f t="shared" si="36"/>
        <v>0</v>
      </c>
      <c r="AS110" s="217">
        <f t="shared" si="36"/>
        <v>0</v>
      </c>
      <c r="AT110" s="217">
        <f t="shared" si="36"/>
        <v>0</v>
      </c>
      <c r="AU110" s="217">
        <f t="shared" si="36"/>
        <v>0</v>
      </c>
      <c r="AV110" s="218">
        <f t="shared" si="36"/>
        <v>0</v>
      </c>
      <c r="AW110" s="217">
        <f t="shared" si="36"/>
        <v>0</v>
      </c>
      <c r="AX110" s="222">
        <f t="shared" si="37"/>
        <v>0</v>
      </c>
      <c r="AY110" s="217" t="str">
        <f t="shared" si="37"/>
        <v>N/A</v>
      </c>
      <c r="AZ110" s="217" t="str">
        <f t="shared" si="37"/>
        <v>N/A</v>
      </c>
      <c r="BA110" s="217" t="str">
        <f t="shared" si="37"/>
        <v>N/A</v>
      </c>
      <c r="BB110" s="217" t="str">
        <f t="shared" si="37"/>
        <v>N/A</v>
      </c>
      <c r="BC110" s="217" t="str">
        <f t="shared" si="37"/>
        <v>N/A</v>
      </c>
      <c r="BD110" s="217" t="str">
        <f t="shared" si="37"/>
        <v>N/A</v>
      </c>
      <c r="BE110" s="217" t="str">
        <f t="shared" si="37"/>
        <v>N/A</v>
      </c>
      <c r="BF110" s="217" t="str">
        <f t="shared" si="37"/>
        <v>N/A</v>
      </c>
      <c r="BG110" s="217" t="str">
        <f t="shared" si="37"/>
        <v>N/A</v>
      </c>
      <c r="BH110" s="217" t="str">
        <f t="shared" si="38"/>
        <v>N/A</v>
      </c>
      <c r="BI110" s="217" t="str">
        <f t="shared" si="38"/>
        <v>N/A</v>
      </c>
      <c r="BJ110" s="217" t="str">
        <f t="shared" si="38"/>
        <v>N/A</v>
      </c>
      <c r="BK110" s="217" t="str">
        <f t="shared" si="38"/>
        <v>N/A</v>
      </c>
      <c r="BL110" s="217" t="str">
        <f t="shared" si="38"/>
        <v>N/A</v>
      </c>
      <c r="BM110" s="217" t="str">
        <f t="shared" si="38"/>
        <v>N/A</v>
      </c>
      <c r="BN110" s="217" t="str">
        <f t="shared" si="38"/>
        <v>N/A</v>
      </c>
    </row>
    <row r="111" spans="1:66" ht="15.75" x14ac:dyDescent="0.3">
      <c r="A111" s="150">
        <v>106</v>
      </c>
      <c r="B111" s="10" t="s">
        <v>90</v>
      </c>
      <c r="C111" s="236">
        <v>532463499.18925476</v>
      </c>
      <c r="D111" s="233"/>
      <c r="E111" s="232">
        <f t="shared" si="30"/>
        <v>0</v>
      </c>
      <c r="G111" s="10" t="s">
        <v>404</v>
      </c>
      <c r="H111" s="151">
        <f>IF(ISNUMBER(Q52),Q52/SUM($K$43:$AK$71),0)</f>
        <v>0</v>
      </c>
      <c r="J111" s="159" t="s">
        <v>13</v>
      </c>
      <c r="K111" s="9">
        <f t="shared" si="35"/>
        <v>1.0202732442493737E-3</v>
      </c>
      <c r="L111" s="9">
        <f t="shared" si="35"/>
        <v>4.2783973020119355</v>
      </c>
      <c r="M111" s="9">
        <f t="shared" si="35"/>
        <v>56.599825452692521</v>
      </c>
      <c r="N111" s="9">
        <f t="shared" si="35"/>
        <v>169.67837300449176</v>
      </c>
      <c r="O111" s="9">
        <f t="shared" si="35"/>
        <v>193.49567478516775</v>
      </c>
      <c r="P111" s="9">
        <f t="shared" si="35"/>
        <v>111.09050705623825</v>
      </c>
      <c r="Q111" s="9">
        <f t="shared" si="35"/>
        <v>181.58580944052875</v>
      </c>
      <c r="R111" s="9">
        <f t="shared" si="39"/>
        <v>572.9324683568725</v>
      </c>
      <c r="S111" s="9">
        <f t="shared" si="40"/>
        <v>748.59876534436</v>
      </c>
      <c r="T111" s="13">
        <f t="shared" si="41"/>
        <v>394.16140423123579</v>
      </c>
      <c r="U111" s="6">
        <f t="shared" si="42"/>
        <v>79.932306475941658</v>
      </c>
      <c r="V111" s="140">
        <f t="shared" ref="V111:V134" si="43">IF(ISNUMBER(VLOOKUP(CONCATENATE($J111,"_",V$105,"_a"),$B$6:$C$1151,2,FALSE)),VLOOKUP(CONCATENATE($J111,"_",V$105,"_a"),$B$6:$C$1151,2,FALSE)/1000000,"N/A")</f>
        <v>4.9959735871471187</v>
      </c>
      <c r="W111" s="6"/>
      <c r="X111" s="11"/>
      <c r="Y111" s="11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M111" s="159" t="s">
        <v>13</v>
      </c>
      <c r="AN111" s="220">
        <f t="shared" si="36"/>
        <v>0</v>
      </c>
      <c r="AO111" s="220">
        <f t="shared" si="36"/>
        <v>0</v>
      </c>
      <c r="AP111" s="220">
        <f t="shared" si="36"/>
        <v>0</v>
      </c>
      <c r="AQ111" s="220">
        <f t="shared" si="36"/>
        <v>0</v>
      </c>
      <c r="AR111" s="220">
        <f t="shared" si="36"/>
        <v>0</v>
      </c>
      <c r="AS111" s="220">
        <f t="shared" si="36"/>
        <v>0</v>
      </c>
      <c r="AT111" s="220">
        <f t="shared" si="36"/>
        <v>0</v>
      </c>
      <c r="AU111" s="220">
        <f t="shared" si="36"/>
        <v>0</v>
      </c>
      <c r="AV111" s="220">
        <f t="shared" si="36"/>
        <v>0</v>
      </c>
      <c r="AW111" s="221">
        <f t="shared" si="36"/>
        <v>0</v>
      </c>
      <c r="AX111" s="217">
        <f t="shared" si="37"/>
        <v>0</v>
      </c>
      <c r="AY111" s="222">
        <f t="shared" si="37"/>
        <v>0</v>
      </c>
      <c r="AZ111" s="217" t="str">
        <f t="shared" si="37"/>
        <v>N/A</v>
      </c>
      <c r="BA111" s="204" t="str">
        <f t="shared" si="37"/>
        <v>N/A</v>
      </c>
      <c r="BB111" s="204" t="str">
        <f t="shared" si="37"/>
        <v>N/A</v>
      </c>
      <c r="BC111" s="217" t="str">
        <f t="shared" si="37"/>
        <v>N/A</v>
      </c>
      <c r="BD111" s="217" t="str">
        <f t="shared" si="37"/>
        <v>N/A</v>
      </c>
      <c r="BE111" s="217" t="str">
        <f t="shared" si="37"/>
        <v>N/A</v>
      </c>
      <c r="BF111" s="217" t="str">
        <f t="shared" si="37"/>
        <v>N/A</v>
      </c>
      <c r="BG111" s="217" t="str">
        <f t="shared" si="37"/>
        <v>N/A</v>
      </c>
      <c r="BH111" s="217" t="str">
        <f t="shared" si="38"/>
        <v>N/A</v>
      </c>
      <c r="BI111" s="217" t="str">
        <f t="shared" si="38"/>
        <v>N/A</v>
      </c>
      <c r="BJ111" s="217" t="str">
        <f t="shared" si="38"/>
        <v>N/A</v>
      </c>
      <c r="BK111" s="217" t="str">
        <f t="shared" si="38"/>
        <v>N/A</v>
      </c>
      <c r="BL111" s="217" t="str">
        <f t="shared" si="38"/>
        <v>N/A</v>
      </c>
      <c r="BM111" s="217" t="str">
        <f t="shared" si="38"/>
        <v>N/A</v>
      </c>
      <c r="BN111" s="217" t="str">
        <f t="shared" si="38"/>
        <v>N/A</v>
      </c>
    </row>
    <row r="112" spans="1:66" ht="15.75" x14ac:dyDescent="0.3">
      <c r="A112" s="150">
        <v>107</v>
      </c>
      <c r="B112" s="10" t="s">
        <v>91</v>
      </c>
      <c r="C112" s="236">
        <v>748598765.34435999</v>
      </c>
      <c r="D112" s="233"/>
      <c r="E112" s="232">
        <f t="shared" si="30"/>
        <v>0</v>
      </c>
      <c r="G112" s="10" t="s">
        <v>405</v>
      </c>
      <c r="H112" s="151">
        <f>IF(ISNUMBER(R52),R52/SUM($K$43:$AK$71),0)</f>
        <v>0</v>
      </c>
      <c r="J112" s="160" t="s">
        <v>14</v>
      </c>
      <c r="K112" s="11">
        <f t="shared" si="35"/>
        <v>0.20207848638955148</v>
      </c>
      <c r="L112" s="11">
        <f t="shared" si="35"/>
        <v>12.977147159758557</v>
      </c>
      <c r="M112" s="6">
        <f t="shared" si="35"/>
        <v>9.8367601277027212</v>
      </c>
      <c r="N112" s="6">
        <f t="shared" si="35"/>
        <v>16.48846721279665</v>
      </c>
      <c r="O112" s="6">
        <f t="shared" si="35"/>
        <v>28.541189021585449</v>
      </c>
      <c r="P112" s="6">
        <f t="shared" si="35"/>
        <v>23.437847711045048</v>
      </c>
      <c r="Q112" s="6">
        <f t="shared" si="35"/>
        <v>31.909054670655028</v>
      </c>
      <c r="R112" s="6">
        <f t="shared" si="39"/>
        <v>188.884023987034</v>
      </c>
      <c r="S112" s="6">
        <f t="shared" si="40"/>
        <v>483.85836505389022</v>
      </c>
      <c r="T112" s="6">
        <f t="shared" si="41"/>
        <v>483.16940488556645</v>
      </c>
      <c r="U112" s="12">
        <f t="shared" si="42"/>
        <v>195.91716535785648</v>
      </c>
      <c r="V112" s="6">
        <f t="shared" si="43"/>
        <v>31.445535595175251</v>
      </c>
      <c r="W112" s="140">
        <f t="shared" ref="W112:W134" si="44">IF(ISNUMBER(VLOOKUP(CONCATENATE($J112,"_",W$105,"_a"),$B$6:$C$1151,2,FALSE)),VLOOKUP(CONCATENATE($J112,"_",W$105,"_a"),$B$6:$C$1151,2,FALSE)/1000000,"N/A")</f>
        <v>1.2717525239999885</v>
      </c>
      <c r="X112" s="11"/>
      <c r="Y112" s="11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M112" s="160" t="s">
        <v>14</v>
      </c>
      <c r="AN112" s="204">
        <f t="shared" si="36"/>
        <v>0</v>
      </c>
      <c r="AO112" s="204">
        <f t="shared" si="36"/>
        <v>0</v>
      </c>
      <c r="AP112" s="217">
        <f t="shared" si="36"/>
        <v>0</v>
      </c>
      <c r="AQ112" s="217">
        <f t="shared" si="36"/>
        <v>0</v>
      </c>
      <c r="AR112" s="217">
        <f t="shared" si="36"/>
        <v>0</v>
      </c>
      <c r="AS112" s="217">
        <f t="shared" si="36"/>
        <v>0</v>
      </c>
      <c r="AT112" s="217">
        <f t="shared" si="36"/>
        <v>0</v>
      </c>
      <c r="AU112" s="217">
        <f t="shared" si="36"/>
        <v>0</v>
      </c>
      <c r="AV112" s="217">
        <f t="shared" si="36"/>
        <v>0</v>
      </c>
      <c r="AW112" s="217">
        <f t="shared" si="36"/>
        <v>0</v>
      </c>
      <c r="AX112" s="218">
        <f t="shared" si="37"/>
        <v>0</v>
      </c>
      <c r="AY112" s="217">
        <f t="shared" si="37"/>
        <v>0</v>
      </c>
      <c r="AZ112" s="222">
        <f t="shared" si="37"/>
        <v>0</v>
      </c>
      <c r="BA112" s="204" t="str">
        <f t="shared" si="37"/>
        <v>N/A</v>
      </c>
      <c r="BB112" s="204" t="str">
        <f t="shared" si="37"/>
        <v>N/A</v>
      </c>
      <c r="BC112" s="217" t="str">
        <f t="shared" si="37"/>
        <v>N/A</v>
      </c>
      <c r="BD112" s="217" t="str">
        <f t="shared" si="37"/>
        <v>N/A</v>
      </c>
      <c r="BE112" s="217" t="str">
        <f t="shared" si="37"/>
        <v>N/A</v>
      </c>
      <c r="BF112" s="217" t="str">
        <f t="shared" si="37"/>
        <v>N/A</v>
      </c>
      <c r="BG112" s="217" t="str">
        <f t="shared" si="37"/>
        <v>N/A</v>
      </c>
      <c r="BH112" s="217" t="str">
        <f t="shared" si="38"/>
        <v>N/A</v>
      </c>
      <c r="BI112" s="217" t="str">
        <f t="shared" si="38"/>
        <v>N/A</v>
      </c>
      <c r="BJ112" s="217" t="str">
        <f t="shared" si="38"/>
        <v>N/A</v>
      </c>
      <c r="BK112" s="217" t="str">
        <f t="shared" si="38"/>
        <v>N/A</v>
      </c>
      <c r="BL112" s="217" t="str">
        <f t="shared" si="38"/>
        <v>N/A</v>
      </c>
      <c r="BM112" s="217" t="str">
        <f t="shared" si="38"/>
        <v>N/A</v>
      </c>
      <c r="BN112" s="217" t="str">
        <f t="shared" si="38"/>
        <v>N/A</v>
      </c>
    </row>
    <row r="113" spans="1:66" ht="15.75" x14ac:dyDescent="0.3">
      <c r="A113" s="150">
        <v>108</v>
      </c>
      <c r="B113" s="10" t="s">
        <v>92</v>
      </c>
      <c r="C113" s="236">
        <v>637589009.29458618</v>
      </c>
      <c r="D113" s="233"/>
      <c r="E113" s="232">
        <f t="shared" si="30"/>
        <v>0</v>
      </c>
      <c r="G113" s="10" t="s">
        <v>406</v>
      </c>
      <c r="H113" s="151">
        <f>IF(ISNUMBER(S52),S52/SUM($K$43:$AK$71),0)</f>
        <v>0</v>
      </c>
      <c r="J113" s="160" t="s">
        <v>15</v>
      </c>
      <c r="K113" s="11">
        <f t="shared" si="35"/>
        <v>1.1670076657552972E-2</v>
      </c>
      <c r="L113" s="11">
        <f t="shared" si="35"/>
        <v>0.33066811439280952</v>
      </c>
      <c r="M113" s="6">
        <f t="shared" si="35"/>
        <v>0.13230648247358948</v>
      </c>
      <c r="N113" s="6">
        <f t="shared" si="35"/>
        <v>0.1228968306603497</v>
      </c>
      <c r="O113" s="6">
        <f t="shared" si="35"/>
        <v>0.55301393604620541</v>
      </c>
      <c r="P113" s="6">
        <f t="shared" si="35"/>
        <v>0.91722389064090071</v>
      </c>
      <c r="Q113" s="6">
        <f t="shared" si="35"/>
        <v>0.17961889136132808</v>
      </c>
      <c r="R113" s="6">
        <f t="shared" si="39"/>
        <v>0.66163382859338049</v>
      </c>
      <c r="S113" s="6">
        <f t="shared" si="40"/>
        <v>9.4224610036730923</v>
      </c>
      <c r="T113" s="6">
        <f t="shared" si="41"/>
        <v>18.540877809231525</v>
      </c>
      <c r="U113" s="6">
        <f t="shared" si="42"/>
        <v>14.419707106986273</v>
      </c>
      <c r="V113" s="12">
        <f t="shared" si="43"/>
        <v>4.3983982988518475</v>
      </c>
      <c r="W113" s="6">
        <f t="shared" si="44"/>
        <v>0.1877191469975765</v>
      </c>
      <c r="X113" s="140">
        <f t="shared" ref="X113:X134" si="45">IF(ISNUMBER(VLOOKUP(CONCATENATE($J113,"_",X$105,"_a"),$B$6:$C$1151,2,FALSE)),VLOOKUP(CONCATENATE($J113,"_",X$105,"_a"),$B$6:$C$1151,2,FALSE)/1000000,"N/A")</f>
        <v>0.17733027050670985</v>
      </c>
      <c r="Y113" s="11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M113" s="160" t="s">
        <v>15</v>
      </c>
      <c r="AN113" s="204">
        <f t="shared" si="36"/>
        <v>0</v>
      </c>
      <c r="AO113" s="204">
        <f t="shared" si="36"/>
        <v>0</v>
      </c>
      <c r="AP113" s="217">
        <f t="shared" si="36"/>
        <v>0</v>
      </c>
      <c r="AQ113" s="217">
        <f t="shared" si="36"/>
        <v>0</v>
      </c>
      <c r="AR113" s="217">
        <f t="shared" si="36"/>
        <v>0</v>
      </c>
      <c r="AS113" s="217">
        <f t="shared" si="36"/>
        <v>0</v>
      </c>
      <c r="AT113" s="217">
        <f t="shared" si="36"/>
        <v>0</v>
      </c>
      <c r="AU113" s="217">
        <f t="shared" si="36"/>
        <v>0</v>
      </c>
      <c r="AV113" s="217">
        <f t="shared" si="36"/>
        <v>0</v>
      </c>
      <c r="AW113" s="217">
        <f t="shared" si="36"/>
        <v>0</v>
      </c>
      <c r="AX113" s="217">
        <f t="shared" si="37"/>
        <v>0</v>
      </c>
      <c r="AY113" s="218">
        <f t="shared" si="37"/>
        <v>0</v>
      </c>
      <c r="AZ113" s="217">
        <f t="shared" si="37"/>
        <v>0</v>
      </c>
      <c r="BA113" s="222">
        <f t="shared" si="37"/>
        <v>0</v>
      </c>
      <c r="BB113" s="204" t="str">
        <f t="shared" si="37"/>
        <v>N/A</v>
      </c>
      <c r="BC113" s="217" t="str">
        <f t="shared" si="37"/>
        <v>N/A</v>
      </c>
      <c r="BD113" s="217" t="str">
        <f t="shared" si="37"/>
        <v>N/A</v>
      </c>
      <c r="BE113" s="217" t="str">
        <f t="shared" si="37"/>
        <v>N/A</v>
      </c>
      <c r="BF113" s="217" t="str">
        <f t="shared" si="37"/>
        <v>N/A</v>
      </c>
      <c r="BG113" s="217" t="str">
        <f t="shared" si="37"/>
        <v>N/A</v>
      </c>
      <c r="BH113" s="217" t="str">
        <f t="shared" si="38"/>
        <v>N/A</v>
      </c>
      <c r="BI113" s="217" t="str">
        <f t="shared" si="38"/>
        <v>N/A</v>
      </c>
      <c r="BJ113" s="217" t="str">
        <f t="shared" si="38"/>
        <v>N/A</v>
      </c>
      <c r="BK113" s="217" t="str">
        <f t="shared" si="38"/>
        <v>N/A</v>
      </c>
      <c r="BL113" s="217" t="str">
        <f t="shared" si="38"/>
        <v>N/A</v>
      </c>
      <c r="BM113" s="217" t="str">
        <f t="shared" si="38"/>
        <v>N/A</v>
      </c>
      <c r="BN113" s="217" t="str">
        <f t="shared" si="38"/>
        <v>N/A</v>
      </c>
    </row>
    <row r="114" spans="1:66" ht="15.75" x14ac:dyDescent="0.3">
      <c r="A114" s="150">
        <v>109</v>
      </c>
      <c r="B114" s="10" t="s">
        <v>683</v>
      </c>
      <c r="C114" s="236">
        <v>394161404.2312358</v>
      </c>
      <c r="D114" s="233"/>
      <c r="E114" s="232">
        <f t="shared" si="30"/>
        <v>0</v>
      </c>
      <c r="G114" s="10" t="s">
        <v>407</v>
      </c>
      <c r="H114" s="151">
        <f>IF(ISNUMBER(T52),T52/SUM($K$43:$AK$71),0)</f>
        <v>0</v>
      </c>
      <c r="J114" s="160" t="s">
        <v>16</v>
      </c>
      <c r="K114" s="11">
        <f t="shared" si="35"/>
        <v>4.4100469282495006E-3</v>
      </c>
      <c r="L114" s="11">
        <f t="shared" si="35"/>
        <v>2.4192512470608348E-3</v>
      </c>
      <c r="M114" s="6">
        <f t="shared" si="35"/>
        <v>2.8336782786369447E-3</v>
      </c>
      <c r="N114" s="6">
        <f t="shared" si="35"/>
        <v>1.8689366501474309E-2</v>
      </c>
      <c r="O114" s="6">
        <f t="shared" si="35"/>
        <v>2.96157412748153E-2</v>
      </c>
      <c r="P114" s="6">
        <f t="shared" si="35"/>
        <v>2.1687187600717875E-2</v>
      </c>
      <c r="Q114" s="6">
        <f t="shared" si="35"/>
        <v>4.4731533399623373E-2</v>
      </c>
      <c r="R114" s="6">
        <f t="shared" si="39"/>
        <v>0.10371087527214841</v>
      </c>
      <c r="S114" s="6">
        <f t="shared" si="40"/>
        <v>4.43330710272191E-3</v>
      </c>
      <c r="T114" s="6">
        <f t="shared" si="41"/>
        <v>5.0496209565010506E-3</v>
      </c>
      <c r="U114" s="6">
        <f t="shared" si="42"/>
        <v>6.5746573055723803E-2</v>
      </c>
      <c r="V114" s="6">
        <f t="shared" si="43"/>
        <v>6.6798978857422253E-2</v>
      </c>
      <c r="W114" s="12">
        <f t="shared" si="44"/>
        <v>6.0666285489996644E-3</v>
      </c>
      <c r="X114" s="11">
        <f t="shared" si="45"/>
        <v>2.1447804472694676</v>
      </c>
      <c r="Y114" s="140">
        <f t="shared" ref="Y114:Y134" si="46">IF(ISNUMBER(VLOOKUP(CONCATENATE($J114,"_",Y$105,"_a"),$B$6:$C$1151,2,FALSE)),VLOOKUP(CONCATENATE($J114,"_",Y$105,"_a"),$B$6:$C$1151,2,FALSE)/1000000,"N/A")</f>
        <v>2.2531542683655391E-2</v>
      </c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M114" s="160" t="s">
        <v>16</v>
      </c>
      <c r="AN114" s="204">
        <f t="shared" si="36"/>
        <v>0</v>
      </c>
      <c r="AO114" s="204">
        <f t="shared" si="36"/>
        <v>0</v>
      </c>
      <c r="AP114" s="217">
        <f t="shared" si="36"/>
        <v>0</v>
      </c>
      <c r="AQ114" s="217">
        <f t="shared" si="36"/>
        <v>0</v>
      </c>
      <c r="AR114" s="217">
        <f t="shared" si="36"/>
        <v>0</v>
      </c>
      <c r="AS114" s="217">
        <f t="shared" si="36"/>
        <v>0</v>
      </c>
      <c r="AT114" s="217">
        <f t="shared" si="36"/>
        <v>0</v>
      </c>
      <c r="AU114" s="217">
        <f t="shared" si="36"/>
        <v>0</v>
      </c>
      <c r="AV114" s="217">
        <f t="shared" si="36"/>
        <v>0</v>
      </c>
      <c r="AW114" s="217">
        <f t="shared" si="36"/>
        <v>0</v>
      </c>
      <c r="AX114" s="217">
        <f t="shared" si="37"/>
        <v>0</v>
      </c>
      <c r="AY114" s="217">
        <f t="shared" si="37"/>
        <v>0</v>
      </c>
      <c r="AZ114" s="218">
        <f t="shared" si="37"/>
        <v>0</v>
      </c>
      <c r="BA114" s="204">
        <f t="shared" si="37"/>
        <v>0</v>
      </c>
      <c r="BB114" s="222">
        <f t="shared" si="37"/>
        <v>0</v>
      </c>
      <c r="BC114" s="217" t="str">
        <f t="shared" si="37"/>
        <v>N/A</v>
      </c>
      <c r="BD114" s="217" t="str">
        <f t="shared" si="37"/>
        <v>N/A</v>
      </c>
      <c r="BE114" s="217" t="str">
        <f t="shared" si="37"/>
        <v>N/A</v>
      </c>
      <c r="BF114" s="217" t="str">
        <f t="shared" si="37"/>
        <v>N/A</v>
      </c>
      <c r="BG114" s="217" t="str">
        <f t="shared" si="37"/>
        <v>N/A</v>
      </c>
      <c r="BH114" s="217" t="str">
        <f t="shared" si="38"/>
        <v>N/A</v>
      </c>
      <c r="BI114" s="217" t="str">
        <f t="shared" si="38"/>
        <v>N/A</v>
      </c>
      <c r="BJ114" s="217" t="str">
        <f t="shared" si="38"/>
        <v>N/A</v>
      </c>
      <c r="BK114" s="217" t="str">
        <f t="shared" si="38"/>
        <v>N/A</v>
      </c>
      <c r="BL114" s="217" t="str">
        <f t="shared" si="38"/>
        <v>N/A</v>
      </c>
      <c r="BM114" s="217" t="str">
        <f t="shared" si="38"/>
        <v>N/A</v>
      </c>
      <c r="BN114" s="217" t="str">
        <f t="shared" si="38"/>
        <v>N/A</v>
      </c>
    </row>
    <row r="115" spans="1:66" ht="15.75" x14ac:dyDescent="0.3">
      <c r="A115" s="150">
        <v>110</v>
      </c>
      <c r="B115" s="10" t="s">
        <v>684</v>
      </c>
      <c r="C115" s="236">
        <v>345302724.93120205</v>
      </c>
      <c r="D115" s="233"/>
      <c r="E115" s="232">
        <f t="shared" si="30"/>
        <v>0</v>
      </c>
      <c r="G115" s="10" t="s">
        <v>512</v>
      </c>
      <c r="H115" s="151">
        <f>IF(ISNUMBER(U52),U52/SUM($K$43:$AK$71),0)</f>
        <v>0</v>
      </c>
      <c r="J115" s="159" t="s">
        <v>17</v>
      </c>
      <c r="K115" s="9">
        <f t="shared" si="35"/>
        <v>3.7741680955048224E-3</v>
      </c>
      <c r="L115" s="9">
        <f t="shared" si="35"/>
        <v>2.1173701340331478E-3</v>
      </c>
      <c r="M115" s="9">
        <f t="shared" si="35"/>
        <v>2.4203190768471022E-3</v>
      </c>
      <c r="N115" s="9">
        <f t="shared" si="35"/>
        <v>1.5162024755172531E-3</v>
      </c>
      <c r="O115" s="9">
        <f t="shared" si="35"/>
        <v>8.7550224499586184E-3</v>
      </c>
      <c r="P115" s="9">
        <f t="shared" si="35"/>
        <v>1.2822729125798996E-2</v>
      </c>
      <c r="Q115" s="9">
        <f t="shared" si="35"/>
        <v>1.8076181643677402E-4</v>
      </c>
      <c r="R115" s="9">
        <f t="shared" si="39"/>
        <v>0</v>
      </c>
      <c r="S115" s="9">
        <f t="shared" si="40"/>
        <v>1.1305158678955358E-2</v>
      </c>
      <c r="T115" s="9">
        <f t="shared" si="41"/>
        <v>1.6464604634765526E-2</v>
      </c>
      <c r="U115" s="9">
        <f t="shared" si="42"/>
        <v>1.4180829526369058E-3</v>
      </c>
      <c r="V115" s="9">
        <f t="shared" si="43"/>
        <v>0.8107001250189122</v>
      </c>
      <c r="W115" s="9">
        <f t="shared" si="44"/>
        <v>2.0628911724683376E-2</v>
      </c>
      <c r="X115" s="13">
        <f t="shared" si="45"/>
        <v>0.32697705651616038</v>
      </c>
      <c r="Y115" s="11">
        <f t="shared" si="46"/>
        <v>2.1326051410858061E-2</v>
      </c>
      <c r="Z115" s="140">
        <f t="shared" ref="Z115:Z134" si="47">IF(ISNUMBER(VLOOKUP(CONCATENATE($J115,"_",Z$105,"_a"),$B$6:$C$1151,2,FALSE)),VLOOKUP(CONCATENATE($J115,"_",Z$105,"_a"),$B$6:$C$1151,2,FALSE)/1000000,"N/A")</f>
        <v>1.636572576049896E-2</v>
      </c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M115" s="159" t="s">
        <v>17</v>
      </c>
      <c r="AN115" s="220">
        <f t="shared" si="36"/>
        <v>0</v>
      </c>
      <c r="AO115" s="220">
        <f t="shared" si="36"/>
        <v>0</v>
      </c>
      <c r="AP115" s="220">
        <f t="shared" si="36"/>
        <v>0</v>
      </c>
      <c r="AQ115" s="220">
        <f t="shared" si="36"/>
        <v>0</v>
      </c>
      <c r="AR115" s="220">
        <f t="shared" si="36"/>
        <v>0</v>
      </c>
      <c r="AS115" s="220">
        <f t="shared" si="36"/>
        <v>0</v>
      </c>
      <c r="AT115" s="220">
        <f t="shared" si="36"/>
        <v>0</v>
      </c>
      <c r="AU115" s="220" t="str">
        <f t="shared" si="36"/>
        <v>N/A</v>
      </c>
      <c r="AV115" s="220">
        <f t="shared" si="36"/>
        <v>0</v>
      </c>
      <c r="AW115" s="220">
        <f t="shared" si="36"/>
        <v>0</v>
      </c>
      <c r="AX115" s="220">
        <f t="shared" si="37"/>
        <v>0</v>
      </c>
      <c r="AY115" s="220">
        <f t="shared" si="37"/>
        <v>0</v>
      </c>
      <c r="AZ115" s="220">
        <f t="shared" si="37"/>
        <v>0</v>
      </c>
      <c r="BA115" s="221">
        <f t="shared" si="37"/>
        <v>0</v>
      </c>
      <c r="BB115" s="204">
        <f t="shared" si="37"/>
        <v>0</v>
      </c>
      <c r="BC115" s="222">
        <f t="shared" si="37"/>
        <v>0</v>
      </c>
      <c r="BD115" s="217" t="str">
        <f t="shared" si="37"/>
        <v>N/A</v>
      </c>
      <c r="BE115" s="217" t="str">
        <f t="shared" si="37"/>
        <v>N/A</v>
      </c>
      <c r="BF115" s="217" t="str">
        <f t="shared" si="37"/>
        <v>N/A</v>
      </c>
      <c r="BG115" s="217" t="str">
        <f t="shared" si="37"/>
        <v>N/A</v>
      </c>
      <c r="BH115" s="217" t="str">
        <f t="shared" si="38"/>
        <v>N/A</v>
      </c>
      <c r="BI115" s="217" t="str">
        <f t="shared" si="38"/>
        <v>N/A</v>
      </c>
      <c r="BJ115" s="217" t="str">
        <f t="shared" si="38"/>
        <v>N/A</v>
      </c>
      <c r="BK115" s="217" t="str">
        <f t="shared" si="38"/>
        <v>N/A</v>
      </c>
      <c r="BL115" s="217" t="str">
        <f t="shared" si="38"/>
        <v>N/A</v>
      </c>
      <c r="BM115" s="217" t="str">
        <f t="shared" si="38"/>
        <v>N/A</v>
      </c>
      <c r="BN115" s="217" t="str">
        <f t="shared" si="38"/>
        <v>N/A</v>
      </c>
    </row>
    <row r="116" spans="1:66" ht="15.75" x14ac:dyDescent="0.3">
      <c r="A116" s="150">
        <v>111</v>
      </c>
      <c r="B116" s="10" t="s">
        <v>1109</v>
      </c>
      <c r="C116" s="236">
        <v>79932306.475941658</v>
      </c>
      <c r="D116" s="233"/>
      <c r="E116" s="232">
        <f t="shared" si="30"/>
        <v>0</v>
      </c>
      <c r="G116" s="10" t="s">
        <v>513</v>
      </c>
      <c r="H116" s="151">
        <f>IF(ISNUMBER(V52),V52/SUM($K$43:$AK$71),0)</f>
        <v>0</v>
      </c>
      <c r="J116" s="160" t="s">
        <v>9</v>
      </c>
      <c r="K116" s="11">
        <f t="shared" ref="K116:Q125" si="48">IF(ISNUMBER(VLOOKUP(CONCATENATE($J116,"_",K$105,"_a"),$B$6:$C$1151,2,FALSE)),VLOOKUP(CONCATENATE($J116,"_",K$105,"_a"),$B$6:$C$1151,2,FALSE)/1000000,"N/A")</f>
        <v>0</v>
      </c>
      <c r="L116" s="11">
        <f t="shared" si="48"/>
        <v>8.0773819757080489E-3</v>
      </c>
      <c r="M116" s="6">
        <f t="shared" si="48"/>
        <v>4.2445988044739251E-5</v>
      </c>
      <c r="N116" s="6">
        <f t="shared" si="48"/>
        <v>1.5057075767679574E-2</v>
      </c>
      <c r="O116" s="6">
        <f t="shared" si="48"/>
        <v>5.3154022382813724E-3</v>
      </c>
      <c r="P116" s="6">
        <f t="shared" si="48"/>
        <v>2.2439502868652349E-3</v>
      </c>
      <c r="Q116" s="6">
        <f t="shared" si="48"/>
        <v>6.6849341221619503E-4</v>
      </c>
      <c r="R116" s="6">
        <f t="shared" si="39"/>
        <v>0</v>
      </c>
      <c r="S116" s="6">
        <f t="shared" si="40"/>
        <v>2.7482922089845001E-3</v>
      </c>
      <c r="T116" s="6">
        <f t="shared" si="41"/>
        <v>8.0463188745611459E-3</v>
      </c>
      <c r="U116" s="6">
        <f t="shared" si="42"/>
        <v>0.58506706248992679</v>
      </c>
      <c r="V116" s="6">
        <f t="shared" si="43"/>
        <v>2.5974118403390949</v>
      </c>
      <c r="W116" s="11">
        <f t="shared" si="44"/>
        <v>3.4626031309508702</v>
      </c>
      <c r="X116" s="6">
        <f t="shared" si="45"/>
        <v>1.522028902903392</v>
      </c>
      <c r="Y116" s="12">
        <f t="shared" si="46"/>
        <v>0.10537559149530157</v>
      </c>
      <c r="Z116" s="6">
        <f t="shared" si="47"/>
        <v>2.7409978127441999E-3</v>
      </c>
      <c r="AA116" s="140">
        <f t="shared" ref="AA116:AA134" si="49">IF(ISNUMBER(VLOOKUP(CONCATENATE($J116,"_",AA$105,"_a"),$B$6:$C$1151,2,FALSE)),VLOOKUP(CONCATENATE($J116,"_",AA$105,"_a"),$B$6:$C$1151,2,FALSE)/1000000,"N/A")</f>
        <v>1.1352227351501475E-2</v>
      </c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M116" s="160" t="s">
        <v>9</v>
      </c>
      <c r="AN116" s="204" t="str">
        <f t="shared" ref="AN116:AW125" si="50">IF(ISNUMBER(VLOOKUP(CONCATENATE($J116,"_",AN$105,"_a"),$B$6:$E$1151,4,FALSE)),VLOOKUP(CONCATENATE($J116,"_",AN$105,"_a"),$B$6:$E$1151,4,FALSE),"N/A")</f>
        <v>N/A</v>
      </c>
      <c r="AO116" s="204">
        <f t="shared" si="50"/>
        <v>0</v>
      </c>
      <c r="AP116" s="217">
        <f t="shared" si="50"/>
        <v>0</v>
      </c>
      <c r="AQ116" s="217">
        <f t="shared" si="50"/>
        <v>0</v>
      </c>
      <c r="AR116" s="217">
        <f t="shared" si="50"/>
        <v>0</v>
      </c>
      <c r="AS116" s="217">
        <f t="shared" si="50"/>
        <v>0</v>
      </c>
      <c r="AT116" s="217">
        <f t="shared" si="50"/>
        <v>0</v>
      </c>
      <c r="AU116" s="217" t="str">
        <f t="shared" si="50"/>
        <v>N/A</v>
      </c>
      <c r="AV116" s="217">
        <f t="shared" si="50"/>
        <v>0</v>
      </c>
      <c r="AW116" s="217">
        <f t="shared" si="50"/>
        <v>0</v>
      </c>
      <c r="AX116" s="217">
        <f t="shared" ref="AX116:BG125" si="51">IF(ISNUMBER(VLOOKUP(CONCATENATE($J116,"_",AX$105,"_a"),$B$6:$E$1151,4,FALSE)),VLOOKUP(CONCATENATE($J116,"_",AX$105,"_a"),$B$6:$E$1151,4,FALSE),"N/A")</f>
        <v>0</v>
      </c>
      <c r="AY116" s="217">
        <f t="shared" si="51"/>
        <v>0</v>
      </c>
      <c r="AZ116" s="204">
        <f t="shared" si="51"/>
        <v>0</v>
      </c>
      <c r="BA116" s="217">
        <f t="shared" si="51"/>
        <v>0</v>
      </c>
      <c r="BB116" s="218">
        <f t="shared" si="51"/>
        <v>0</v>
      </c>
      <c r="BC116" s="217">
        <f t="shared" si="51"/>
        <v>0</v>
      </c>
      <c r="BD116" s="222">
        <f t="shared" si="51"/>
        <v>0</v>
      </c>
      <c r="BE116" s="217" t="str">
        <f t="shared" si="51"/>
        <v>N/A</v>
      </c>
      <c r="BF116" s="217" t="str">
        <f t="shared" si="51"/>
        <v>N/A</v>
      </c>
      <c r="BG116" s="217" t="str">
        <f t="shared" si="51"/>
        <v>N/A</v>
      </c>
      <c r="BH116" s="217" t="str">
        <f t="shared" ref="BH116:BN125" si="52">IF(ISNUMBER(VLOOKUP(CONCATENATE($J116,"_",BH$105,"_a"),$B$6:$E$1151,4,FALSE)),VLOOKUP(CONCATENATE($J116,"_",BH$105,"_a"),$B$6:$E$1151,4,FALSE),"N/A")</f>
        <v>N/A</v>
      </c>
      <c r="BI116" s="217" t="str">
        <f t="shared" si="52"/>
        <v>N/A</v>
      </c>
      <c r="BJ116" s="217" t="str">
        <f t="shared" si="52"/>
        <v>N/A</v>
      </c>
      <c r="BK116" s="217" t="str">
        <f t="shared" si="52"/>
        <v>N/A</v>
      </c>
      <c r="BL116" s="217" t="str">
        <f t="shared" si="52"/>
        <v>N/A</v>
      </c>
      <c r="BM116" s="217" t="str">
        <f t="shared" si="52"/>
        <v>N/A</v>
      </c>
      <c r="BN116" s="217" t="str">
        <f t="shared" si="52"/>
        <v>N/A</v>
      </c>
    </row>
    <row r="117" spans="1:66" ht="15.75" x14ac:dyDescent="0.3">
      <c r="A117" s="150">
        <v>112</v>
      </c>
      <c r="B117" s="10" t="s">
        <v>1110</v>
      </c>
      <c r="C117" s="236">
        <v>76528335.453475952</v>
      </c>
      <c r="D117" s="233"/>
      <c r="E117" s="232">
        <f t="shared" si="30"/>
        <v>0</v>
      </c>
      <c r="G117" s="10" t="s">
        <v>514</v>
      </c>
      <c r="H117" s="151">
        <f>IF(ISNUMBER(W52),W52/SUM($K$43:$AK$71),0)</f>
        <v>0</v>
      </c>
      <c r="J117" s="160" t="s">
        <v>18</v>
      </c>
      <c r="K117" s="11">
        <f t="shared" si="48"/>
        <v>0.14537435074555077</v>
      </c>
      <c r="L117" s="11">
        <f t="shared" si="48"/>
        <v>1.3224442756865746</v>
      </c>
      <c r="M117" s="6">
        <f t="shared" si="48"/>
        <v>1.3212958418590792</v>
      </c>
      <c r="N117" s="6">
        <f t="shared" si="48"/>
        <v>0.75161208595933127</v>
      </c>
      <c r="O117" s="6">
        <f t="shared" si="48"/>
        <v>4.8716886325592172E-2</v>
      </c>
      <c r="P117" s="6">
        <f t="shared" si="48"/>
        <v>1.1583590509208628E-2</v>
      </c>
      <c r="Q117" s="6">
        <f t="shared" si="48"/>
        <v>2.2452115882874924E-4</v>
      </c>
      <c r="R117" s="6">
        <f t="shared" si="39"/>
        <v>7.1306221370088518E-3</v>
      </c>
      <c r="S117" s="6">
        <f t="shared" si="40"/>
        <v>2.1914229537965725E-4</v>
      </c>
      <c r="T117" s="6">
        <f t="shared" si="41"/>
        <v>1.4091764656372116E-3</v>
      </c>
      <c r="U117" s="6">
        <f t="shared" si="42"/>
        <v>0.76098018819502755</v>
      </c>
      <c r="V117" s="6">
        <f t="shared" si="43"/>
        <v>5.3521743706622127</v>
      </c>
      <c r="W117" s="11">
        <f t="shared" si="44"/>
        <v>11.674277704158785</v>
      </c>
      <c r="X117" s="6">
        <f t="shared" si="45"/>
        <v>11.873331503762126</v>
      </c>
      <c r="Y117" s="6">
        <f t="shared" si="46"/>
        <v>6.1146473158287424</v>
      </c>
      <c r="Z117" s="12">
        <f t="shared" si="47"/>
        <v>0.86536617696648144</v>
      </c>
      <c r="AA117" s="6">
        <f t="shared" si="49"/>
        <v>4.2336573528929597E-2</v>
      </c>
      <c r="AB117" s="140">
        <f t="shared" ref="AB117:AB134" si="53">IF(ISNUMBER(VLOOKUP(CONCATENATE($J117,"_",AB$105,"_a"),$B$6:$C$1151,2,FALSE)),VLOOKUP(CONCATENATE($J117,"_",AB$105,"_a"),$B$6:$C$1151,2,FALSE)/1000000,"N/A")</f>
        <v>1.9142497999512124E-2</v>
      </c>
      <c r="AC117" s="6"/>
      <c r="AD117" s="6"/>
      <c r="AE117" s="6"/>
      <c r="AF117" s="6"/>
      <c r="AG117" s="6"/>
      <c r="AH117" s="6"/>
      <c r="AI117" s="6"/>
      <c r="AJ117" s="6"/>
      <c r="AK117" s="6"/>
      <c r="AM117" s="160" t="s">
        <v>18</v>
      </c>
      <c r="AN117" s="204">
        <f t="shared" si="50"/>
        <v>0</v>
      </c>
      <c r="AO117" s="204">
        <f t="shared" si="50"/>
        <v>0</v>
      </c>
      <c r="AP117" s="217">
        <f t="shared" si="50"/>
        <v>0</v>
      </c>
      <c r="AQ117" s="217">
        <f t="shared" si="50"/>
        <v>0</v>
      </c>
      <c r="AR117" s="217">
        <f t="shared" si="50"/>
        <v>0</v>
      </c>
      <c r="AS117" s="217">
        <f t="shared" si="50"/>
        <v>0</v>
      </c>
      <c r="AT117" s="217">
        <f t="shared" si="50"/>
        <v>0</v>
      </c>
      <c r="AU117" s="217">
        <f t="shared" si="50"/>
        <v>0</v>
      </c>
      <c r="AV117" s="217">
        <f t="shared" si="50"/>
        <v>0</v>
      </c>
      <c r="AW117" s="217">
        <f t="shared" si="50"/>
        <v>0</v>
      </c>
      <c r="AX117" s="217">
        <f t="shared" si="51"/>
        <v>0</v>
      </c>
      <c r="AY117" s="217">
        <f t="shared" si="51"/>
        <v>0</v>
      </c>
      <c r="AZ117" s="204">
        <f t="shared" si="51"/>
        <v>0</v>
      </c>
      <c r="BA117" s="217">
        <f t="shared" si="51"/>
        <v>0</v>
      </c>
      <c r="BB117" s="217">
        <f t="shared" si="51"/>
        <v>0</v>
      </c>
      <c r="BC117" s="218">
        <f t="shared" si="51"/>
        <v>0</v>
      </c>
      <c r="BD117" s="217">
        <f t="shared" si="51"/>
        <v>0</v>
      </c>
      <c r="BE117" s="222">
        <f t="shared" si="51"/>
        <v>0</v>
      </c>
      <c r="BF117" s="217" t="str">
        <f t="shared" si="51"/>
        <v>N/A</v>
      </c>
      <c r="BG117" s="217" t="str">
        <f t="shared" si="51"/>
        <v>N/A</v>
      </c>
      <c r="BH117" s="217" t="str">
        <f t="shared" si="52"/>
        <v>N/A</v>
      </c>
      <c r="BI117" s="217" t="str">
        <f t="shared" si="52"/>
        <v>N/A</v>
      </c>
      <c r="BJ117" s="217" t="str">
        <f t="shared" si="52"/>
        <v>N/A</v>
      </c>
      <c r="BK117" s="217" t="str">
        <f t="shared" si="52"/>
        <v>N/A</v>
      </c>
      <c r="BL117" s="217" t="str">
        <f t="shared" si="52"/>
        <v>N/A</v>
      </c>
      <c r="BM117" s="217" t="str">
        <f t="shared" si="52"/>
        <v>N/A</v>
      </c>
      <c r="BN117" s="217" t="str">
        <f t="shared" si="52"/>
        <v>N/A</v>
      </c>
    </row>
    <row r="118" spans="1:66" ht="15.75" x14ac:dyDescent="0.3">
      <c r="A118" s="150">
        <v>113</v>
      </c>
      <c r="B118" s="10" t="s">
        <v>1111</v>
      </c>
      <c r="C118" s="236">
        <v>4995973.5871471185</v>
      </c>
      <c r="D118" s="233"/>
      <c r="E118" s="232">
        <f t="shared" si="30"/>
        <v>0</v>
      </c>
      <c r="G118" s="10" t="s">
        <v>1054</v>
      </c>
      <c r="H118" s="151">
        <f>IF(ISNUMBER(X52),X52/SUM($K$43:$AK$71),0)</f>
        <v>0</v>
      </c>
      <c r="J118" s="160" t="s">
        <v>19</v>
      </c>
      <c r="K118" s="11">
        <f t="shared" si="48"/>
        <v>2.5254788676478879</v>
      </c>
      <c r="L118" s="11">
        <f t="shared" si="48"/>
        <v>11.711957686606114</v>
      </c>
      <c r="M118" s="6">
        <f t="shared" si="48"/>
        <v>16.395017209304584</v>
      </c>
      <c r="N118" s="6">
        <f t="shared" si="48"/>
        <v>14.71786844043053</v>
      </c>
      <c r="O118" s="6">
        <f t="shared" si="48"/>
        <v>5.843894318838478</v>
      </c>
      <c r="P118" s="6">
        <f t="shared" si="48"/>
        <v>0.46194729683113478</v>
      </c>
      <c r="Q118" s="6">
        <f t="shared" si="48"/>
        <v>7.4129171945798529E-3</v>
      </c>
      <c r="R118" s="6">
        <f t="shared" si="39"/>
        <v>0</v>
      </c>
      <c r="S118" s="6">
        <f t="shared" si="40"/>
        <v>0</v>
      </c>
      <c r="T118" s="11">
        <f t="shared" si="41"/>
        <v>0</v>
      </c>
      <c r="U118" s="11">
        <f t="shared" si="42"/>
        <v>5.203111865716567E-2</v>
      </c>
      <c r="V118" s="11">
        <f t="shared" si="43"/>
        <v>2.5735352174149173</v>
      </c>
      <c r="W118" s="11">
        <f t="shared" si="44"/>
        <v>10.600877635684833</v>
      </c>
      <c r="X118" s="11">
        <f t="shared" si="45"/>
        <v>19.639031953480224</v>
      </c>
      <c r="Y118" s="11">
        <f t="shared" si="46"/>
        <v>18.063020198702837</v>
      </c>
      <c r="Z118" s="6">
        <f t="shared" si="47"/>
        <v>8.7104113503024649</v>
      </c>
      <c r="AA118" s="12">
        <f t="shared" si="49"/>
        <v>1.6815829879343949</v>
      </c>
      <c r="AB118" s="6">
        <f t="shared" si="53"/>
        <v>3.5907457814635703E-2</v>
      </c>
      <c r="AC118" s="140">
        <f t="shared" ref="AC118:AC134" si="54">IF(ISNUMBER(VLOOKUP(CONCATENATE($J118,"_",AC$105,"_a"),$B$6:$C$1151,2,FALSE)),VLOOKUP(CONCATENATE($J118,"_",AC$105,"_a"),$B$6:$C$1151,2,FALSE)/1000000,"N/A")</f>
        <v>1.1103385604004139E-2</v>
      </c>
      <c r="AD118" s="6"/>
      <c r="AE118" s="6"/>
      <c r="AF118" s="6"/>
      <c r="AG118" s="6"/>
      <c r="AH118" s="6"/>
      <c r="AI118" s="6"/>
      <c r="AJ118" s="6"/>
      <c r="AK118" s="6"/>
      <c r="AM118" s="160" t="s">
        <v>19</v>
      </c>
      <c r="AN118" s="204">
        <f t="shared" si="50"/>
        <v>0</v>
      </c>
      <c r="AO118" s="204">
        <f t="shared" si="50"/>
        <v>0</v>
      </c>
      <c r="AP118" s="217">
        <f t="shared" si="50"/>
        <v>0</v>
      </c>
      <c r="AQ118" s="217">
        <f t="shared" si="50"/>
        <v>0</v>
      </c>
      <c r="AR118" s="217">
        <f t="shared" si="50"/>
        <v>0</v>
      </c>
      <c r="AS118" s="217">
        <f t="shared" si="50"/>
        <v>0</v>
      </c>
      <c r="AT118" s="217">
        <f t="shared" si="50"/>
        <v>0</v>
      </c>
      <c r="AU118" s="217" t="str">
        <f t="shared" si="50"/>
        <v>N/A</v>
      </c>
      <c r="AV118" s="217" t="str">
        <f t="shared" si="50"/>
        <v>N/A</v>
      </c>
      <c r="AW118" s="204" t="str">
        <f t="shared" si="50"/>
        <v>N/A</v>
      </c>
      <c r="AX118" s="204">
        <f t="shared" si="51"/>
        <v>0</v>
      </c>
      <c r="AY118" s="204">
        <f t="shared" si="51"/>
        <v>0</v>
      </c>
      <c r="AZ118" s="204">
        <f t="shared" si="51"/>
        <v>0</v>
      </c>
      <c r="BA118" s="204">
        <f t="shared" si="51"/>
        <v>0</v>
      </c>
      <c r="BB118" s="204">
        <f t="shared" si="51"/>
        <v>0</v>
      </c>
      <c r="BC118" s="217">
        <f t="shared" si="51"/>
        <v>0</v>
      </c>
      <c r="BD118" s="218">
        <f t="shared" si="51"/>
        <v>0</v>
      </c>
      <c r="BE118" s="217">
        <f t="shared" si="51"/>
        <v>0</v>
      </c>
      <c r="BF118" s="222">
        <f t="shared" si="51"/>
        <v>0</v>
      </c>
      <c r="BG118" s="217" t="str">
        <f t="shared" si="51"/>
        <v>N/A</v>
      </c>
      <c r="BH118" s="217" t="str">
        <f t="shared" si="52"/>
        <v>N/A</v>
      </c>
      <c r="BI118" s="217" t="str">
        <f t="shared" si="52"/>
        <v>N/A</v>
      </c>
      <c r="BJ118" s="217" t="str">
        <f t="shared" si="52"/>
        <v>N/A</v>
      </c>
      <c r="BK118" s="217" t="str">
        <f t="shared" si="52"/>
        <v>N/A</v>
      </c>
      <c r="BL118" s="217" t="str">
        <f t="shared" si="52"/>
        <v>N/A</v>
      </c>
      <c r="BM118" s="217" t="str">
        <f t="shared" si="52"/>
        <v>N/A</v>
      </c>
      <c r="BN118" s="217" t="str">
        <f t="shared" si="52"/>
        <v>N/A</v>
      </c>
    </row>
    <row r="119" spans="1:66" ht="15.75" x14ac:dyDescent="0.3">
      <c r="A119" s="150">
        <v>114</v>
      </c>
      <c r="B119" s="10" t="s">
        <v>1112</v>
      </c>
      <c r="C119" s="236">
        <v>4848272.4658718705</v>
      </c>
      <c r="D119" s="233"/>
      <c r="E119" s="232">
        <f t="shared" si="30"/>
        <v>0</v>
      </c>
      <c r="G119" s="10" t="s">
        <v>1576</v>
      </c>
      <c r="H119" s="151">
        <f>IF(ISNUMBER(Y52),Y52/SUM($K$43:$AK$71),0)</f>
        <v>0</v>
      </c>
      <c r="J119" s="160" t="s">
        <v>20</v>
      </c>
      <c r="K119" s="11">
        <f t="shared" si="48"/>
        <v>7.2330892120456634</v>
      </c>
      <c r="L119" s="11">
        <f t="shared" si="48"/>
        <v>31.57592779116834</v>
      </c>
      <c r="M119" s="6">
        <f t="shared" si="48"/>
        <v>54.585268881630896</v>
      </c>
      <c r="N119" s="6">
        <f t="shared" si="48"/>
        <v>59.670316242901805</v>
      </c>
      <c r="O119" s="6">
        <f t="shared" si="48"/>
        <v>29.016027580196628</v>
      </c>
      <c r="P119" s="6">
        <f t="shared" si="48"/>
        <v>6.9505014420062423</v>
      </c>
      <c r="Q119" s="6">
        <f t="shared" si="48"/>
        <v>0.51145398337397752</v>
      </c>
      <c r="R119" s="6">
        <f t="shared" si="39"/>
        <v>2.8556094053953174E-3</v>
      </c>
      <c r="S119" s="6">
        <f t="shared" si="40"/>
        <v>2.9389395920564427E-3</v>
      </c>
      <c r="T119" s="11">
        <f t="shared" si="41"/>
        <v>1.3890166343993023E-3</v>
      </c>
      <c r="U119" s="11">
        <f t="shared" si="42"/>
        <v>7.7053007949214724E-3</v>
      </c>
      <c r="V119" s="11">
        <f t="shared" si="43"/>
        <v>0.2487363297661225</v>
      </c>
      <c r="W119" s="11">
        <f t="shared" si="44"/>
        <v>4.6971855101733819</v>
      </c>
      <c r="X119" s="11">
        <f t="shared" si="45"/>
        <v>14.658039811476122</v>
      </c>
      <c r="Y119" s="11">
        <f t="shared" si="46"/>
        <v>22.113089853388303</v>
      </c>
      <c r="Z119" s="6">
        <f t="shared" si="47"/>
        <v>18.614308214469791</v>
      </c>
      <c r="AA119" s="6">
        <f t="shared" si="49"/>
        <v>8.5078215033444859</v>
      </c>
      <c r="AB119" s="12">
        <f t="shared" si="53"/>
        <v>1.5870233897843358</v>
      </c>
      <c r="AC119" s="6">
        <f t="shared" si="54"/>
        <v>4.6171563524260884E-2</v>
      </c>
      <c r="AD119" s="140">
        <f t="shared" ref="AD119:AD134" si="55">IF(ISNUMBER(VLOOKUP(CONCATENATE($J119,"_",AD$105,"_a"),$B$6:$C$1151,2,FALSE)),VLOOKUP(CONCATENATE($J119,"_",AD$105,"_a"),$B$6:$C$1151,2,FALSE)/1000000,"N/A")</f>
        <v>1.1440754250213979E-2</v>
      </c>
      <c r="AE119" s="6"/>
      <c r="AF119" s="6"/>
      <c r="AG119" s="6"/>
      <c r="AH119" s="6"/>
      <c r="AI119" s="6"/>
      <c r="AJ119" s="6"/>
      <c r="AK119" s="6"/>
      <c r="AM119" s="160" t="s">
        <v>20</v>
      </c>
      <c r="AN119" s="204">
        <f t="shared" si="50"/>
        <v>0</v>
      </c>
      <c r="AO119" s="204">
        <f t="shared" si="50"/>
        <v>0</v>
      </c>
      <c r="AP119" s="217">
        <f t="shared" si="50"/>
        <v>0</v>
      </c>
      <c r="AQ119" s="217">
        <f t="shared" si="50"/>
        <v>0</v>
      </c>
      <c r="AR119" s="217">
        <f t="shared" si="50"/>
        <v>0</v>
      </c>
      <c r="AS119" s="217">
        <f t="shared" si="50"/>
        <v>0</v>
      </c>
      <c r="AT119" s="217">
        <f t="shared" si="50"/>
        <v>0</v>
      </c>
      <c r="AU119" s="217">
        <f t="shared" si="50"/>
        <v>0</v>
      </c>
      <c r="AV119" s="217">
        <f t="shared" si="50"/>
        <v>0</v>
      </c>
      <c r="AW119" s="204">
        <f t="shared" si="50"/>
        <v>0</v>
      </c>
      <c r="AX119" s="204">
        <f t="shared" si="51"/>
        <v>0</v>
      </c>
      <c r="AY119" s="204">
        <f t="shared" si="51"/>
        <v>0</v>
      </c>
      <c r="AZ119" s="204">
        <f t="shared" si="51"/>
        <v>0</v>
      </c>
      <c r="BA119" s="204">
        <f t="shared" si="51"/>
        <v>0</v>
      </c>
      <c r="BB119" s="204">
        <f t="shared" si="51"/>
        <v>0</v>
      </c>
      <c r="BC119" s="217">
        <f t="shared" si="51"/>
        <v>0</v>
      </c>
      <c r="BD119" s="217">
        <f t="shared" si="51"/>
        <v>0</v>
      </c>
      <c r="BE119" s="218">
        <f t="shared" si="51"/>
        <v>0</v>
      </c>
      <c r="BF119" s="217">
        <f t="shared" si="51"/>
        <v>0</v>
      </c>
      <c r="BG119" s="222">
        <f t="shared" si="51"/>
        <v>0</v>
      </c>
      <c r="BH119" s="217" t="str">
        <f t="shared" si="52"/>
        <v>N/A</v>
      </c>
      <c r="BI119" s="217" t="str">
        <f t="shared" si="52"/>
        <v>N/A</v>
      </c>
      <c r="BJ119" s="217" t="str">
        <f t="shared" si="52"/>
        <v>N/A</v>
      </c>
      <c r="BK119" s="217" t="str">
        <f t="shared" si="52"/>
        <v>N/A</v>
      </c>
      <c r="BL119" s="217" t="str">
        <f t="shared" si="52"/>
        <v>N/A</v>
      </c>
      <c r="BM119" s="217" t="str">
        <f t="shared" si="52"/>
        <v>N/A</v>
      </c>
      <c r="BN119" s="217" t="str">
        <f t="shared" si="52"/>
        <v>N/A</v>
      </c>
    </row>
    <row r="120" spans="1:66" ht="15.75" x14ac:dyDescent="0.3">
      <c r="A120" s="150">
        <v>115</v>
      </c>
      <c r="B120" s="10" t="s">
        <v>685</v>
      </c>
      <c r="C120" s="236">
        <v>202078.48638955149</v>
      </c>
      <c r="D120" s="233"/>
      <c r="E120" s="232">
        <f t="shared" si="30"/>
        <v>0</v>
      </c>
      <c r="G120" s="10" t="s">
        <v>1577</v>
      </c>
      <c r="H120" s="151">
        <f>IF(ISNUMBER(Z52),Z52/SUM($K$43:$AK$71),0)</f>
        <v>1.5913961584608399E-6</v>
      </c>
      <c r="J120" s="160" t="s">
        <v>21</v>
      </c>
      <c r="K120" s="11">
        <f t="shared" si="48"/>
        <v>9.8496632154216464</v>
      </c>
      <c r="L120" s="11">
        <f t="shared" si="48"/>
        <v>42.248423764339222</v>
      </c>
      <c r="M120" s="6">
        <f t="shared" si="48"/>
        <v>86.306764898755844</v>
      </c>
      <c r="N120" s="6">
        <f t="shared" si="48"/>
        <v>106.86094420186035</v>
      </c>
      <c r="O120" s="6">
        <f t="shared" si="48"/>
        <v>61.065965096827014</v>
      </c>
      <c r="P120" s="6">
        <f t="shared" si="48"/>
        <v>18.518205166724577</v>
      </c>
      <c r="Q120" s="6">
        <f t="shared" si="48"/>
        <v>3.0889745756973324</v>
      </c>
      <c r="R120" s="6">
        <f t="shared" si="39"/>
        <v>0.10593411775729637</v>
      </c>
      <c r="S120" s="6">
        <f t="shared" si="40"/>
        <v>6.5124593723146851E-3</v>
      </c>
      <c r="T120" s="11">
        <f t="shared" si="41"/>
        <v>5.0546345676270327E-3</v>
      </c>
      <c r="U120" s="11">
        <f t="shared" si="42"/>
        <v>7.0990977705080224E-3</v>
      </c>
      <c r="V120" s="11">
        <f t="shared" si="43"/>
        <v>1.3632288772888001E-2</v>
      </c>
      <c r="W120" s="11">
        <f t="shared" si="44"/>
        <v>1.3188413685780473</v>
      </c>
      <c r="X120" s="11">
        <f t="shared" si="45"/>
        <v>9.8458234107771077</v>
      </c>
      <c r="Y120" s="11">
        <f t="shared" si="46"/>
        <v>25.626571444469924</v>
      </c>
      <c r="Z120" s="6">
        <f t="shared" si="47"/>
        <v>35.370217569045053</v>
      </c>
      <c r="AA120" s="6">
        <f t="shared" si="49"/>
        <v>27.821148321320297</v>
      </c>
      <c r="AB120" s="6">
        <f t="shared" si="53"/>
        <v>12.42824178234066</v>
      </c>
      <c r="AC120" s="12">
        <f t="shared" si="54"/>
        <v>2.4812535100784006</v>
      </c>
      <c r="AD120" s="6">
        <f t="shared" si="55"/>
        <v>7.5419092834273463E-2</v>
      </c>
      <c r="AE120" s="140">
        <f t="shared" ref="AE120:AE134" si="56">IF(ISNUMBER(VLOOKUP(CONCATENATE($J120,"_",AE$105,"_a"),$B$6:$C$1151,2,FALSE)),VLOOKUP(CONCATENATE($J120,"_",AE$105,"_a"),$B$6:$C$1151,2,FALSE)/1000000,"N/A")</f>
        <v>1.263737140991195E-2</v>
      </c>
      <c r="AF120" s="6"/>
      <c r="AG120" s="6"/>
      <c r="AH120" s="6"/>
      <c r="AI120" s="6"/>
      <c r="AJ120" s="6"/>
      <c r="AK120" s="6"/>
      <c r="AM120" s="160" t="s">
        <v>21</v>
      </c>
      <c r="AN120" s="204">
        <f t="shared" si="50"/>
        <v>0</v>
      </c>
      <c r="AO120" s="204">
        <f t="shared" si="50"/>
        <v>0</v>
      </c>
      <c r="AP120" s="217">
        <f t="shared" si="50"/>
        <v>0</v>
      </c>
      <c r="AQ120" s="217">
        <f t="shared" si="50"/>
        <v>0</v>
      </c>
      <c r="AR120" s="217">
        <f t="shared" si="50"/>
        <v>0</v>
      </c>
      <c r="AS120" s="217">
        <f t="shared" si="50"/>
        <v>0</v>
      </c>
      <c r="AT120" s="217">
        <f t="shared" si="50"/>
        <v>0</v>
      </c>
      <c r="AU120" s="217">
        <f t="shared" si="50"/>
        <v>0</v>
      </c>
      <c r="AV120" s="217">
        <f t="shared" si="50"/>
        <v>0</v>
      </c>
      <c r="AW120" s="204">
        <f t="shared" si="50"/>
        <v>0</v>
      </c>
      <c r="AX120" s="204">
        <f t="shared" si="51"/>
        <v>0</v>
      </c>
      <c r="AY120" s="204">
        <f t="shared" si="51"/>
        <v>0</v>
      </c>
      <c r="AZ120" s="204">
        <f t="shared" si="51"/>
        <v>0</v>
      </c>
      <c r="BA120" s="204">
        <f t="shared" si="51"/>
        <v>0</v>
      </c>
      <c r="BB120" s="204">
        <f t="shared" si="51"/>
        <v>0</v>
      </c>
      <c r="BC120" s="217">
        <f t="shared" si="51"/>
        <v>0</v>
      </c>
      <c r="BD120" s="217">
        <f t="shared" si="51"/>
        <v>0</v>
      </c>
      <c r="BE120" s="217">
        <f t="shared" si="51"/>
        <v>0</v>
      </c>
      <c r="BF120" s="218">
        <f t="shared" si="51"/>
        <v>0</v>
      </c>
      <c r="BG120" s="217">
        <f t="shared" si="51"/>
        <v>0</v>
      </c>
      <c r="BH120" s="222">
        <f t="shared" si="52"/>
        <v>0</v>
      </c>
      <c r="BI120" s="217" t="str">
        <f t="shared" si="52"/>
        <v>N/A</v>
      </c>
      <c r="BJ120" s="217" t="str">
        <f t="shared" si="52"/>
        <v>N/A</v>
      </c>
      <c r="BK120" s="217" t="str">
        <f t="shared" si="52"/>
        <v>N/A</v>
      </c>
      <c r="BL120" s="217" t="str">
        <f t="shared" si="52"/>
        <v>N/A</v>
      </c>
      <c r="BM120" s="217" t="str">
        <f t="shared" si="52"/>
        <v>N/A</v>
      </c>
      <c r="BN120" s="217" t="str">
        <f t="shared" si="52"/>
        <v>N/A</v>
      </c>
    </row>
    <row r="121" spans="1:66" ht="15.75" x14ac:dyDescent="0.3">
      <c r="A121" s="150">
        <v>116</v>
      </c>
      <c r="B121" s="10" t="s">
        <v>686</v>
      </c>
      <c r="C121" s="236">
        <v>79255.44362521825</v>
      </c>
      <c r="D121" s="233"/>
      <c r="E121" s="232">
        <f t="shared" si="30"/>
        <v>0</v>
      </c>
      <c r="G121" s="10" t="s">
        <v>515</v>
      </c>
      <c r="H121" s="151">
        <f>IF(ISNUMBER(K53),K53/SUM($K$43:$AK$71),0)</f>
        <v>0</v>
      </c>
      <c r="J121" s="160" t="s">
        <v>22</v>
      </c>
      <c r="K121" s="11">
        <f t="shared" si="48"/>
        <v>9.4319560436785341</v>
      </c>
      <c r="L121" s="11">
        <f t="shared" si="48"/>
        <v>40.978856997756949</v>
      </c>
      <c r="M121" s="6">
        <f t="shared" si="48"/>
        <v>95.146439005619925</v>
      </c>
      <c r="N121" s="6">
        <f t="shared" si="48"/>
        <v>126.91110924610602</v>
      </c>
      <c r="O121" s="6">
        <f t="shared" si="48"/>
        <v>83.001231909368073</v>
      </c>
      <c r="P121" s="6">
        <f t="shared" si="48"/>
        <v>30.302122060875654</v>
      </c>
      <c r="Q121" s="6">
        <f t="shared" si="48"/>
        <v>6.4274039141769403</v>
      </c>
      <c r="R121" s="6">
        <f t="shared" si="39"/>
        <v>0.54413458580153073</v>
      </c>
      <c r="S121" s="6">
        <f t="shared" si="40"/>
        <v>2.2649139012195636E-2</v>
      </c>
      <c r="T121" s="11">
        <f t="shared" si="41"/>
        <v>3.6136055290604701E-3</v>
      </c>
      <c r="U121" s="11">
        <f t="shared" si="42"/>
        <v>3.0818687834469503E-3</v>
      </c>
      <c r="V121" s="11">
        <f t="shared" si="43"/>
        <v>7.9748296329957748E-3</v>
      </c>
      <c r="W121" s="11">
        <f t="shared" si="44"/>
        <v>7.6880794561510438E-2</v>
      </c>
      <c r="X121" s="11">
        <f t="shared" si="45"/>
        <v>3.7876918227995624</v>
      </c>
      <c r="Y121" s="11">
        <f t="shared" si="46"/>
        <v>17.423181683346264</v>
      </c>
      <c r="Z121" s="6">
        <f t="shared" si="47"/>
        <v>38.201390102643948</v>
      </c>
      <c r="AA121" s="6">
        <f t="shared" si="49"/>
        <v>47.821210186589695</v>
      </c>
      <c r="AB121" s="6">
        <f t="shared" si="53"/>
        <v>34.828074980628031</v>
      </c>
      <c r="AC121" s="6">
        <f t="shared" si="54"/>
        <v>14.371437987961791</v>
      </c>
      <c r="AD121" s="12">
        <f t="shared" si="55"/>
        <v>3.23010322415647</v>
      </c>
      <c r="AE121" s="6">
        <f t="shared" si="56"/>
        <v>0.11407196836981168</v>
      </c>
      <c r="AF121" s="140">
        <f t="shared" ref="AF121:AF134" si="57">IF(ISNUMBER(VLOOKUP(CONCATENATE($J121,"_",AF$105,"_a"),$B$6:$C$1151,2,FALSE)),VLOOKUP(CONCATENATE($J121,"_",AF$105,"_a"),$B$6:$C$1151,2,FALSE)/1000000,"N/A")</f>
        <v>4.2468161778869071E-3</v>
      </c>
      <c r="AG121" s="6"/>
      <c r="AH121" s="6"/>
      <c r="AI121" s="6"/>
      <c r="AJ121" s="6"/>
      <c r="AK121" s="6"/>
      <c r="AM121" s="160" t="s">
        <v>22</v>
      </c>
      <c r="AN121" s="204">
        <f t="shared" si="50"/>
        <v>0</v>
      </c>
      <c r="AO121" s="204">
        <f t="shared" si="50"/>
        <v>0</v>
      </c>
      <c r="AP121" s="217">
        <f t="shared" si="50"/>
        <v>0</v>
      </c>
      <c r="AQ121" s="217">
        <f t="shared" si="50"/>
        <v>0</v>
      </c>
      <c r="AR121" s="217">
        <f t="shared" si="50"/>
        <v>0</v>
      </c>
      <c r="AS121" s="217">
        <f t="shared" si="50"/>
        <v>0</v>
      </c>
      <c r="AT121" s="217">
        <f t="shared" si="50"/>
        <v>0</v>
      </c>
      <c r="AU121" s="217">
        <f t="shared" si="50"/>
        <v>0</v>
      </c>
      <c r="AV121" s="217">
        <f t="shared" si="50"/>
        <v>0</v>
      </c>
      <c r="AW121" s="204">
        <f t="shared" si="50"/>
        <v>0</v>
      </c>
      <c r="AX121" s="204">
        <f t="shared" si="51"/>
        <v>0</v>
      </c>
      <c r="AY121" s="204">
        <f t="shared" si="51"/>
        <v>0</v>
      </c>
      <c r="AZ121" s="204">
        <f t="shared" si="51"/>
        <v>0</v>
      </c>
      <c r="BA121" s="204">
        <f t="shared" si="51"/>
        <v>0</v>
      </c>
      <c r="BB121" s="204">
        <f t="shared" si="51"/>
        <v>0</v>
      </c>
      <c r="BC121" s="217">
        <f t="shared" si="51"/>
        <v>0</v>
      </c>
      <c r="BD121" s="217">
        <f t="shared" si="51"/>
        <v>0</v>
      </c>
      <c r="BE121" s="217">
        <f t="shared" si="51"/>
        <v>0</v>
      </c>
      <c r="BF121" s="217">
        <f t="shared" si="51"/>
        <v>0</v>
      </c>
      <c r="BG121" s="218">
        <f t="shared" si="51"/>
        <v>0</v>
      </c>
      <c r="BH121" s="217">
        <f t="shared" si="52"/>
        <v>0</v>
      </c>
      <c r="BI121" s="222">
        <f t="shared" si="52"/>
        <v>0</v>
      </c>
      <c r="BJ121" s="217" t="str">
        <f t="shared" si="52"/>
        <v>N/A</v>
      </c>
      <c r="BK121" s="217" t="str">
        <f t="shared" si="52"/>
        <v>N/A</v>
      </c>
      <c r="BL121" s="217" t="str">
        <f t="shared" si="52"/>
        <v>N/A</v>
      </c>
      <c r="BM121" s="217" t="str">
        <f t="shared" si="52"/>
        <v>N/A</v>
      </c>
      <c r="BN121" s="217" t="str">
        <f t="shared" si="52"/>
        <v>N/A</v>
      </c>
    </row>
    <row r="122" spans="1:66" ht="15.75" x14ac:dyDescent="0.3">
      <c r="A122" s="150">
        <v>117</v>
      </c>
      <c r="B122" s="10" t="s">
        <v>93</v>
      </c>
      <c r="C122" s="236">
        <v>12977147.159758557</v>
      </c>
      <c r="D122" s="233"/>
      <c r="E122" s="232">
        <f t="shared" si="30"/>
        <v>0</v>
      </c>
      <c r="G122" s="10" t="s">
        <v>408</v>
      </c>
      <c r="H122" s="151">
        <f>IF(ISNUMBER(L53),L53/SUM($K$43:$AK$71),0)</f>
        <v>0</v>
      </c>
      <c r="J122" s="160" t="s">
        <v>23</v>
      </c>
      <c r="K122" s="11">
        <f t="shared" si="48"/>
        <v>8.1686482964046316</v>
      </c>
      <c r="L122" s="11">
        <f t="shared" si="48"/>
        <v>35.165930880146973</v>
      </c>
      <c r="M122" s="6">
        <f t="shared" si="48"/>
        <v>84.929054802349597</v>
      </c>
      <c r="N122" s="6">
        <f t="shared" si="48"/>
        <v>122.21304195087367</v>
      </c>
      <c r="O122" s="6">
        <f t="shared" si="48"/>
        <v>90.176983539658593</v>
      </c>
      <c r="P122" s="6">
        <f t="shared" si="48"/>
        <v>37.605497065129292</v>
      </c>
      <c r="Q122" s="6">
        <f t="shared" si="48"/>
        <v>9.5833507892209404</v>
      </c>
      <c r="R122" s="6">
        <f t="shared" si="39"/>
        <v>1.2965633310135141</v>
      </c>
      <c r="S122" s="6">
        <f t="shared" si="40"/>
        <v>4.8723344008514899E-2</v>
      </c>
      <c r="T122" s="11">
        <f t="shared" si="41"/>
        <v>1.7170119705009753E-2</v>
      </c>
      <c r="U122" s="11">
        <f t="shared" si="42"/>
        <v>3.7039394706573801E-3</v>
      </c>
      <c r="V122" s="11">
        <f t="shared" si="43"/>
        <v>1.4139662628936062E-3</v>
      </c>
      <c r="W122" s="11">
        <f t="shared" si="44"/>
        <v>1.099688611572305E-2</v>
      </c>
      <c r="X122" s="11">
        <f t="shared" si="45"/>
        <v>0.36345245718429225</v>
      </c>
      <c r="Y122" s="11">
        <f t="shared" si="46"/>
        <v>6.4497174437408473</v>
      </c>
      <c r="Z122" s="6">
        <f t="shared" si="47"/>
        <v>24.392259854433053</v>
      </c>
      <c r="AA122" s="6">
        <f t="shared" si="49"/>
        <v>48.069212877264498</v>
      </c>
      <c r="AB122" s="6">
        <f t="shared" si="53"/>
        <v>54.234366867114083</v>
      </c>
      <c r="AC122" s="6">
        <f t="shared" si="54"/>
        <v>35.764149776073424</v>
      </c>
      <c r="AD122" s="6">
        <f t="shared" si="55"/>
        <v>14.641099785682563</v>
      </c>
      <c r="AE122" s="12">
        <f t="shared" si="56"/>
        <v>3.0629888916815826</v>
      </c>
      <c r="AF122" s="6">
        <f t="shared" si="57"/>
        <v>0.180068539767202</v>
      </c>
      <c r="AG122" s="140">
        <f t="shared" ref="AG122:AG134" si="58">IF(ISNUMBER(VLOOKUP(CONCATENATE($J122,"_",AG$105,"_a"),$B$6:$C$1151,2,FALSE)),VLOOKUP(CONCATENATE($J122,"_",AG$105,"_a"),$B$6:$C$1151,2,FALSE)/1000000,"N/A")</f>
        <v>1.9164216236023813E-2</v>
      </c>
      <c r="AH122" s="6"/>
      <c r="AI122" s="6"/>
      <c r="AJ122" s="6"/>
      <c r="AK122" s="6"/>
      <c r="AM122" s="160" t="s">
        <v>23</v>
      </c>
      <c r="AN122" s="204">
        <f t="shared" si="50"/>
        <v>0</v>
      </c>
      <c r="AO122" s="204">
        <f t="shared" si="50"/>
        <v>0</v>
      </c>
      <c r="AP122" s="217">
        <f t="shared" si="50"/>
        <v>0</v>
      </c>
      <c r="AQ122" s="217">
        <f t="shared" si="50"/>
        <v>0</v>
      </c>
      <c r="AR122" s="217">
        <f t="shared" si="50"/>
        <v>0</v>
      </c>
      <c r="AS122" s="217">
        <f t="shared" si="50"/>
        <v>0</v>
      </c>
      <c r="AT122" s="217">
        <f t="shared" si="50"/>
        <v>0</v>
      </c>
      <c r="AU122" s="217">
        <f t="shared" si="50"/>
        <v>0</v>
      </c>
      <c r="AV122" s="217">
        <f t="shared" si="50"/>
        <v>0</v>
      </c>
      <c r="AW122" s="204">
        <f t="shared" si="50"/>
        <v>0</v>
      </c>
      <c r="AX122" s="204">
        <f t="shared" si="51"/>
        <v>0</v>
      </c>
      <c r="AY122" s="204">
        <f t="shared" si="51"/>
        <v>0</v>
      </c>
      <c r="AZ122" s="204">
        <f t="shared" si="51"/>
        <v>0</v>
      </c>
      <c r="BA122" s="204">
        <f t="shared" si="51"/>
        <v>0</v>
      </c>
      <c r="BB122" s="204">
        <f t="shared" si="51"/>
        <v>0</v>
      </c>
      <c r="BC122" s="217">
        <f t="shared" si="51"/>
        <v>0</v>
      </c>
      <c r="BD122" s="217">
        <f t="shared" si="51"/>
        <v>0</v>
      </c>
      <c r="BE122" s="217">
        <f t="shared" si="51"/>
        <v>0</v>
      </c>
      <c r="BF122" s="217">
        <f t="shared" si="51"/>
        <v>0</v>
      </c>
      <c r="BG122" s="217">
        <f t="shared" si="51"/>
        <v>0</v>
      </c>
      <c r="BH122" s="218">
        <f t="shared" si="52"/>
        <v>0</v>
      </c>
      <c r="BI122" s="217">
        <f t="shared" si="52"/>
        <v>0</v>
      </c>
      <c r="BJ122" s="222">
        <f t="shared" si="52"/>
        <v>0</v>
      </c>
      <c r="BK122" s="217" t="str">
        <f t="shared" si="52"/>
        <v>N/A</v>
      </c>
      <c r="BL122" s="217" t="str">
        <f t="shared" si="52"/>
        <v>N/A</v>
      </c>
      <c r="BM122" s="217" t="str">
        <f t="shared" si="52"/>
        <v>N/A</v>
      </c>
      <c r="BN122" s="217" t="str">
        <f t="shared" si="52"/>
        <v>N/A</v>
      </c>
    </row>
    <row r="123" spans="1:66" ht="15.75" x14ac:dyDescent="0.3">
      <c r="A123" s="150">
        <v>118</v>
      </c>
      <c r="B123" s="10" t="s">
        <v>94</v>
      </c>
      <c r="C123" s="236">
        <v>9448024.3038004655</v>
      </c>
      <c r="D123" s="233"/>
      <c r="E123" s="232">
        <f t="shared" si="30"/>
        <v>0</v>
      </c>
      <c r="G123" s="10" t="s">
        <v>409</v>
      </c>
      <c r="H123" s="151">
        <f>IF(ISNUMBER(M53),M53/SUM($K$43:$AK$71),0)</f>
        <v>0</v>
      </c>
      <c r="J123" s="160" t="s">
        <v>24</v>
      </c>
      <c r="K123" s="11">
        <f t="shared" si="48"/>
        <v>6.9117572360465473</v>
      </c>
      <c r="L123" s="11">
        <f t="shared" si="48"/>
        <v>28.341501566390281</v>
      </c>
      <c r="M123" s="6">
        <f t="shared" si="48"/>
        <v>69.299548428970837</v>
      </c>
      <c r="N123" s="6">
        <f t="shared" si="48"/>
        <v>104.32807638369283</v>
      </c>
      <c r="O123" s="6">
        <f t="shared" si="48"/>
        <v>86.338458216324511</v>
      </c>
      <c r="P123" s="6">
        <f t="shared" si="48"/>
        <v>40.880458640261651</v>
      </c>
      <c r="Q123" s="6">
        <f t="shared" si="48"/>
        <v>12.156861812779674</v>
      </c>
      <c r="R123" s="6">
        <f t="shared" si="39"/>
        <v>2.1341228153482068</v>
      </c>
      <c r="S123" s="6">
        <f t="shared" si="40"/>
        <v>9.8046851425872203E-2</v>
      </c>
      <c r="T123" s="11">
        <f t="shared" si="41"/>
        <v>1.1583088971007986E-2</v>
      </c>
      <c r="U123" s="11">
        <f t="shared" si="42"/>
        <v>9.893945857421739E-3</v>
      </c>
      <c r="V123" s="11">
        <f t="shared" si="43"/>
        <v>1.4232682559813853E-3</v>
      </c>
      <c r="W123" s="11">
        <f t="shared" si="44"/>
        <v>1.0998829513733498E-2</v>
      </c>
      <c r="X123" s="11">
        <f t="shared" si="45"/>
        <v>5.5092670419656193E-3</v>
      </c>
      <c r="Y123" s="11">
        <f t="shared" si="46"/>
        <v>0.7480013563099579</v>
      </c>
      <c r="Z123" s="6">
        <f t="shared" si="47"/>
        <v>8.2015573628426051</v>
      </c>
      <c r="AA123" s="6">
        <f t="shared" si="49"/>
        <v>26.251290996666651</v>
      </c>
      <c r="AB123" s="6">
        <f t="shared" si="53"/>
        <v>45.439178765840524</v>
      </c>
      <c r="AC123" s="6">
        <f t="shared" si="54"/>
        <v>45.714236075831927</v>
      </c>
      <c r="AD123" s="6">
        <f t="shared" si="55"/>
        <v>29.301888662032852</v>
      </c>
      <c r="AE123" s="6">
        <f t="shared" si="56"/>
        <v>11.394604866461052</v>
      </c>
      <c r="AF123" s="12">
        <f t="shared" si="57"/>
        <v>2.2192259407268176</v>
      </c>
      <c r="AG123" s="6">
        <f t="shared" si="58"/>
        <v>0.10794877879922844</v>
      </c>
      <c r="AH123" s="140">
        <f t="shared" ref="AH123:AH134" si="59">IF(ISNUMBER(VLOOKUP(CONCATENATE($J123,"_",AH$105,"_a"),$B$6:$C$1151,2,FALSE)),VLOOKUP(CONCATENATE($J123,"_",AH$105,"_a"),$B$6:$C$1151,2,FALSE)/1000000,"N/A")</f>
        <v>5.1692841536033998E-2</v>
      </c>
      <c r="AI123" s="6"/>
      <c r="AJ123" s="6"/>
      <c r="AK123" s="6"/>
      <c r="AM123" s="160" t="s">
        <v>24</v>
      </c>
      <c r="AN123" s="204">
        <f t="shared" si="50"/>
        <v>0</v>
      </c>
      <c r="AO123" s="204">
        <f t="shared" si="50"/>
        <v>0</v>
      </c>
      <c r="AP123" s="217">
        <f t="shared" si="50"/>
        <v>0</v>
      </c>
      <c r="AQ123" s="217">
        <f t="shared" si="50"/>
        <v>0</v>
      </c>
      <c r="AR123" s="217">
        <f t="shared" si="50"/>
        <v>0</v>
      </c>
      <c r="AS123" s="217">
        <f t="shared" si="50"/>
        <v>0</v>
      </c>
      <c r="AT123" s="217">
        <f t="shared" si="50"/>
        <v>0</v>
      </c>
      <c r="AU123" s="217">
        <f t="shared" si="50"/>
        <v>0</v>
      </c>
      <c r="AV123" s="217">
        <f t="shared" si="50"/>
        <v>0</v>
      </c>
      <c r="AW123" s="204">
        <f t="shared" si="50"/>
        <v>0</v>
      </c>
      <c r="AX123" s="204">
        <f t="shared" si="51"/>
        <v>0</v>
      </c>
      <c r="AY123" s="204">
        <f t="shared" si="51"/>
        <v>0</v>
      </c>
      <c r="AZ123" s="204">
        <f t="shared" si="51"/>
        <v>0</v>
      </c>
      <c r="BA123" s="204">
        <f t="shared" si="51"/>
        <v>0</v>
      </c>
      <c r="BB123" s="204">
        <f t="shared" si="51"/>
        <v>0</v>
      </c>
      <c r="BC123" s="217">
        <f t="shared" si="51"/>
        <v>0</v>
      </c>
      <c r="BD123" s="217">
        <f t="shared" si="51"/>
        <v>0</v>
      </c>
      <c r="BE123" s="217">
        <f t="shared" si="51"/>
        <v>0</v>
      </c>
      <c r="BF123" s="217">
        <f t="shared" si="51"/>
        <v>0</v>
      </c>
      <c r="BG123" s="217">
        <f t="shared" si="51"/>
        <v>0</v>
      </c>
      <c r="BH123" s="217">
        <f t="shared" si="52"/>
        <v>0</v>
      </c>
      <c r="BI123" s="218">
        <f t="shared" si="52"/>
        <v>0</v>
      </c>
      <c r="BJ123" s="217">
        <f t="shared" si="52"/>
        <v>0</v>
      </c>
      <c r="BK123" s="222">
        <f t="shared" si="52"/>
        <v>0</v>
      </c>
      <c r="BL123" s="217" t="str">
        <f t="shared" si="52"/>
        <v>N/A</v>
      </c>
      <c r="BM123" s="217" t="str">
        <f t="shared" si="52"/>
        <v>N/A</v>
      </c>
      <c r="BN123" s="217" t="str">
        <f t="shared" si="52"/>
        <v>N/A</v>
      </c>
    </row>
    <row r="124" spans="1:66" ht="15.75" x14ac:dyDescent="0.3">
      <c r="A124" s="150">
        <v>119</v>
      </c>
      <c r="B124" s="10" t="s">
        <v>95</v>
      </c>
      <c r="C124" s="236">
        <v>9836760.1277027205</v>
      </c>
      <c r="D124" s="233"/>
      <c r="E124" s="232">
        <f t="shared" si="30"/>
        <v>0</v>
      </c>
      <c r="G124" s="10" t="s">
        <v>410</v>
      </c>
      <c r="H124" s="151">
        <f>IF(ISNUMBER(N53),N53/SUM($K$43:$AK$71),0)</f>
        <v>0</v>
      </c>
      <c r="J124" s="160" t="s">
        <v>330</v>
      </c>
      <c r="K124" s="11">
        <f t="shared" si="48"/>
        <v>5.9083781690449699</v>
      </c>
      <c r="L124" s="11">
        <f t="shared" si="48"/>
        <v>23.328774301159239</v>
      </c>
      <c r="M124" s="6">
        <f t="shared" si="48"/>
        <v>55.34044053539683</v>
      </c>
      <c r="N124" s="6">
        <f t="shared" si="48"/>
        <v>83.369537767228493</v>
      </c>
      <c r="O124" s="6">
        <f t="shared" si="48"/>
        <v>74.477206513387259</v>
      </c>
      <c r="P124" s="6">
        <f t="shared" si="48"/>
        <v>40.709340145854476</v>
      </c>
      <c r="Q124" s="6">
        <f t="shared" si="48"/>
        <v>13.984383378328346</v>
      </c>
      <c r="R124" s="6">
        <f t="shared" si="39"/>
        <v>3.2530527136213774</v>
      </c>
      <c r="S124" s="6">
        <f t="shared" si="40"/>
        <v>0.25336001729093699</v>
      </c>
      <c r="T124" s="11">
        <f t="shared" si="41"/>
        <v>1.7134892309084066E-2</v>
      </c>
      <c r="U124" s="11">
        <f t="shared" si="42"/>
        <v>4.1316001683042976E-3</v>
      </c>
      <c r="V124" s="11">
        <f t="shared" si="43"/>
        <v>2.37411799951177E-3</v>
      </c>
      <c r="W124" s="11">
        <f t="shared" si="44"/>
        <v>1.2238081709518599E-3</v>
      </c>
      <c r="X124" s="11">
        <f t="shared" si="45"/>
        <v>2.3580985248758597E-3</v>
      </c>
      <c r="Y124" s="11">
        <f t="shared" si="46"/>
        <v>6.9644365282972532E-3</v>
      </c>
      <c r="Z124" s="6">
        <f t="shared" si="47"/>
        <v>2.1442228888419876</v>
      </c>
      <c r="AA124" s="6">
        <f t="shared" si="49"/>
        <v>13.990221184577944</v>
      </c>
      <c r="AB124" s="6">
        <f t="shared" si="53"/>
        <v>38.268523688119402</v>
      </c>
      <c r="AC124" s="6">
        <f t="shared" si="54"/>
        <v>60.557761115174273</v>
      </c>
      <c r="AD124" s="6">
        <f t="shared" si="55"/>
        <v>60.742739546834002</v>
      </c>
      <c r="AE124" s="6">
        <f t="shared" si="56"/>
        <v>37.89699547699022</v>
      </c>
      <c r="AF124" s="6">
        <f t="shared" si="57"/>
        <v>14.285360598025948</v>
      </c>
      <c r="AG124" s="12">
        <f t="shared" si="58"/>
        <v>2.6605945098281194</v>
      </c>
      <c r="AH124" s="6">
        <f t="shared" si="59"/>
        <v>0.25528757605937502</v>
      </c>
      <c r="AI124" s="140">
        <f t="shared" ref="AI124:AI134" si="60">IF(ISNUMBER(VLOOKUP(CONCATENATE($J124,"_",AI$105,"_a"),$B$6:$C$1151,2,FALSE)),VLOOKUP(CONCATENATE($J124,"_",AI$105,"_a"),$B$6:$C$1151,2,FALSE)/1000000,"N/A")</f>
        <v>2.025736517664356E-2</v>
      </c>
      <c r="AJ124" s="6"/>
      <c r="AK124" s="6"/>
      <c r="AM124" s="160" t="s">
        <v>330</v>
      </c>
      <c r="AN124" s="204">
        <f t="shared" si="50"/>
        <v>0</v>
      </c>
      <c r="AO124" s="204">
        <f t="shared" si="50"/>
        <v>0</v>
      </c>
      <c r="AP124" s="217">
        <f t="shared" si="50"/>
        <v>0</v>
      </c>
      <c r="AQ124" s="217">
        <f t="shared" si="50"/>
        <v>0</v>
      </c>
      <c r="AR124" s="217">
        <f t="shared" si="50"/>
        <v>0</v>
      </c>
      <c r="AS124" s="217">
        <f t="shared" si="50"/>
        <v>0</v>
      </c>
      <c r="AT124" s="217">
        <f t="shared" si="50"/>
        <v>0</v>
      </c>
      <c r="AU124" s="217">
        <f t="shared" si="50"/>
        <v>0</v>
      </c>
      <c r="AV124" s="217">
        <f t="shared" si="50"/>
        <v>0</v>
      </c>
      <c r="AW124" s="204">
        <f t="shared" si="50"/>
        <v>0</v>
      </c>
      <c r="AX124" s="204">
        <f t="shared" si="51"/>
        <v>0</v>
      </c>
      <c r="AY124" s="204">
        <f t="shared" si="51"/>
        <v>0</v>
      </c>
      <c r="AZ124" s="204">
        <f t="shared" si="51"/>
        <v>0</v>
      </c>
      <c r="BA124" s="204">
        <f t="shared" si="51"/>
        <v>0</v>
      </c>
      <c r="BB124" s="204">
        <f t="shared" si="51"/>
        <v>0</v>
      </c>
      <c r="BC124" s="217">
        <f t="shared" si="51"/>
        <v>0</v>
      </c>
      <c r="BD124" s="217">
        <f t="shared" si="51"/>
        <v>0</v>
      </c>
      <c r="BE124" s="217">
        <f t="shared" si="51"/>
        <v>0</v>
      </c>
      <c r="BF124" s="217">
        <f t="shared" si="51"/>
        <v>0</v>
      </c>
      <c r="BG124" s="217">
        <f t="shared" si="51"/>
        <v>0</v>
      </c>
      <c r="BH124" s="217">
        <f t="shared" si="52"/>
        <v>0</v>
      </c>
      <c r="BI124" s="217">
        <f t="shared" si="52"/>
        <v>0</v>
      </c>
      <c r="BJ124" s="218">
        <f t="shared" si="52"/>
        <v>0</v>
      </c>
      <c r="BK124" s="217">
        <f t="shared" si="52"/>
        <v>0</v>
      </c>
      <c r="BL124" s="222">
        <f t="shared" si="52"/>
        <v>0</v>
      </c>
      <c r="BM124" s="217" t="str">
        <f t="shared" si="52"/>
        <v>N/A</v>
      </c>
      <c r="BN124" s="217" t="str">
        <f t="shared" si="52"/>
        <v>N/A</v>
      </c>
    </row>
    <row r="125" spans="1:66" ht="15.75" x14ac:dyDescent="0.3">
      <c r="A125" s="150">
        <v>120</v>
      </c>
      <c r="B125" s="10" t="s">
        <v>96</v>
      </c>
      <c r="C125" s="236">
        <v>9034411.3164788391</v>
      </c>
      <c r="D125" s="233"/>
      <c r="E125" s="232">
        <f t="shared" si="30"/>
        <v>0</v>
      </c>
      <c r="G125" s="10" t="s">
        <v>411</v>
      </c>
      <c r="H125" s="151">
        <f>IF(ISNUMBER(O53),O53/SUM($K$43:$AK$71),0)</f>
        <v>0</v>
      </c>
      <c r="J125" s="160" t="s">
        <v>331</v>
      </c>
      <c r="K125" s="11">
        <f t="shared" si="48"/>
        <v>4.7914882003210444</v>
      </c>
      <c r="L125" s="11">
        <f t="shared" si="48"/>
        <v>18.779327011841509</v>
      </c>
      <c r="M125" s="6">
        <f t="shared" si="48"/>
        <v>41.892201704419882</v>
      </c>
      <c r="N125" s="6">
        <f t="shared" si="48"/>
        <v>62.889815865827053</v>
      </c>
      <c r="O125" s="6">
        <f t="shared" si="48"/>
        <v>59.7191997754135</v>
      </c>
      <c r="P125" s="6">
        <f t="shared" si="48"/>
        <v>36.180544441513049</v>
      </c>
      <c r="Q125" s="6">
        <f t="shared" si="48"/>
        <v>14.143705014507651</v>
      </c>
      <c r="R125" s="6">
        <f t="shared" si="39"/>
        <v>3.4798590969637324</v>
      </c>
      <c r="S125" s="6">
        <f t="shared" si="40"/>
        <v>0.46970894168194399</v>
      </c>
      <c r="T125" s="11">
        <f t="shared" si="41"/>
        <v>4.2344842757595862E-2</v>
      </c>
      <c r="U125" s="11">
        <f t="shared" si="42"/>
        <v>1.5896149197319215E-2</v>
      </c>
      <c r="V125" s="11">
        <f t="shared" si="43"/>
        <v>9.8562683417892233E-3</v>
      </c>
      <c r="W125" s="11">
        <f t="shared" si="44"/>
        <v>1.5779151423338325E-3</v>
      </c>
      <c r="X125" s="11">
        <f t="shared" si="45"/>
        <v>6.949750820724466E-3</v>
      </c>
      <c r="Y125" s="11">
        <f t="shared" si="46"/>
        <v>1.2883973796149957E-2</v>
      </c>
      <c r="Z125" s="6">
        <f t="shared" si="47"/>
        <v>3.2456205465131907E-2</v>
      </c>
      <c r="AA125" s="6">
        <f t="shared" si="49"/>
        <v>1.6457223528425391</v>
      </c>
      <c r="AB125" s="6">
        <f t="shared" si="53"/>
        <v>8.9833256336830338</v>
      </c>
      <c r="AC125" s="6">
        <f t="shared" si="54"/>
        <v>20.702118208834424</v>
      </c>
      <c r="AD125" s="6">
        <f t="shared" si="55"/>
        <v>29.685204477010526</v>
      </c>
      <c r="AE125" s="6">
        <f t="shared" si="56"/>
        <v>26.548280758254048</v>
      </c>
      <c r="AF125" s="6">
        <f t="shared" si="57"/>
        <v>15.115463203297232</v>
      </c>
      <c r="AG125" s="6">
        <f t="shared" si="58"/>
        <v>4.7933449622163176</v>
      </c>
      <c r="AH125" s="12">
        <f t="shared" si="59"/>
        <v>15.737477451388624</v>
      </c>
      <c r="AI125" s="6">
        <f t="shared" si="60"/>
        <v>3.4076463074063874E-2</v>
      </c>
      <c r="AJ125" s="140">
        <f t="shared" ref="AJ125:AJ134" si="61">IF(ISNUMBER(VLOOKUP(CONCATENATE($J125,"_",AJ$105,"_a"),$B$6:$C$1151,2,FALSE)),VLOOKUP(CONCATENATE($J125,"_",AJ$105,"_a"),$B$6:$C$1151,2,FALSE)/1000000,"N/A")</f>
        <v>2.3058190432954019E-2</v>
      </c>
      <c r="AK125" s="6"/>
      <c r="AM125" s="160" t="s">
        <v>331</v>
      </c>
      <c r="AN125" s="204">
        <f t="shared" si="50"/>
        <v>0</v>
      </c>
      <c r="AO125" s="204">
        <f t="shared" si="50"/>
        <v>0</v>
      </c>
      <c r="AP125" s="217">
        <f t="shared" si="50"/>
        <v>0</v>
      </c>
      <c r="AQ125" s="217">
        <f t="shared" si="50"/>
        <v>0</v>
      </c>
      <c r="AR125" s="217">
        <f t="shared" si="50"/>
        <v>0</v>
      </c>
      <c r="AS125" s="217">
        <f t="shared" si="50"/>
        <v>0</v>
      </c>
      <c r="AT125" s="217">
        <f t="shared" si="50"/>
        <v>0</v>
      </c>
      <c r="AU125" s="217">
        <f t="shared" si="50"/>
        <v>0</v>
      </c>
      <c r="AV125" s="217">
        <f t="shared" si="50"/>
        <v>0</v>
      </c>
      <c r="AW125" s="204">
        <f t="shared" si="50"/>
        <v>0</v>
      </c>
      <c r="AX125" s="204">
        <f t="shared" si="51"/>
        <v>0</v>
      </c>
      <c r="AY125" s="204">
        <f t="shared" si="51"/>
        <v>0</v>
      </c>
      <c r="AZ125" s="204">
        <f t="shared" si="51"/>
        <v>0</v>
      </c>
      <c r="BA125" s="204">
        <f t="shared" si="51"/>
        <v>0</v>
      </c>
      <c r="BB125" s="204">
        <f t="shared" si="51"/>
        <v>0</v>
      </c>
      <c r="BC125" s="217">
        <f t="shared" si="51"/>
        <v>0</v>
      </c>
      <c r="BD125" s="217">
        <f t="shared" si="51"/>
        <v>0</v>
      </c>
      <c r="BE125" s="217">
        <f t="shared" si="51"/>
        <v>0</v>
      </c>
      <c r="BF125" s="217">
        <f t="shared" si="51"/>
        <v>0</v>
      </c>
      <c r="BG125" s="217">
        <f t="shared" si="51"/>
        <v>0</v>
      </c>
      <c r="BH125" s="217">
        <f t="shared" si="52"/>
        <v>0</v>
      </c>
      <c r="BI125" s="217">
        <f t="shared" si="52"/>
        <v>0</v>
      </c>
      <c r="BJ125" s="217">
        <f t="shared" si="52"/>
        <v>0</v>
      </c>
      <c r="BK125" s="218">
        <f t="shared" si="52"/>
        <v>0</v>
      </c>
      <c r="BL125" s="217">
        <f t="shared" si="52"/>
        <v>0</v>
      </c>
      <c r="BM125" s="222">
        <f t="shared" si="52"/>
        <v>0</v>
      </c>
      <c r="BN125" s="217" t="str">
        <f t="shared" si="52"/>
        <v>N/A</v>
      </c>
    </row>
    <row r="126" spans="1:66" ht="15.75" x14ac:dyDescent="0.3">
      <c r="A126" s="150">
        <v>121</v>
      </c>
      <c r="B126" s="10" t="s">
        <v>97</v>
      </c>
      <c r="C126" s="236">
        <v>16488467.212796651</v>
      </c>
      <c r="D126" s="233"/>
      <c r="E126" s="232">
        <f t="shared" si="30"/>
        <v>0</v>
      </c>
      <c r="G126" s="10" t="s">
        <v>412</v>
      </c>
      <c r="H126" s="151">
        <f>IF(ISNUMBER(P53),P53/SUM($K$43:$AK$71),0)</f>
        <v>0</v>
      </c>
      <c r="J126" s="160" t="s">
        <v>332</v>
      </c>
      <c r="K126" s="11">
        <f t="shared" ref="K126:Q134" si="62">IF(ISNUMBER(VLOOKUP(CONCATENATE($J126,"_",K$105,"_a"),$B$6:$C$1151,2,FALSE)),VLOOKUP(CONCATENATE($J126,"_",K$105,"_a"),$B$6:$C$1151,2,FALSE)/1000000,"N/A")</f>
        <v>3.6007454246283483</v>
      </c>
      <c r="L126" s="11">
        <f t="shared" si="62"/>
        <v>14.868568309337329</v>
      </c>
      <c r="M126" s="6">
        <f t="shared" si="62"/>
        <v>30.994747210565084</v>
      </c>
      <c r="N126" s="6">
        <f t="shared" si="62"/>
        <v>45.178721119352815</v>
      </c>
      <c r="O126" s="6">
        <f t="shared" si="62"/>
        <v>45.137605409845818</v>
      </c>
      <c r="P126" s="6">
        <f t="shared" si="62"/>
        <v>29.863156857228049</v>
      </c>
      <c r="Q126" s="6">
        <f t="shared" si="62"/>
        <v>13.077452104217301</v>
      </c>
      <c r="R126" s="6">
        <f t="shared" si="39"/>
        <v>3.8027331897813377</v>
      </c>
      <c r="S126" s="6">
        <f t="shared" si="40"/>
        <v>0.33259103736224027</v>
      </c>
      <c r="T126" s="11">
        <f t="shared" si="41"/>
        <v>6.6468430360401079E-2</v>
      </c>
      <c r="U126" s="11">
        <f t="shared" si="42"/>
        <v>4.0816278351682798E-2</v>
      </c>
      <c r="V126" s="11">
        <f t="shared" si="43"/>
        <v>1.9720014867584224E-2</v>
      </c>
      <c r="W126" s="11">
        <f t="shared" si="44"/>
        <v>1.5498610533782523E-2</v>
      </c>
      <c r="X126" s="11">
        <f t="shared" si="45"/>
        <v>3.0991130437621876E-3</v>
      </c>
      <c r="Y126" s="11">
        <f t="shared" si="46"/>
        <v>1.0589679643844172E-2</v>
      </c>
      <c r="Z126" s="6">
        <f t="shared" si="47"/>
        <v>6.6346226345211125E-3</v>
      </c>
      <c r="AA126" s="6">
        <f t="shared" si="49"/>
        <v>0.12296592536672674</v>
      </c>
      <c r="AB126" s="6">
        <f t="shared" si="53"/>
        <v>2.5795380014697322</v>
      </c>
      <c r="AC126" s="6">
        <f t="shared" si="54"/>
        <v>10.839274162298821</v>
      </c>
      <c r="AD126" s="6">
        <f t="shared" si="55"/>
        <v>24.298094656757122</v>
      </c>
      <c r="AE126" s="6">
        <f t="shared" si="56"/>
        <v>33.083268253303977</v>
      </c>
      <c r="AF126" s="6">
        <f t="shared" si="57"/>
        <v>29.08658109321405</v>
      </c>
      <c r="AG126" s="6">
        <f t="shared" si="58"/>
        <v>15.745230007155634</v>
      </c>
      <c r="AH126" s="6">
        <f t="shared" si="59"/>
        <v>5.7779766811875106</v>
      </c>
      <c r="AI126" s="12">
        <f t="shared" si="60"/>
        <v>1.3890044872317466</v>
      </c>
      <c r="AJ126" s="6">
        <f t="shared" si="61"/>
        <v>4.3312106888701705E-2</v>
      </c>
      <c r="AK126" s="140">
        <f t="shared" ref="AK126:AK134" si="63">IF(ISNUMBER(VLOOKUP(CONCATENATE($J126,"_",AK$105,"_a"),$B$6:$C$1151,2,FALSE)),VLOOKUP(CONCATENATE($J126,"_",AK$105,"_a"),$B$6:$C$1151,2,FALSE)/1000000,"N/A")</f>
        <v>3.5195768545280254E-2</v>
      </c>
      <c r="AM126" s="160" t="s">
        <v>332</v>
      </c>
      <c r="AN126" s="204">
        <f t="shared" ref="AN126:AW134" si="64">IF(ISNUMBER(VLOOKUP(CONCATENATE($J126,"_",AN$105,"_a"),$B$6:$E$1151,4,FALSE)),VLOOKUP(CONCATENATE($J126,"_",AN$105,"_a"),$B$6:$E$1151,4,FALSE),"N/A")</f>
        <v>0</v>
      </c>
      <c r="AO126" s="204">
        <f t="shared" si="64"/>
        <v>0</v>
      </c>
      <c r="AP126" s="217">
        <f t="shared" si="64"/>
        <v>0</v>
      </c>
      <c r="AQ126" s="217">
        <f t="shared" si="64"/>
        <v>0</v>
      </c>
      <c r="AR126" s="217">
        <f t="shared" si="64"/>
        <v>0</v>
      </c>
      <c r="AS126" s="217">
        <f t="shared" si="64"/>
        <v>0</v>
      </c>
      <c r="AT126" s="217">
        <f t="shared" si="64"/>
        <v>0</v>
      </c>
      <c r="AU126" s="217">
        <f t="shared" si="64"/>
        <v>0</v>
      </c>
      <c r="AV126" s="217">
        <f t="shared" si="64"/>
        <v>0</v>
      </c>
      <c r="AW126" s="204">
        <f t="shared" si="64"/>
        <v>0</v>
      </c>
      <c r="AX126" s="204">
        <f t="shared" ref="AX126:BG134" si="65">IF(ISNUMBER(VLOOKUP(CONCATENATE($J126,"_",AX$105,"_a"),$B$6:$E$1151,4,FALSE)),VLOOKUP(CONCATENATE($J126,"_",AX$105,"_a"),$B$6:$E$1151,4,FALSE),"N/A")</f>
        <v>0</v>
      </c>
      <c r="AY126" s="204">
        <f t="shared" si="65"/>
        <v>0</v>
      </c>
      <c r="AZ126" s="204">
        <f t="shared" si="65"/>
        <v>0</v>
      </c>
      <c r="BA126" s="204">
        <f t="shared" si="65"/>
        <v>0</v>
      </c>
      <c r="BB126" s="204">
        <f t="shared" si="65"/>
        <v>0</v>
      </c>
      <c r="BC126" s="217">
        <f t="shared" si="65"/>
        <v>0</v>
      </c>
      <c r="BD126" s="217">
        <f t="shared" si="65"/>
        <v>0</v>
      </c>
      <c r="BE126" s="217">
        <f t="shared" si="65"/>
        <v>0</v>
      </c>
      <c r="BF126" s="217">
        <f t="shared" si="65"/>
        <v>0</v>
      </c>
      <c r="BG126" s="217">
        <f t="shared" si="65"/>
        <v>0</v>
      </c>
      <c r="BH126" s="217">
        <f t="shared" ref="BH126:BN134" si="66">IF(ISNUMBER(VLOOKUP(CONCATENATE($J126,"_",BH$105,"_a"),$B$6:$E$1151,4,FALSE)),VLOOKUP(CONCATENATE($J126,"_",BH$105,"_a"),$B$6:$E$1151,4,FALSE),"N/A")</f>
        <v>0</v>
      </c>
      <c r="BI126" s="217">
        <f t="shared" si="66"/>
        <v>0</v>
      </c>
      <c r="BJ126" s="217">
        <f t="shared" si="66"/>
        <v>0</v>
      </c>
      <c r="BK126" s="217">
        <f t="shared" si="66"/>
        <v>0</v>
      </c>
      <c r="BL126" s="218">
        <f t="shared" si="66"/>
        <v>0</v>
      </c>
      <c r="BM126" s="217">
        <f t="shared" si="66"/>
        <v>0</v>
      </c>
      <c r="BN126" s="222">
        <f t="shared" si="66"/>
        <v>0</v>
      </c>
    </row>
    <row r="127" spans="1:66" ht="15.75" x14ac:dyDescent="0.3">
      <c r="A127" s="150">
        <v>122</v>
      </c>
      <c r="B127" s="10" t="s">
        <v>98</v>
      </c>
      <c r="C127" s="236">
        <v>14167479.36375485</v>
      </c>
      <c r="D127" s="233"/>
      <c r="E127" s="232">
        <f t="shared" si="30"/>
        <v>0</v>
      </c>
      <c r="G127" s="10" t="s">
        <v>413</v>
      </c>
      <c r="H127" s="151">
        <f>IF(ISNUMBER(Q53),Q53/SUM($K$43:$AK$71),0)</f>
        <v>0</v>
      </c>
      <c r="J127" s="160" t="s">
        <v>333</v>
      </c>
      <c r="K127" s="11">
        <f t="shared" si="62"/>
        <v>2.7527703417998999</v>
      </c>
      <c r="L127" s="11">
        <f t="shared" si="62"/>
        <v>12.241078339802851</v>
      </c>
      <c r="M127" s="6">
        <f t="shared" si="62"/>
        <v>24.53062950902488</v>
      </c>
      <c r="N127" s="6">
        <f t="shared" si="62"/>
        <v>34.355759214054125</v>
      </c>
      <c r="O127" s="6">
        <f t="shared" si="62"/>
        <v>35.12994688365935</v>
      </c>
      <c r="P127" s="6">
        <f t="shared" si="62"/>
        <v>25.161216249970916</v>
      </c>
      <c r="Q127" s="6">
        <f t="shared" si="62"/>
        <v>11.993786760809835</v>
      </c>
      <c r="R127" s="6">
        <f t="shared" si="39"/>
        <v>3.8260160749872023</v>
      </c>
      <c r="S127" s="6">
        <f t="shared" si="40"/>
        <v>0.53195728721287505</v>
      </c>
      <c r="T127" s="11">
        <f t="shared" si="41"/>
        <v>3.6794602227433575E-2</v>
      </c>
      <c r="U127" s="11">
        <f t="shared" si="42"/>
        <v>1.8102551268554534E-2</v>
      </c>
      <c r="V127" s="11">
        <f t="shared" si="43"/>
        <v>1.6820253417594948E-2</v>
      </c>
      <c r="W127" s="11">
        <f t="shared" si="44"/>
        <v>2.6484275763929997E-2</v>
      </c>
      <c r="X127" s="11">
        <f t="shared" si="45"/>
        <v>1.6531820085342049E-2</v>
      </c>
      <c r="Y127" s="11">
        <f t="shared" si="46"/>
        <v>1.8499098294524424E-2</v>
      </c>
      <c r="Z127" s="6">
        <f t="shared" si="47"/>
        <v>2.7822808099547503E-2</v>
      </c>
      <c r="AA127" s="6">
        <f t="shared" si="49"/>
        <v>1.83451205743102E-2</v>
      </c>
      <c r="AB127" s="6">
        <f t="shared" si="53"/>
        <v>5.1458277398254662E-2</v>
      </c>
      <c r="AC127" s="6">
        <f t="shared" si="54"/>
        <v>1.3699453890765454</v>
      </c>
      <c r="AD127" s="6">
        <f t="shared" si="55"/>
        <v>6.0147415279139267</v>
      </c>
      <c r="AE127" s="6">
        <f t="shared" si="56"/>
        <v>11.913172271824937</v>
      </c>
      <c r="AF127" s="6">
        <f t="shared" si="57"/>
        <v>14.378293979006434</v>
      </c>
      <c r="AG127" s="6">
        <f t="shared" si="58"/>
        <v>10.862271906145084</v>
      </c>
      <c r="AH127" s="6">
        <f t="shared" si="59"/>
        <v>6.0580371006227693</v>
      </c>
      <c r="AI127" s="6">
        <f t="shared" si="60"/>
        <v>1.6392769262484308</v>
      </c>
      <c r="AJ127" s="12">
        <f t="shared" si="61"/>
        <v>0.19741065700184601</v>
      </c>
      <c r="AK127" s="141">
        <f t="shared" si="63"/>
        <v>1.700366347188223E-2</v>
      </c>
      <c r="AM127" s="160" t="s">
        <v>333</v>
      </c>
      <c r="AN127" s="204">
        <f t="shared" si="64"/>
        <v>0</v>
      </c>
      <c r="AO127" s="204">
        <f t="shared" si="64"/>
        <v>0</v>
      </c>
      <c r="AP127" s="217">
        <f t="shared" si="64"/>
        <v>0</v>
      </c>
      <c r="AQ127" s="217">
        <f t="shared" si="64"/>
        <v>0</v>
      </c>
      <c r="AR127" s="217">
        <f t="shared" si="64"/>
        <v>0</v>
      </c>
      <c r="AS127" s="217">
        <f t="shared" si="64"/>
        <v>0</v>
      </c>
      <c r="AT127" s="217">
        <f t="shared" si="64"/>
        <v>0</v>
      </c>
      <c r="AU127" s="217">
        <f t="shared" si="64"/>
        <v>0</v>
      </c>
      <c r="AV127" s="217">
        <f t="shared" si="64"/>
        <v>0</v>
      </c>
      <c r="AW127" s="204">
        <f t="shared" si="64"/>
        <v>0</v>
      </c>
      <c r="AX127" s="204">
        <f t="shared" si="65"/>
        <v>0</v>
      </c>
      <c r="AY127" s="204">
        <f t="shared" si="65"/>
        <v>0</v>
      </c>
      <c r="AZ127" s="204">
        <f t="shared" si="65"/>
        <v>0</v>
      </c>
      <c r="BA127" s="204">
        <f t="shared" si="65"/>
        <v>0</v>
      </c>
      <c r="BB127" s="204">
        <f t="shared" si="65"/>
        <v>0</v>
      </c>
      <c r="BC127" s="217">
        <f t="shared" si="65"/>
        <v>0</v>
      </c>
      <c r="BD127" s="217">
        <f t="shared" si="65"/>
        <v>0</v>
      </c>
      <c r="BE127" s="217">
        <f t="shared" si="65"/>
        <v>0</v>
      </c>
      <c r="BF127" s="217">
        <f t="shared" si="65"/>
        <v>0</v>
      </c>
      <c r="BG127" s="217">
        <f t="shared" si="65"/>
        <v>0</v>
      </c>
      <c r="BH127" s="217">
        <f t="shared" si="66"/>
        <v>0</v>
      </c>
      <c r="BI127" s="217">
        <f t="shared" si="66"/>
        <v>0</v>
      </c>
      <c r="BJ127" s="217">
        <f t="shared" si="66"/>
        <v>0</v>
      </c>
      <c r="BK127" s="217">
        <f t="shared" si="66"/>
        <v>0</v>
      </c>
      <c r="BL127" s="217">
        <f t="shared" si="66"/>
        <v>0</v>
      </c>
      <c r="BM127" s="218">
        <f t="shared" si="66"/>
        <v>0</v>
      </c>
      <c r="BN127" s="219">
        <f t="shared" si="66"/>
        <v>0</v>
      </c>
    </row>
    <row r="128" spans="1:66" ht="15.75" x14ac:dyDescent="0.3">
      <c r="A128" s="150">
        <v>123</v>
      </c>
      <c r="B128" s="10" t="s">
        <v>99</v>
      </c>
      <c r="C128" s="236">
        <v>28541189.02158545</v>
      </c>
      <c r="D128" s="233"/>
      <c r="E128" s="232">
        <f t="shared" si="30"/>
        <v>0</v>
      </c>
      <c r="G128" s="10" t="s">
        <v>414</v>
      </c>
      <c r="H128" s="151">
        <f>IF(ISNUMBER(R53),R53/SUM($K$43:$AK$71),0)</f>
        <v>0</v>
      </c>
      <c r="J128" s="160" t="s">
        <v>334</v>
      </c>
      <c r="K128" s="11">
        <f t="shared" si="62"/>
        <v>1.7823966160086113</v>
      </c>
      <c r="L128" s="11">
        <f t="shared" si="62"/>
        <v>8.7369473380955558</v>
      </c>
      <c r="M128" s="6">
        <f t="shared" si="62"/>
        <v>17.493024018183931</v>
      </c>
      <c r="N128" s="6">
        <f t="shared" si="62"/>
        <v>24.208610612865808</v>
      </c>
      <c r="O128" s="6">
        <f t="shared" si="62"/>
        <v>24.834468122539988</v>
      </c>
      <c r="P128" s="6">
        <f t="shared" si="62"/>
        <v>18.182488891056668</v>
      </c>
      <c r="Q128" s="6">
        <f t="shared" si="62"/>
        <v>9.2866002700352741</v>
      </c>
      <c r="R128" s="6">
        <f t="shared" si="39"/>
        <v>3.3131732202648227</v>
      </c>
      <c r="S128" s="6">
        <f t="shared" si="40"/>
        <v>0.43303377112952973</v>
      </c>
      <c r="T128" s="11">
        <f t="shared" si="41"/>
        <v>1.801148424310314E-2</v>
      </c>
      <c r="U128" s="11">
        <f t="shared" si="42"/>
        <v>2.619178731896963E-2</v>
      </c>
      <c r="V128" s="11">
        <f t="shared" si="43"/>
        <v>2.2057534787292823E-3</v>
      </c>
      <c r="W128" s="11">
        <f t="shared" si="44"/>
        <v>0.36019055897388247</v>
      </c>
      <c r="X128" s="11">
        <f t="shared" si="45"/>
        <v>1.5497993151955311E-2</v>
      </c>
      <c r="Y128" s="11">
        <f t="shared" si="46"/>
        <v>2.1327382376701579E-2</v>
      </c>
      <c r="Z128" s="6">
        <f t="shared" si="47"/>
        <v>1.1715514478820375E-2</v>
      </c>
      <c r="AA128" s="6">
        <f t="shared" si="49"/>
        <v>9.2053284840697379E-3</v>
      </c>
      <c r="AB128" s="6">
        <f t="shared" si="53"/>
        <v>5.0584529479974997E-3</v>
      </c>
      <c r="AC128" s="6">
        <f t="shared" si="54"/>
        <v>3.8072222071532609E-2</v>
      </c>
      <c r="AD128" s="6">
        <f t="shared" si="55"/>
        <v>1.2280362118946162</v>
      </c>
      <c r="AE128" s="6">
        <f t="shared" si="56"/>
        <v>4.8413852549266219</v>
      </c>
      <c r="AF128" s="6">
        <f t="shared" si="57"/>
        <v>8.4446787598615778</v>
      </c>
      <c r="AG128" s="6">
        <f t="shared" si="58"/>
        <v>9.6852999705615126</v>
      </c>
      <c r="AH128" s="6">
        <f t="shared" si="59"/>
        <v>7.731218628135804</v>
      </c>
      <c r="AI128" s="6">
        <f t="shared" si="60"/>
        <v>3.5847056517502676</v>
      </c>
      <c r="AJ128" s="6">
        <f t="shared" si="61"/>
        <v>0.99705478563275829</v>
      </c>
      <c r="AK128" s="12">
        <f t="shared" si="63"/>
        <v>7.0161239945706014E-2</v>
      </c>
      <c r="AM128" s="160" t="s">
        <v>334</v>
      </c>
      <c r="AN128" s="204">
        <f t="shared" si="64"/>
        <v>0</v>
      </c>
      <c r="AO128" s="204">
        <f t="shared" si="64"/>
        <v>0</v>
      </c>
      <c r="AP128" s="217">
        <f t="shared" si="64"/>
        <v>0</v>
      </c>
      <c r="AQ128" s="217">
        <f t="shared" si="64"/>
        <v>0</v>
      </c>
      <c r="AR128" s="217">
        <f t="shared" si="64"/>
        <v>0</v>
      </c>
      <c r="AS128" s="217">
        <f t="shared" si="64"/>
        <v>0</v>
      </c>
      <c r="AT128" s="217">
        <f t="shared" si="64"/>
        <v>0</v>
      </c>
      <c r="AU128" s="217">
        <f t="shared" si="64"/>
        <v>0</v>
      </c>
      <c r="AV128" s="217">
        <f t="shared" si="64"/>
        <v>0</v>
      </c>
      <c r="AW128" s="204">
        <f t="shared" si="64"/>
        <v>0</v>
      </c>
      <c r="AX128" s="204">
        <f t="shared" si="65"/>
        <v>0</v>
      </c>
      <c r="AY128" s="204">
        <f t="shared" si="65"/>
        <v>0</v>
      </c>
      <c r="AZ128" s="204">
        <f t="shared" si="65"/>
        <v>0</v>
      </c>
      <c r="BA128" s="204">
        <f t="shared" si="65"/>
        <v>0</v>
      </c>
      <c r="BB128" s="204">
        <f t="shared" si="65"/>
        <v>0</v>
      </c>
      <c r="BC128" s="217">
        <f t="shared" si="65"/>
        <v>0</v>
      </c>
      <c r="BD128" s="217">
        <f t="shared" si="65"/>
        <v>0</v>
      </c>
      <c r="BE128" s="217">
        <f t="shared" si="65"/>
        <v>0</v>
      </c>
      <c r="BF128" s="217">
        <f t="shared" si="65"/>
        <v>0</v>
      </c>
      <c r="BG128" s="217">
        <f t="shared" si="65"/>
        <v>0</v>
      </c>
      <c r="BH128" s="217">
        <f t="shared" si="66"/>
        <v>0</v>
      </c>
      <c r="BI128" s="217">
        <f t="shared" si="66"/>
        <v>0</v>
      </c>
      <c r="BJ128" s="217">
        <f t="shared" si="66"/>
        <v>0</v>
      </c>
      <c r="BK128" s="217">
        <f t="shared" si="66"/>
        <v>0</v>
      </c>
      <c r="BL128" s="217">
        <f t="shared" si="66"/>
        <v>0</v>
      </c>
      <c r="BM128" s="217">
        <f t="shared" si="66"/>
        <v>0</v>
      </c>
      <c r="BN128" s="218">
        <f t="shared" si="66"/>
        <v>0</v>
      </c>
    </row>
    <row r="129" spans="1:66" ht="15.75" x14ac:dyDescent="0.3">
      <c r="A129" s="150">
        <v>124</v>
      </c>
      <c r="B129" s="10" t="s">
        <v>100</v>
      </c>
      <c r="C129" s="236">
        <v>20827557.777687326</v>
      </c>
      <c r="D129" s="233"/>
      <c r="E129" s="232">
        <f t="shared" si="30"/>
        <v>0</v>
      </c>
      <c r="G129" s="10" t="s">
        <v>415</v>
      </c>
      <c r="H129" s="151">
        <f>IF(ISNUMBER(S53),S53/SUM($K$43:$AK$71),0)</f>
        <v>0</v>
      </c>
      <c r="J129" s="160" t="s">
        <v>335</v>
      </c>
      <c r="K129" s="11">
        <f t="shared" si="62"/>
        <v>1.2116050366122419</v>
      </c>
      <c r="L129" s="11">
        <f t="shared" si="62"/>
        <v>6.2007278180459151</v>
      </c>
      <c r="M129" s="6">
        <f t="shared" si="62"/>
        <v>13.053132158669408</v>
      </c>
      <c r="N129" s="6">
        <f t="shared" si="62"/>
        <v>18.193055406479953</v>
      </c>
      <c r="O129" s="6">
        <f t="shared" si="62"/>
        <v>18.691921700480446</v>
      </c>
      <c r="P129" s="6">
        <f t="shared" si="62"/>
        <v>14.549414128515105</v>
      </c>
      <c r="Q129" s="6">
        <f t="shared" si="62"/>
        <v>7.9164790661760547</v>
      </c>
      <c r="R129" s="6">
        <f t="shared" si="39"/>
        <v>2.96156453712398</v>
      </c>
      <c r="S129" s="6">
        <f t="shared" si="40"/>
        <v>0.37645967942499353</v>
      </c>
      <c r="T129" s="11">
        <f t="shared" si="41"/>
        <v>1.9197354622009697E-2</v>
      </c>
      <c r="U129" s="11">
        <f t="shared" si="42"/>
        <v>3.4159824419555125E-2</v>
      </c>
      <c r="V129" s="11">
        <f t="shared" si="43"/>
        <v>2.4305156859969517E-2</v>
      </c>
      <c r="W129" s="11">
        <f t="shared" si="44"/>
        <v>3.224668074371234E-3</v>
      </c>
      <c r="X129" s="11">
        <f t="shared" si="45"/>
        <v>6.5127965288086509E-3</v>
      </c>
      <c r="Y129" s="11">
        <f t="shared" si="46"/>
        <v>2.0094338884819547E-2</v>
      </c>
      <c r="Z129" s="11">
        <f t="shared" si="47"/>
        <v>3.1363742680358825E-2</v>
      </c>
      <c r="AA129" s="11">
        <f t="shared" si="49"/>
        <v>1.6209782740722625E-2</v>
      </c>
      <c r="AB129" s="11">
        <f t="shared" si="53"/>
        <v>2.5823677948608074E-2</v>
      </c>
      <c r="AC129" s="11">
        <f t="shared" si="54"/>
        <v>2.6485074699096147E-3</v>
      </c>
      <c r="AD129" s="11">
        <f t="shared" si="55"/>
        <v>5.0256537309925554E-2</v>
      </c>
      <c r="AE129" s="11">
        <f t="shared" si="56"/>
        <v>0.73936601687089354</v>
      </c>
      <c r="AF129" s="11">
        <f t="shared" si="57"/>
        <v>2.8745086234104651</v>
      </c>
      <c r="AG129" s="11">
        <f t="shared" si="58"/>
        <v>4.5948143046982874</v>
      </c>
      <c r="AH129" s="11">
        <f t="shared" si="59"/>
        <v>5.4760951494880299</v>
      </c>
      <c r="AI129" s="11">
        <f t="shared" si="60"/>
        <v>3.4174883628152601</v>
      </c>
      <c r="AJ129" s="11">
        <f t="shared" si="61"/>
        <v>1.6359905629366331</v>
      </c>
      <c r="AK129" s="14">
        <f t="shared" si="63"/>
        <v>0</v>
      </c>
      <c r="AM129" s="160" t="s">
        <v>335</v>
      </c>
      <c r="AN129" s="204">
        <f t="shared" si="64"/>
        <v>0</v>
      </c>
      <c r="AO129" s="204">
        <f t="shared" si="64"/>
        <v>0</v>
      </c>
      <c r="AP129" s="217">
        <f t="shared" si="64"/>
        <v>0</v>
      </c>
      <c r="AQ129" s="217">
        <f t="shared" si="64"/>
        <v>0</v>
      </c>
      <c r="AR129" s="217">
        <f t="shared" si="64"/>
        <v>0</v>
      </c>
      <c r="AS129" s="217">
        <f t="shared" si="64"/>
        <v>0</v>
      </c>
      <c r="AT129" s="217">
        <f t="shared" si="64"/>
        <v>0</v>
      </c>
      <c r="AU129" s="217">
        <f t="shared" si="64"/>
        <v>0</v>
      </c>
      <c r="AV129" s="217">
        <f t="shared" si="64"/>
        <v>0</v>
      </c>
      <c r="AW129" s="204">
        <f t="shared" si="64"/>
        <v>0</v>
      </c>
      <c r="AX129" s="204">
        <f t="shared" si="65"/>
        <v>0</v>
      </c>
      <c r="AY129" s="204">
        <f t="shared" si="65"/>
        <v>0</v>
      </c>
      <c r="AZ129" s="204">
        <f t="shared" si="65"/>
        <v>0</v>
      </c>
      <c r="BA129" s="204">
        <f t="shared" si="65"/>
        <v>0</v>
      </c>
      <c r="BB129" s="204">
        <f t="shared" si="65"/>
        <v>0</v>
      </c>
      <c r="BC129" s="204">
        <f t="shared" si="65"/>
        <v>0</v>
      </c>
      <c r="BD129" s="204">
        <f t="shared" si="65"/>
        <v>0</v>
      </c>
      <c r="BE129" s="204">
        <f t="shared" si="65"/>
        <v>0</v>
      </c>
      <c r="BF129" s="204">
        <f t="shared" si="65"/>
        <v>0</v>
      </c>
      <c r="BG129" s="204">
        <f t="shared" si="65"/>
        <v>0</v>
      </c>
      <c r="BH129" s="204">
        <f t="shared" si="66"/>
        <v>0</v>
      </c>
      <c r="BI129" s="204">
        <f t="shared" si="66"/>
        <v>0</v>
      </c>
      <c r="BJ129" s="204">
        <f t="shared" si="66"/>
        <v>0</v>
      </c>
      <c r="BK129" s="204">
        <f t="shared" si="66"/>
        <v>0</v>
      </c>
      <c r="BL129" s="204">
        <f t="shared" si="66"/>
        <v>0</v>
      </c>
      <c r="BM129" s="204">
        <f t="shared" si="66"/>
        <v>0</v>
      </c>
      <c r="BN129" s="223" t="str">
        <f t="shared" si="66"/>
        <v>N/A</v>
      </c>
    </row>
    <row r="130" spans="1:66" ht="15.75" x14ac:dyDescent="0.3">
      <c r="A130" s="150">
        <v>125</v>
      </c>
      <c r="B130" s="10" t="s">
        <v>101</v>
      </c>
      <c r="C130" s="236">
        <v>23437847.711045049</v>
      </c>
      <c r="D130" s="233"/>
      <c r="E130" s="232">
        <f t="shared" si="30"/>
        <v>0</v>
      </c>
      <c r="G130" s="10" t="s">
        <v>416</v>
      </c>
      <c r="H130" s="151">
        <f>IF(ISNUMBER(T53),T53/SUM($K$43:$AK$71),0)</f>
        <v>0</v>
      </c>
      <c r="J130" s="160" t="s">
        <v>336</v>
      </c>
      <c r="K130" s="11">
        <f t="shared" si="62"/>
        <v>0.70341137229838291</v>
      </c>
      <c r="L130" s="11">
        <f t="shared" si="62"/>
        <v>3.8054392896617353</v>
      </c>
      <c r="M130" s="6">
        <f t="shared" si="62"/>
        <v>8.5018812033218065</v>
      </c>
      <c r="N130" s="6">
        <f t="shared" si="62"/>
        <v>12.34275144173402</v>
      </c>
      <c r="O130" s="6">
        <f t="shared" si="62"/>
        <v>12.802974579695173</v>
      </c>
      <c r="P130" s="6">
        <f t="shared" si="62"/>
        <v>9.8156197219997665</v>
      </c>
      <c r="Q130" s="6">
        <f t="shared" si="62"/>
        <v>5.6448698367685672</v>
      </c>
      <c r="R130" s="6">
        <f t="shared" si="39"/>
        <v>2.1402651575441638</v>
      </c>
      <c r="S130" s="6">
        <f t="shared" si="40"/>
        <v>0.38084225399011379</v>
      </c>
      <c r="T130" s="11">
        <f t="shared" si="41"/>
        <v>1.5541772629089175E-2</v>
      </c>
      <c r="U130" s="11">
        <f t="shared" si="42"/>
        <v>1.4010346101745725E-2</v>
      </c>
      <c r="V130" s="11">
        <f t="shared" si="43"/>
        <v>1.362827658636497E-2</v>
      </c>
      <c r="W130" s="11">
        <f t="shared" si="44"/>
        <v>7.1309046931762573E-3</v>
      </c>
      <c r="X130" s="11">
        <f t="shared" si="45"/>
        <v>1.7090138639763199E-2</v>
      </c>
      <c r="Y130" s="11">
        <f t="shared" si="46"/>
        <v>2.8497040351744975E-2</v>
      </c>
      <c r="Z130" s="11">
        <f t="shared" si="47"/>
        <v>5.2481815894162398E-2</v>
      </c>
      <c r="AA130" s="11">
        <f t="shared" si="49"/>
        <v>7.8598935984729185E-3</v>
      </c>
      <c r="AB130" s="11">
        <f t="shared" si="53"/>
        <v>8.611209893577677E-3</v>
      </c>
      <c r="AC130" s="11">
        <f t="shared" si="54"/>
        <v>3.1533194840583311E-3</v>
      </c>
      <c r="AD130" s="11">
        <f t="shared" si="55"/>
        <v>8.6279932943114437E-3</v>
      </c>
      <c r="AE130" s="11">
        <f t="shared" si="56"/>
        <v>2.9775679694146146E-2</v>
      </c>
      <c r="AF130" s="11">
        <f t="shared" si="57"/>
        <v>0.73299631591373682</v>
      </c>
      <c r="AG130" s="11">
        <f t="shared" si="58"/>
        <v>1.6521749367539733</v>
      </c>
      <c r="AH130" s="11">
        <f t="shared" si="59"/>
        <v>2.5947734229753925</v>
      </c>
      <c r="AI130" s="11">
        <f t="shared" si="60"/>
        <v>2.4780652557156375</v>
      </c>
      <c r="AJ130" s="11">
        <f t="shared" si="61"/>
        <v>1.7008149270337833</v>
      </c>
      <c r="AK130" s="14">
        <f t="shared" si="63"/>
        <v>0</v>
      </c>
      <c r="AM130" s="160" t="s">
        <v>336</v>
      </c>
      <c r="AN130" s="204">
        <f t="shared" si="64"/>
        <v>0</v>
      </c>
      <c r="AO130" s="204">
        <f t="shared" si="64"/>
        <v>0</v>
      </c>
      <c r="AP130" s="217">
        <f t="shared" si="64"/>
        <v>0</v>
      </c>
      <c r="AQ130" s="217">
        <f t="shared" si="64"/>
        <v>0</v>
      </c>
      <c r="AR130" s="217">
        <f t="shared" si="64"/>
        <v>0</v>
      </c>
      <c r="AS130" s="217">
        <f t="shared" si="64"/>
        <v>0</v>
      </c>
      <c r="AT130" s="217">
        <f t="shared" si="64"/>
        <v>0</v>
      </c>
      <c r="AU130" s="217">
        <f t="shared" si="64"/>
        <v>0</v>
      </c>
      <c r="AV130" s="217">
        <f t="shared" si="64"/>
        <v>0</v>
      </c>
      <c r="AW130" s="204">
        <f t="shared" si="64"/>
        <v>0</v>
      </c>
      <c r="AX130" s="204">
        <f t="shared" si="65"/>
        <v>0</v>
      </c>
      <c r="AY130" s="204">
        <f t="shared" si="65"/>
        <v>0</v>
      </c>
      <c r="AZ130" s="204">
        <f t="shared" si="65"/>
        <v>0</v>
      </c>
      <c r="BA130" s="204">
        <f t="shared" si="65"/>
        <v>0</v>
      </c>
      <c r="BB130" s="204">
        <f t="shared" si="65"/>
        <v>0</v>
      </c>
      <c r="BC130" s="204">
        <f t="shared" si="65"/>
        <v>0</v>
      </c>
      <c r="BD130" s="204">
        <f t="shared" si="65"/>
        <v>0</v>
      </c>
      <c r="BE130" s="204">
        <f t="shared" si="65"/>
        <v>0</v>
      </c>
      <c r="BF130" s="204">
        <f t="shared" si="65"/>
        <v>0</v>
      </c>
      <c r="BG130" s="204">
        <f t="shared" si="65"/>
        <v>0</v>
      </c>
      <c r="BH130" s="204">
        <f t="shared" si="66"/>
        <v>0</v>
      </c>
      <c r="BI130" s="204">
        <f t="shared" si="66"/>
        <v>0</v>
      </c>
      <c r="BJ130" s="204">
        <f t="shared" si="66"/>
        <v>0</v>
      </c>
      <c r="BK130" s="204">
        <f t="shared" si="66"/>
        <v>0</v>
      </c>
      <c r="BL130" s="204">
        <f t="shared" si="66"/>
        <v>0</v>
      </c>
      <c r="BM130" s="204">
        <f t="shared" si="66"/>
        <v>0</v>
      </c>
      <c r="BN130" s="223" t="str">
        <f t="shared" si="66"/>
        <v>N/A</v>
      </c>
    </row>
    <row r="131" spans="1:66" ht="15.75" x14ac:dyDescent="0.3">
      <c r="A131" s="150">
        <v>126</v>
      </c>
      <c r="B131" s="10" t="s">
        <v>102</v>
      </c>
      <c r="C131" s="236">
        <v>20233168.317698251</v>
      </c>
      <c r="D131" s="233"/>
      <c r="E131" s="232">
        <f t="shared" si="30"/>
        <v>0</v>
      </c>
      <c r="G131" s="10" t="s">
        <v>516</v>
      </c>
      <c r="H131" s="151">
        <f>IF(ISNUMBER(U53),U53/SUM($K$43:$AK$71),0)</f>
        <v>5.0869383736706104E-5</v>
      </c>
      <c r="J131" s="160" t="s">
        <v>337</v>
      </c>
      <c r="K131" s="11">
        <f t="shared" si="62"/>
        <v>0.30053544354236106</v>
      </c>
      <c r="L131" s="11">
        <f t="shared" si="62"/>
        <v>2.2461785421797771</v>
      </c>
      <c r="M131" s="6">
        <f t="shared" si="62"/>
        <v>5.3517236373953327</v>
      </c>
      <c r="N131" s="6">
        <f t="shared" si="62"/>
        <v>8.3204020070516371</v>
      </c>
      <c r="O131" s="6">
        <f t="shared" si="62"/>
        <v>8.832985703702029</v>
      </c>
      <c r="P131" s="6">
        <f t="shared" si="62"/>
        <v>7.0276458680614056</v>
      </c>
      <c r="Q131" s="6">
        <f t="shared" si="62"/>
        <v>4.0413035908296999</v>
      </c>
      <c r="R131" s="6">
        <f t="shared" si="39"/>
        <v>1.5016353464174501</v>
      </c>
      <c r="S131" s="6">
        <f t="shared" si="40"/>
        <v>0.19873385103210814</v>
      </c>
      <c r="T131" s="11">
        <f t="shared" si="41"/>
        <v>1.3924965316833651E-2</v>
      </c>
      <c r="U131" s="11">
        <f t="shared" si="42"/>
        <v>2.5344811153991377E-2</v>
      </c>
      <c r="V131" s="11">
        <f t="shared" si="43"/>
        <v>2.1579678124235952E-3</v>
      </c>
      <c r="W131" s="11">
        <f t="shared" si="44"/>
        <v>5.3281746025391503E-3</v>
      </c>
      <c r="X131" s="11">
        <f t="shared" si="45"/>
        <v>1.5381296380127526E-2</v>
      </c>
      <c r="Y131" s="11">
        <f t="shared" si="46"/>
        <v>3.4897334571394968E-2</v>
      </c>
      <c r="Z131" s="11">
        <f t="shared" si="47"/>
        <v>6.5545018808728095E-2</v>
      </c>
      <c r="AA131" s="11">
        <f t="shared" si="49"/>
        <v>2.2830202846297627E-3</v>
      </c>
      <c r="AB131" s="11">
        <f t="shared" si="53"/>
        <v>1.3317342125427321E-2</v>
      </c>
      <c r="AC131" s="11">
        <f t="shared" si="54"/>
        <v>7.5796695588677999E-3</v>
      </c>
      <c r="AD131" s="11">
        <f t="shared" si="55"/>
        <v>1.4118627316406451E-2</v>
      </c>
      <c r="AE131" s="11">
        <f t="shared" si="56"/>
        <v>3.8601271316530124E-3</v>
      </c>
      <c r="AF131" s="11">
        <f t="shared" si="57"/>
        <v>1.3701722302627463E-2</v>
      </c>
      <c r="AG131" s="11">
        <f t="shared" si="58"/>
        <v>0.14304047777243903</v>
      </c>
      <c r="AH131" s="11">
        <f t="shared" si="59"/>
        <v>0.69873426629815305</v>
      </c>
      <c r="AI131" s="11">
        <f t="shared" si="60"/>
        <v>1.1563046369563943</v>
      </c>
      <c r="AJ131" s="11">
        <f t="shared" si="61"/>
        <v>0.80481994812420132</v>
      </c>
      <c r="AK131" s="14">
        <f t="shared" si="63"/>
        <v>0</v>
      </c>
      <c r="AM131" s="160" t="s">
        <v>337</v>
      </c>
      <c r="AN131" s="204">
        <f t="shared" si="64"/>
        <v>0</v>
      </c>
      <c r="AO131" s="204">
        <f t="shared" si="64"/>
        <v>0</v>
      </c>
      <c r="AP131" s="217">
        <f t="shared" si="64"/>
        <v>0</v>
      </c>
      <c r="AQ131" s="217">
        <f t="shared" si="64"/>
        <v>0</v>
      </c>
      <c r="AR131" s="217">
        <f t="shared" si="64"/>
        <v>0</v>
      </c>
      <c r="AS131" s="217">
        <f t="shared" si="64"/>
        <v>0</v>
      </c>
      <c r="AT131" s="217">
        <f t="shared" si="64"/>
        <v>0</v>
      </c>
      <c r="AU131" s="217">
        <f t="shared" si="64"/>
        <v>0</v>
      </c>
      <c r="AV131" s="217">
        <f t="shared" si="64"/>
        <v>0</v>
      </c>
      <c r="AW131" s="204">
        <f t="shared" si="64"/>
        <v>0</v>
      </c>
      <c r="AX131" s="204">
        <f t="shared" si="65"/>
        <v>0</v>
      </c>
      <c r="AY131" s="204">
        <f t="shared" si="65"/>
        <v>0</v>
      </c>
      <c r="AZ131" s="204">
        <f t="shared" si="65"/>
        <v>0</v>
      </c>
      <c r="BA131" s="204">
        <f t="shared" si="65"/>
        <v>0</v>
      </c>
      <c r="BB131" s="204">
        <f t="shared" si="65"/>
        <v>0</v>
      </c>
      <c r="BC131" s="204">
        <f t="shared" si="65"/>
        <v>0</v>
      </c>
      <c r="BD131" s="204">
        <f t="shared" si="65"/>
        <v>0</v>
      </c>
      <c r="BE131" s="204">
        <f t="shared" si="65"/>
        <v>0</v>
      </c>
      <c r="BF131" s="204">
        <f t="shared" si="65"/>
        <v>0</v>
      </c>
      <c r="BG131" s="204">
        <f t="shared" si="65"/>
        <v>0</v>
      </c>
      <c r="BH131" s="204">
        <f t="shared" si="66"/>
        <v>0</v>
      </c>
      <c r="BI131" s="204">
        <f t="shared" si="66"/>
        <v>0</v>
      </c>
      <c r="BJ131" s="204">
        <f t="shared" si="66"/>
        <v>0</v>
      </c>
      <c r="BK131" s="204">
        <f t="shared" si="66"/>
        <v>0</v>
      </c>
      <c r="BL131" s="204">
        <f t="shared" si="66"/>
        <v>0</v>
      </c>
      <c r="BM131" s="204">
        <f t="shared" si="66"/>
        <v>0</v>
      </c>
      <c r="BN131" s="223" t="str">
        <f t="shared" si="66"/>
        <v>N/A</v>
      </c>
    </row>
    <row r="132" spans="1:66" ht="15.75" x14ac:dyDescent="0.3">
      <c r="A132" s="150">
        <v>127</v>
      </c>
      <c r="B132" s="10" t="s">
        <v>103</v>
      </c>
      <c r="C132" s="236">
        <v>31909054.670655027</v>
      </c>
      <c r="D132" s="233"/>
      <c r="E132" s="232">
        <f t="shared" si="30"/>
        <v>0</v>
      </c>
      <c r="G132" s="10" t="s">
        <v>517</v>
      </c>
      <c r="H132" s="151">
        <f>IF(ISNUMBER(V53),V53/SUM($K$43:$AK$71),0)</f>
        <v>2.2899913994169391E-4</v>
      </c>
      <c r="J132" s="160" t="s">
        <v>338</v>
      </c>
      <c r="K132" s="11">
        <f t="shared" si="62"/>
        <v>4.690625788096512E-2</v>
      </c>
      <c r="L132" s="11">
        <f t="shared" si="62"/>
        <v>1.1440777810395666</v>
      </c>
      <c r="M132" s="6">
        <f t="shared" si="62"/>
        <v>2.9528759475742858</v>
      </c>
      <c r="N132" s="6">
        <f t="shared" si="62"/>
        <v>5.0100066693854943</v>
      </c>
      <c r="O132" s="6">
        <f t="shared" si="62"/>
        <v>5.6395355938301099</v>
      </c>
      <c r="P132" s="6">
        <f t="shared" si="62"/>
        <v>4.4377661718017771</v>
      </c>
      <c r="Q132" s="6">
        <f t="shared" si="62"/>
        <v>2.6950267497830236</v>
      </c>
      <c r="R132" s="6">
        <f t="shared" si="39"/>
        <v>0.87930256092933912</v>
      </c>
      <c r="S132" s="6">
        <f t="shared" si="40"/>
        <v>9.7224049591124559E-2</v>
      </c>
      <c r="T132" s="11">
        <f t="shared" si="41"/>
        <v>2.0841798186706253E-2</v>
      </c>
      <c r="U132" s="11">
        <f t="shared" si="42"/>
        <v>2.393236755345178E-2</v>
      </c>
      <c r="V132" s="11">
        <f t="shared" si="43"/>
        <v>3.598015345749029E-2</v>
      </c>
      <c r="W132" s="11">
        <f t="shared" si="44"/>
        <v>1.6439580031127549E-3</v>
      </c>
      <c r="X132" s="11">
        <f t="shared" si="45"/>
        <v>2.7699270818846943E-2</v>
      </c>
      <c r="Y132" s="11">
        <f t="shared" si="46"/>
        <v>8.0239565846347186E-2</v>
      </c>
      <c r="Z132" s="11">
        <f t="shared" si="47"/>
        <v>5.5220220492676844E-2</v>
      </c>
      <c r="AA132" s="11">
        <f t="shared" si="49"/>
        <v>6.8407049283445249E-3</v>
      </c>
      <c r="AB132" s="11">
        <f t="shared" si="53"/>
        <v>5.5537454140933669E-3</v>
      </c>
      <c r="AC132" s="11">
        <f t="shared" si="54"/>
        <v>5.3517614604491103E-3</v>
      </c>
      <c r="AD132" s="11">
        <f t="shared" si="55"/>
        <v>2.2715277885451898E-2</v>
      </c>
      <c r="AE132" s="11">
        <f t="shared" si="56"/>
        <v>1.5543083805664427E-2</v>
      </c>
      <c r="AF132" s="11">
        <f t="shared" si="57"/>
        <v>3.9922676986014261E-2</v>
      </c>
      <c r="AG132" s="11">
        <f t="shared" si="58"/>
        <v>2.2534955715209224E-2</v>
      </c>
      <c r="AH132" s="11">
        <f t="shared" si="59"/>
        <v>6.1862737778167254E-2</v>
      </c>
      <c r="AI132" s="11">
        <f t="shared" si="60"/>
        <v>0.2362145953789615</v>
      </c>
      <c r="AJ132" s="11">
        <f t="shared" si="61"/>
        <v>0</v>
      </c>
      <c r="AK132" s="14">
        <f t="shared" si="63"/>
        <v>0</v>
      </c>
      <c r="AM132" s="160" t="s">
        <v>338</v>
      </c>
      <c r="AN132" s="204">
        <f t="shared" si="64"/>
        <v>0</v>
      </c>
      <c r="AO132" s="204">
        <f t="shared" si="64"/>
        <v>0</v>
      </c>
      <c r="AP132" s="217">
        <f t="shared" si="64"/>
        <v>0</v>
      </c>
      <c r="AQ132" s="217">
        <f t="shared" si="64"/>
        <v>0</v>
      </c>
      <c r="AR132" s="217">
        <f t="shared" si="64"/>
        <v>0</v>
      </c>
      <c r="AS132" s="217">
        <f t="shared" si="64"/>
        <v>0</v>
      </c>
      <c r="AT132" s="217">
        <f t="shared" si="64"/>
        <v>0</v>
      </c>
      <c r="AU132" s="217">
        <f t="shared" si="64"/>
        <v>0</v>
      </c>
      <c r="AV132" s="217">
        <f t="shared" si="64"/>
        <v>0</v>
      </c>
      <c r="AW132" s="204">
        <f t="shared" si="64"/>
        <v>0</v>
      </c>
      <c r="AX132" s="204">
        <f t="shared" si="65"/>
        <v>0</v>
      </c>
      <c r="AY132" s="204">
        <f t="shared" si="65"/>
        <v>0</v>
      </c>
      <c r="AZ132" s="204">
        <f t="shared" si="65"/>
        <v>0</v>
      </c>
      <c r="BA132" s="204">
        <f t="shared" si="65"/>
        <v>0</v>
      </c>
      <c r="BB132" s="204">
        <f t="shared" si="65"/>
        <v>0</v>
      </c>
      <c r="BC132" s="204">
        <f t="shared" si="65"/>
        <v>0</v>
      </c>
      <c r="BD132" s="204">
        <f t="shared" si="65"/>
        <v>0</v>
      </c>
      <c r="BE132" s="204">
        <f t="shared" si="65"/>
        <v>0</v>
      </c>
      <c r="BF132" s="204">
        <f t="shared" si="65"/>
        <v>0</v>
      </c>
      <c r="BG132" s="204">
        <f t="shared" si="65"/>
        <v>0</v>
      </c>
      <c r="BH132" s="204">
        <f t="shared" si="66"/>
        <v>0</v>
      </c>
      <c r="BI132" s="204">
        <f t="shared" si="66"/>
        <v>0</v>
      </c>
      <c r="BJ132" s="204">
        <f t="shared" si="66"/>
        <v>0</v>
      </c>
      <c r="BK132" s="204">
        <f t="shared" si="66"/>
        <v>0</v>
      </c>
      <c r="BL132" s="204">
        <f t="shared" si="66"/>
        <v>0</v>
      </c>
      <c r="BM132" s="204" t="str">
        <f t="shared" si="66"/>
        <v>N/A</v>
      </c>
      <c r="BN132" s="223" t="str">
        <f t="shared" si="66"/>
        <v>N/A</v>
      </c>
    </row>
    <row r="133" spans="1:66" ht="15.75" x14ac:dyDescent="0.3">
      <c r="A133" s="150">
        <v>128</v>
      </c>
      <c r="B133" s="10" t="s">
        <v>104</v>
      </c>
      <c r="C133" s="236">
        <v>31974116.229561552</v>
      </c>
      <c r="D133" s="233"/>
      <c r="E133" s="232">
        <f t="shared" si="30"/>
        <v>0</v>
      </c>
      <c r="G133" s="10" t="s">
        <v>518</v>
      </c>
      <c r="H133" s="151">
        <f>IF(ISNUMBER(W53),W53/SUM($K$43:$AK$71),0)</f>
        <v>3.0867364149217332E-4</v>
      </c>
      <c r="J133" s="160" t="s">
        <v>339</v>
      </c>
      <c r="K133" s="11">
        <f t="shared" si="62"/>
        <v>6.5076423812867245E-4</v>
      </c>
      <c r="L133" s="11">
        <f t="shared" si="62"/>
        <v>0.51902370705082024</v>
      </c>
      <c r="M133" s="6">
        <f t="shared" si="62"/>
        <v>1.5230618294768645</v>
      </c>
      <c r="N133" s="6">
        <f t="shared" si="62"/>
        <v>2.8144184381442519</v>
      </c>
      <c r="O133" s="6">
        <f t="shared" si="62"/>
        <v>3.4146550467292371</v>
      </c>
      <c r="P133" s="6">
        <f t="shared" si="62"/>
        <v>2.8495825202413516</v>
      </c>
      <c r="Q133" s="6">
        <f t="shared" si="62"/>
        <v>1.6305482052216671</v>
      </c>
      <c r="R133" s="6">
        <f t="shared" si="39"/>
        <v>0.49969406122447574</v>
      </c>
      <c r="S133" s="6">
        <f t="shared" si="40"/>
        <v>4.5258663603816404E-2</v>
      </c>
      <c r="T133" s="11">
        <f t="shared" si="41"/>
        <v>3.34058690776073E-2</v>
      </c>
      <c r="U133" s="11">
        <f t="shared" si="42"/>
        <v>1.8024375377014186E-2</v>
      </c>
      <c r="V133" s="11">
        <f t="shared" si="43"/>
        <v>1.6425776348823924E-2</v>
      </c>
      <c r="W133" s="11">
        <f t="shared" si="44"/>
        <v>1.5535853932159532E-2</v>
      </c>
      <c r="X133" s="11">
        <f t="shared" si="45"/>
        <v>5.0675609978638458E-2</v>
      </c>
      <c r="Y133" s="11">
        <f t="shared" si="46"/>
        <v>1.3637259162871644E-2</v>
      </c>
      <c r="Z133" s="11">
        <f t="shared" si="47"/>
        <v>0.1865096822436825</v>
      </c>
      <c r="AA133" s="11">
        <f t="shared" si="49"/>
        <v>6.778520524902275E-4</v>
      </c>
      <c r="AB133" s="11">
        <f t="shared" si="53"/>
        <v>1.2414831001099073E-2</v>
      </c>
      <c r="AC133" s="11">
        <f t="shared" si="54"/>
        <v>1.0269437641113294E-2</v>
      </c>
      <c r="AD133" s="11">
        <f t="shared" si="55"/>
        <v>9.0554010957641217E-3</v>
      </c>
      <c r="AE133" s="11">
        <f t="shared" si="56"/>
        <v>1.1918132551208827E-2</v>
      </c>
      <c r="AF133" s="11">
        <f t="shared" si="57"/>
        <v>0.14366401567552617</v>
      </c>
      <c r="AG133" s="11">
        <f t="shared" si="58"/>
        <v>1.6870450377807499E-2</v>
      </c>
      <c r="AH133" s="11">
        <f t="shared" si="59"/>
        <v>7.6403788606873206E-3</v>
      </c>
      <c r="AI133" s="11">
        <f t="shared" si="60"/>
        <v>1.4243988493056968E-2</v>
      </c>
      <c r="AJ133" s="11">
        <f t="shared" si="61"/>
        <v>0</v>
      </c>
      <c r="AK133" s="14">
        <f t="shared" si="63"/>
        <v>0</v>
      </c>
      <c r="AM133" s="160" t="s">
        <v>339</v>
      </c>
      <c r="AN133" s="204">
        <f t="shared" si="64"/>
        <v>0</v>
      </c>
      <c r="AO133" s="204">
        <f t="shared" si="64"/>
        <v>0</v>
      </c>
      <c r="AP133" s="217">
        <f t="shared" si="64"/>
        <v>0</v>
      </c>
      <c r="AQ133" s="217">
        <f t="shared" si="64"/>
        <v>0</v>
      </c>
      <c r="AR133" s="217">
        <f t="shared" si="64"/>
        <v>0</v>
      </c>
      <c r="AS133" s="217">
        <f t="shared" si="64"/>
        <v>0</v>
      </c>
      <c r="AT133" s="217">
        <f t="shared" si="64"/>
        <v>0</v>
      </c>
      <c r="AU133" s="217">
        <f t="shared" si="64"/>
        <v>0</v>
      </c>
      <c r="AV133" s="217">
        <f t="shared" si="64"/>
        <v>0</v>
      </c>
      <c r="AW133" s="204">
        <f t="shared" si="64"/>
        <v>0</v>
      </c>
      <c r="AX133" s="204">
        <f t="shared" si="65"/>
        <v>0</v>
      </c>
      <c r="AY133" s="204">
        <f t="shared" si="65"/>
        <v>0</v>
      </c>
      <c r="AZ133" s="204">
        <f t="shared" si="65"/>
        <v>0</v>
      </c>
      <c r="BA133" s="204">
        <f t="shared" si="65"/>
        <v>0</v>
      </c>
      <c r="BB133" s="204">
        <f t="shared" si="65"/>
        <v>0</v>
      </c>
      <c r="BC133" s="204">
        <f t="shared" si="65"/>
        <v>0</v>
      </c>
      <c r="BD133" s="204">
        <f t="shared" si="65"/>
        <v>0</v>
      </c>
      <c r="BE133" s="204">
        <f t="shared" si="65"/>
        <v>0</v>
      </c>
      <c r="BF133" s="204">
        <f t="shared" si="65"/>
        <v>0</v>
      </c>
      <c r="BG133" s="204">
        <f t="shared" si="65"/>
        <v>0</v>
      </c>
      <c r="BH133" s="204">
        <f t="shared" si="66"/>
        <v>0</v>
      </c>
      <c r="BI133" s="204">
        <f t="shared" si="66"/>
        <v>0</v>
      </c>
      <c r="BJ133" s="204">
        <f t="shared" si="66"/>
        <v>0</v>
      </c>
      <c r="BK133" s="204">
        <f t="shared" si="66"/>
        <v>0</v>
      </c>
      <c r="BL133" s="204">
        <f t="shared" si="66"/>
        <v>0</v>
      </c>
      <c r="BM133" s="204" t="str">
        <f t="shared" si="66"/>
        <v>N/A</v>
      </c>
      <c r="BN133" s="223" t="str">
        <f t="shared" si="66"/>
        <v>N/A</v>
      </c>
    </row>
    <row r="134" spans="1:66" ht="15.75" x14ac:dyDescent="0.3">
      <c r="A134" s="150">
        <v>129</v>
      </c>
      <c r="B134" s="10" t="s">
        <v>105</v>
      </c>
      <c r="C134" s="236">
        <v>188884023.98703399</v>
      </c>
      <c r="D134" s="233"/>
      <c r="E134" s="232">
        <f t="shared" si="30"/>
        <v>0</v>
      </c>
      <c r="G134" s="10" t="s">
        <v>1055</v>
      </c>
      <c r="H134" s="151">
        <f>IF(ISNUMBER(X53),X53/SUM($K$43:$AK$71),0)</f>
        <v>1.395066582724552E-4</v>
      </c>
      <c r="J134" s="161" t="s">
        <v>340</v>
      </c>
      <c r="K134" s="47">
        <f t="shared" si="62"/>
        <v>4.905348880371075E-3</v>
      </c>
      <c r="L134" s="47">
        <f t="shared" si="62"/>
        <v>0.12736709476656458</v>
      </c>
      <c r="M134" s="47">
        <f t="shared" si="62"/>
        <v>0.76787599302913945</v>
      </c>
      <c r="N134" s="47">
        <f t="shared" si="62"/>
        <v>1.5319534363525951</v>
      </c>
      <c r="O134" s="47">
        <f t="shared" si="62"/>
        <v>2.0141413749695869</v>
      </c>
      <c r="P134" s="47">
        <f t="shared" si="62"/>
        <v>1.7718911422638377</v>
      </c>
      <c r="Q134" s="47">
        <f t="shared" si="62"/>
        <v>0.98894326796427368</v>
      </c>
      <c r="R134" s="47">
        <f t="shared" si="39"/>
        <v>0.25123184125827441</v>
      </c>
      <c r="S134" s="47">
        <f t="shared" si="40"/>
        <v>3.2401927621383948E-2</v>
      </c>
      <c r="T134" s="47">
        <f t="shared" si="41"/>
        <v>9.020367004058321E-3</v>
      </c>
      <c r="U134" s="47">
        <f t="shared" si="42"/>
        <v>2.4640354890503226E-2</v>
      </c>
      <c r="V134" s="47">
        <f t="shared" si="43"/>
        <v>2.3494166586058091E-2</v>
      </c>
      <c r="W134" s="47">
        <f t="shared" si="44"/>
        <v>3.0322430282699753E-2</v>
      </c>
      <c r="X134" s="47">
        <f t="shared" si="45"/>
        <v>2.7754873526428584E-2</v>
      </c>
      <c r="Y134" s="47">
        <f t="shared" si="46"/>
        <v>2.0432691691404447E-2</v>
      </c>
      <c r="Z134" s="47">
        <f t="shared" si="47"/>
        <v>2.0601790690612551E-3</v>
      </c>
      <c r="AA134" s="47">
        <f t="shared" si="49"/>
        <v>7.0481442390059931E-3</v>
      </c>
      <c r="AB134" s="47">
        <f t="shared" si="53"/>
        <v>1.4787426651458725E-2</v>
      </c>
      <c r="AC134" s="47">
        <f t="shared" si="54"/>
        <v>9.7514015923461442E-3</v>
      </c>
      <c r="AD134" s="47">
        <f t="shared" si="55"/>
        <v>1.8506039586059519E-2</v>
      </c>
      <c r="AE134" s="47">
        <f t="shared" si="56"/>
        <v>3.6038600763267252E-2</v>
      </c>
      <c r="AF134" s="47">
        <f t="shared" si="57"/>
        <v>1.282815151904265E-2</v>
      </c>
      <c r="AG134" s="47">
        <f t="shared" si="58"/>
        <v>4.3448372127745771E-2</v>
      </c>
      <c r="AH134" s="47">
        <f t="shared" si="59"/>
        <v>2.1588114623168616E-2</v>
      </c>
      <c r="AI134" s="47">
        <f t="shared" si="60"/>
        <v>0</v>
      </c>
      <c r="AJ134" s="47">
        <f t="shared" si="61"/>
        <v>0</v>
      </c>
      <c r="AK134" s="46">
        <f t="shared" si="63"/>
        <v>0</v>
      </c>
      <c r="AM134" s="161" t="s">
        <v>340</v>
      </c>
      <c r="AN134" s="224">
        <f t="shared" si="64"/>
        <v>0</v>
      </c>
      <c r="AO134" s="224">
        <f t="shared" si="64"/>
        <v>0</v>
      </c>
      <c r="AP134" s="224">
        <f t="shared" si="64"/>
        <v>0</v>
      </c>
      <c r="AQ134" s="224">
        <f t="shared" si="64"/>
        <v>0</v>
      </c>
      <c r="AR134" s="224">
        <f t="shared" si="64"/>
        <v>0</v>
      </c>
      <c r="AS134" s="224">
        <f t="shared" si="64"/>
        <v>0</v>
      </c>
      <c r="AT134" s="224">
        <f t="shared" si="64"/>
        <v>0</v>
      </c>
      <c r="AU134" s="224">
        <f t="shared" si="64"/>
        <v>0</v>
      </c>
      <c r="AV134" s="224">
        <f t="shared" si="64"/>
        <v>0</v>
      </c>
      <c r="AW134" s="224">
        <f t="shared" si="64"/>
        <v>0</v>
      </c>
      <c r="AX134" s="224">
        <f t="shared" si="65"/>
        <v>0</v>
      </c>
      <c r="AY134" s="224">
        <f t="shared" si="65"/>
        <v>0</v>
      </c>
      <c r="AZ134" s="224">
        <f t="shared" si="65"/>
        <v>0</v>
      </c>
      <c r="BA134" s="224">
        <f t="shared" si="65"/>
        <v>0</v>
      </c>
      <c r="BB134" s="224">
        <f t="shared" si="65"/>
        <v>0</v>
      </c>
      <c r="BC134" s="224">
        <f t="shared" si="65"/>
        <v>0</v>
      </c>
      <c r="BD134" s="224">
        <f t="shared" si="65"/>
        <v>0</v>
      </c>
      <c r="BE134" s="224">
        <f t="shared" si="65"/>
        <v>0</v>
      </c>
      <c r="BF134" s="224">
        <f t="shared" si="65"/>
        <v>0</v>
      </c>
      <c r="BG134" s="224">
        <f t="shared" si="65"/>
        <v>0</v>
      </c>
      <c r="BH134" s="224">
        <f t="shared" si="66"/>
        <v>0</v>
      </c>
      <c r="BI134" s="224">
        <f t="shared" si="66"/>
        <v>0</v>
      </c>
      <c r="BJ134" s="224">
        <f t="shared" si="66"/>
        <v>0</v>
      </c>
      <c r="BK134" s="224">
        <f t="shared" si="66"/>
        <v>0</v>
      </c>
      <c r="BL134" s="224" t="str">
        <f t="shared" si="66"/>
        <v>N/A</v>
      </c>
      <c r="BM134" s="224" t="str">
        <f t="shared" si="66"/>
        <v>N/A</v>
      </c>
      <c r="BN134" s="205" t="str">
        <f t="shared" si="66"/>
        <v>N/A</v>
      </c>
    </row>
    <row r="135" spans="1:66" x14ac:dyDescent="0.25">
      <c r="A135" s="150">
        <v>130</v>
      </c>
      <c r="B135" s="10" t="s">
        <v>106</v>
      </c>
      <c r="C135" s="236">
        <v>174491722.09074226</v>
      </c>
      <c r="D135" s="233"/>
      <c r="E135" s="232">
        <f t="shared" ref="E135:E198" si="67">D135/C135</f>
        <v>0</v>
      </c>
      <c r="G135" s="10" t="s">
        <v>1056</v>
      </c>
      <c r="H135" s="151">
        <f>IF(ISNUMBER(Y53),Y53/SUM($K$43:$AK$71),0)</f>
        <v>1.0078399865929311E-5</v>
      </c>
    </row>
    <row r="136" spans="1:66" x14ac:dyDescent="0.25">
      <c r="A136" s="150">
        <v>131</v>
      </c>
      <c r="B136" s="10" t="s">
        <v>107</v>
      </c>
      <c r="C136" s="236">
        <v>483858365.05389023</v>
      </c>
      <c r="D136" s="233"/>
      <c r="E136" s="232">
        <f t="shared" si="67"/>
        <v>0</v>
      </c>
      <c r="G136" s="10" t="s">
        <v>1578</v>
      </c>
      <c r="H136" s="151">
        <f>IF(ISNUMBER(Z53),Z53/SUM($K$43:$AK$71),0)</f>
        <v>0</v>
      </c>
      <c r="J136" s="244" t="s">
        <v>1087</v>
      </c>
    </row>
    <row r="137" spans="1:66" ht="15.75" x14ac:dyDescent="0.3">
      <c r="A137" s="150">
        <v>132</v>
      </c>
      <c r="B137" s="10" t="s">
        <v>108</v>
      </c>
      <c r="C137" s="236">
        <v>410645761.58219522</v>
      </c>
      <c r="D137" s="233"/>
      <c r="E137" s="232">
        <f t="shared" si="67"/>
        <v>0</v>
      </c>
      <c r="G137" s="10" t="s">
        <v>1579</v>
      </c>
      <c r="H137" s="151">
        <f>IF(ISNUMBER(AA53),AA53/SUM($K$43:$AK$71),0)</f>
        <v>0</v>
      </c>
      <c r="J137" s="245"/>
      <c r="K137" s="154" t="s">
        <v>1012</v>
      </c>
      <c r="L137" s="155" t="s">
        <v>322</v>
      </c>
      <c r="M137" s="155" t="s">
        <v>323</v>
      </c>
      <c r="N137" s="155" t="s">
        <v>324</v>
      </c>
      <c r="O137" s="155" t="s">
        <v>325</v>
      </c>
      <c r="P137" s="155" t="s">
        <v>326</v>
      </c>
      <c r="Q137" s="155" t="s">
        <v>2</v>
      </c>
      <c r="R137" s="155" t="s">
        <v>3</v>
      </c>
      <c r="S137" s="155" t="s">
        <v>4</v>
      </c>
      <c r="T137" s="155" t="s">
        <v>5</v>
      </c>
      <c r="U137" s="155" t="s">
        <v>6</v>
      </c>
      <c r="V137" s="155" t="s">
        <v>7</v>
      </c>
      <c r="W137" s="155" t="s">
        <v>8</v>
      </c>
      <c r="X137" s="155" t="s">
        <v>1016</v>
      </c>
      <c r="Y137" s="155" t="s">
        <v>1017</v>
      </c>
      <c r="Z137" s="155" t="s">
        <v>1018</v>
      </c>
      <c r="AA137" s="155" t="s">
        <v>1074</v>
      </c>
      <c r="AB137" s="155" t="s">
        <v>1075</v>
      </c>
      <c r="AC137" s="155" t="s">
        <v>1076</v>
      </c>
      <c r="AD137" s="155" t="s">
        <v>1077</v>
      </c>
      <c r="AE137" s="155" t="s">
        <v>1078</v>
      </c>
      <c r="AF137" s="155" t="s">
        <v>1079</v>
      </c>
      <c r="AG137" s="155" t="s">
        <v>1080</v>
      </c>
      <c r="AH137" s="155" t="s">
        <v>1081</v>
      </c>
      <c r="AI137" s="155" t="s">
        <v>1082</v>
      </c>
      <c r="AJ137" s="155" t="s">
        <v>1083</v>
      </c>
      <c r="AK137" s="157" t="s">
        <v>1084</v>
      </c>
    </row>
    <row r="138" spans="1:66" ht="15.75" x14ac:dyDescent="0.3">
      <c r="A138" s="150">
        <v>133</v>
      </c>
      <c r="B138" s="10" t="s">
        <v>687</v>
      </c>
      <c r="C138" s="236">
        <v>483169404.88556647</v>
      </c>
      <c r="D138" s="233"/>
      <c r="E138" s="232">
        <f t="shared" si="67"/>
        <v>0</v>
      </c>
      <c r="G138" s="10" t="s">
        <v>519</v>
      </c>
      <c r="H138" s="151">
        <f>IF(ISNUMBER(K54),K54/SUM($K$43:$AK$71),0)</f>
        <v>0</v>
      </c>
      <c r="J138" s="158" t="s">
        <v>1011</v>
      </c>
      <c r="K138" s="11">
        <f t="shared" ref="K138:Q147" si="68">IF(ISNUMBER(VLOOKUP(CONCATENATE($J138,"_",K$137,"_b"),$B$6:$C$1151,2,FALSE)),VLOOKUP(CONCATENATE($J138,"_",K$137,"_b"),$B$6:$C$1151,2,FALSE)/1000000,"N/A")</f>
        <v>0</v>
      </c>
      <c r="L138" s="11">
        <f t="shared" si="68"/>
        <v>4.6209120986741623E-4</v>
      </c>
      <c r="M138" s="6">
        <f t="shared" si="68"/>
        <v>1.0227276105758574E-2</v>
      </c>
      <c r="N138" s="6">
        <f t="shared" si="68"/>
        <v>9.0950131301652994E-3</v>
      </c>
      <c r="O138" s="12">
        <f t="shared" si="68"/>
        <v>6.2198821378403506E-3</v>
      </c>
      <c r="P138" s="6">
        <f t="shared" si="68"/>
        <v>5.0277539969178844E-3</v>
      </c>
      <c r="Q138" s="141">
        <f t="shared" si="68"/>
        <v>5.6615330552904622E-3</v>
      </c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</row>
    <row r="139" spans="1:66" ht="15.75" x14ac:dyDescent="0.3">
      <c r="A139" s="150">
        <v>134</v>
      </c>
      <c r="B139" s="10" t="s">
        <v>688</v>
      </c>
      <c r="C139" s="236">
        <v>423394704.00231522</v>
      </c>
      <c r="D139" s="233"/>
      <c r="E139" s="232">
        <f t="shared" si="67"/>
        <v>0</v>
      </c>
      <c r="G139" s="10" t="s">
        <v>417</v>
      </c>
      <c r="H139" s="151">
        <f>IF(ISNUMBER(L54),L54/SUM($K$43:$AK$71),0)</f>
        <v>7.4511412776731705E-5</v>
      </c>
      <c r="J139" s="159" t="s">
        <v>321</v>
      </c>
      <c r="K139" s="9">
        <f t="shared" si="68"/>
        <v>1.5477554568519536E-2</v>
      </c>
      <c r="L139" s="9">
        <f t="shared" si="68"/>
        <v>1.1846612649536099E-4</v>
      </c>
      <c r="M139" s="9">
        <f t="shared" si="68"/>
        <v>1.1775532203597457E-3</v>
      </c>
      <c r="N139" s="9">
        <f t="shared" si="68"/>
        <v>7.266748111877365E-3</v>
      </c>
      <c r="O139" s="9">
        <f t="shared" si="68"/>
        <v>4.6894675184204246E-2</v>
      </c>
      <c r="P139" s="13">
        <f t="shared" si="68"/>
        <v>4.2945577358821874E-2</v>
      </c>
      <c r="Q139" s="6">
        <f t="shared" si="68"/>
        <v>7.1414139834863263E-3</v>
      </c>
      <c r="R139" s="140">
        <f t="shared" ref="R139:R166" si="69">IF(ISNUMBER(VLOOKUP(CONCATENATE($J139,"_",R$137,"_b"),$B$6:$C$1151,2,FALSE)),VLOOKUP(CONCATENATE($J139,"_",R$137,"_b"),$B$6:$C$1151,2,FALSE)/1000000,"N/A")</f>
        <v>1.0438979327552771E-2</v>
      </c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</row>
    <row r="140" spans="1:66" ht="15.75" x14ac:dyDescent="0.3">
      <c r="A140" s="150">
        <v>135</v>
      </c>
      <c r="B140" s="10" t="s">
        <v>689</v>
      </c>
      <c r="C140" s="236">
        <v>195917165.35785648</v>
      </c>
      <c r="D140" s="233"/>
      <c r="E140" s="232">
        <f t="shared" si="67"/>
        <v>0</v>
      </c>
      <c r="G140" s="10" t="s">
        <v>418</v>
      </c>
      <c r="H140" s="151">
        <f>IF(ISNUMBER(M54),M54/SUM($K$43:$AK$71),0)</f>
        <v>8.4279468746513797E-5</v>
      </c>
      <c r="J140" s="160" t="s">
        <v>10</v>
      </c>
      <c r="K140" s="11">
        <f t="shared" si="68"/>
        <v>5.3735819668392623E-2</v>
      </c>
      <c r="L140" s="11">
        <f t="shared" si="68"/>
        <v>6.2156023271513003</v>
      </c>
      <c r="M140" s="6">
        <f t="shared" si="68"/>
        <v>35.352772694310652</v>
      </c>
      <c r="N140" s="6">
        <f t="shared" si="68"/>
        <v>26.957613032143101</v>
      </c>
      <c r="O140" s="6">
        <f t="shared" si="68"/>
        <v>29.368463284153698</v>
      </c>
      <c r="P140" s="6">
        <f t="shared" si="68"/>
        <v>79.444807592155428</v>
      </c>
      <c r="Q140" s="12">
        <f t="shared" si="68"/>
        <v>79.600284699281673</v>
      </c>
      <c r="R140" s="6">
        <f t="shared" si="69"/>
        <v>24.623228702254774</v>
      </c>
      <c r="S140" s="140">
        <f t="shared" ref="S140:S166" si="70">IF(ISNUMBER(VLOOKUP(CONCATENATE($J140,"_",S$137,"_b"),$B$6:$C$1151,2,FALSE)),VLOOKUP(CONCATENATE($J140,"_",S$137,"_b"),$B$6:$C$1151,2,FALSE)/1000000,"N/A")</f>
        <v>0.96747917971208619</v>
      </c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</row>
    <row r="141" spans="1:66" ht="15.75" x14ac:dyDescent="0.3">
      <c r="A141" s="150">
        <v>136</v>
      </c>
      <c r="B141" s="10" t="s">
        <v>690</v>
      </c>
      <c r="C141" s="236">
        <v>186210056.82496852</v>
      </c>
      <c r="D141" s="233"/>
      <c r="E141" s="232">
        <f t="shared" si="67"/>
        <v>0</v>
      </c>
      <c r="G141" s="10" t="s">
        <v>419</v>
      </c>
      <c r="H141" s="151">
        <f>IF(ISNUMBER(N54),N54/SUM($K$43:$AK$71),0)</f>
        <v>4.9279763984294644E-5</v>
      </c>
      <c r="J141" s="160" t="s">
        <v>11</v>
      </c>
      <c r="K141" s="11">
        <f t="shared" si="68"/>
        <v>5.2633962851409916E-3</v>
      </c>
      <c r="L141" s="11">
        <f t="shared" si="68"/>
        <v>29.826744449892026</v>
      </c>
      <c r="M141" s="6">
        <f t="shared" si="68"/>
        <v>217.35830724334926</v>
      </c>
      <c r="N141" s="6">
        <f t="shared" si="68"/>
        <v>252.77617950404527</v>
      </c>
      <c r="O141" s="6">
        <f t="shared" si="68"/>
        <v>113.9208086093455</v>
      </c>
      <c r="P141" s="6">
        <f t="shared" si="68"/>
        <v>162.472461253029</v>
      </c>
      <c r="Q141" s="6">
        <f t="shared" si="68"/>
        <v>334.57566235928726</v>
      </c>
      <c r="R141" s="12">
        <f t="shared" si="69"/>
        <v>251.10478616114801</v>
      </c>
      <c r="S141" s="6">
        <f t="shared" si="70"/>
        <v>67.388365517092225</v>
      </c>
      <c r="T141" s="140">
        <f t="shared" ref="T141:T166" si="71">IF(ISNUMBER(VLOOKUP(CONCATENATE($J141,"_",T$137,"_b"),$B$6:$C$1151,2,FALSE)),VLOOKUP(CONCATENATE($J141,"_",T$137,"_b"),$B$6:$C$1151,2,FALSE)/1000000,"N/A")</f>
        <v>5.736788526489855</v>
      </c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</row>
    <row r="142" spans="1:66" ht="15.75" x14ac:dyDescent="0.3">
      <c r="A142" s="150">
        <v>137</v>
      </c>
      <c r="B142" s="10" t="s">
        <v>1113</v>
      </c>
      <c r="C142" s="236">
        <v>31445535.595175251</v>
      </c>
      <c r="D142" s="233"/>
      <c r="E142" s="232">
        <f t="shared" si="67"/>
        <v>0</v>
      </c>
      <c r="G142" s="10" t="s">
        <v>420</v>
      </c>
      <c r="H142" s="151">
        <f>IF(ISNUMBER(O54),O54/SUM($K$43:$AK$71),0)</f>
        <v>0</v>
      </c>
      <c r="J142" s="160" t="s">
        <v>12</v>
      </c>
      <c r="K142" s="11">
        <f t="shared" si="68"/>
        <v>6.6214594635886021E-3</v>
      </c>
      <c r="L142" s="11">
        <f t="shared" si="68"/>
        <v>30.737708554976702</v>
      </c>
      <c r="M142" s="6">
        <f t="shared" si="68"/>
        <v>307.98217990266625</v>
      </c>
      <c r="N142" s="6">
        <f t="shared" si="68"/>
        <v>569.62809215496827</v>
      </c>
      <c r="O142" s="6">
        <f t="shared" si="68"/>
        <v>364.39203448392874</v>
      </c>
      <c r="P142" s="6">
        <f t="shared" si="68"/>
        <v>186.74524469412825</v>
      </c>
      <c r="Q142" s="6">
        <f t="shared" si="68"/>
        <v>380.91737136705029</v>
      </c>
      <c r="R142" s="6">
        <f t="shared" si="69"/>
        <v>602.82603291091914</v>
      </c>
      <c r="S142" s="12">
        <f t="shared" si="70"/>
        <v>355.66756574047844</v>
      </c>
      <c r="T142" s="6">
        <f t="shared" si="71"/>
        <v>92.115017433900874</v>
      </c>
      <c r="U142" s="140">
        <f t="shared" ref="U142:U166" si="72">IF(ISNUMBER(VLOOKUP(CONCATENATE($J142,"_",U$137,"_b"),$B$6:$C$1151,2,FALSE)),VLOOKUP(CONCATENATE($J142,"_",U$137,"_b"),$B$6:$C$1151,2,FALSE)/1000000,"N/A")</f>
        <v>8.3359746558285828</v>
      </c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</row>
    <row r="143" spans="1:66" ht="15.75" x14ac:dyDescent="0.3">
      <c r="A143" s="150">
        <v>138</v>
      </c>
      <c r="B143" s="10" t="s">
        <v>1114</v>
      </c>
      <c r="C143" s="236">
        <v>30324493.8138647</v>
      </c>
      <c r="D143" s="233"/>
      <c r="E143" s="232">
        <f t="shared" si="67"/>
        <v>0</v>
      </c>
      <c r="G143" s="10" t="s">
        <v>421</v>
      </c>
      <c r="H143" s="151">
        <f>IF(ISNUMBER(P54),P54/SUM($K$43:$AK$71),0)</f>
        <v>0</v>
      </c>
      <c r="J143" s="159" t="s">
        <v>13</v>
      </c>
      <c r="K143" s="9">
        <f t="shared" si="68"/>
        <v>1.9387389472350475E-3</v>
      </c>
      <c r="L143" s="9">
        <f t="shared" si="68"/>
        <v>3.2127437437880046</v>
      </c>
      <c r="M143" s="9">
        <f t="shared" si="68"/>
        <v>54.75642199975205</v>
      </c>
      <c r="N143" s="9">
        <f t="shared" si="68"/>
        <v>150.10862034176373</v>
      </c>
      <c r="O143" s="9">
        <f t="shared" si="68"/>
        <v>149.28607035482824</v>
      </c>
      <c r="P143" s="9">
        <f t="shared" si="68"/>
        <v>95.235751969915299</v>
      </c>
      <c r="Q143" s="9">
        <f t="shared" si="68"/>
        <v>176.93793138765525</v>
      </c>
      <c r="R143" s="9">
        <f t="shared" si="69"/>
        <v>532.46349918925478</v>
      </c>
      <c r="S143" s="9">
        <f t="shared" si="70"/>
        <v>637.58900929458616</v>
      </c>
      <c r="T143" s="13">
        <f t="shared" si="71"/>
        <v>345.30272493120208</v>
      </c>
      <c r="U143" s="6">
        <f t="shared" si="72"/>
        <v>76.528335453475947</v>
      </c>
      <c r="V143" s="140">
        <f t="shared" ref="V143:V166" si="73">IF(ISNUMBER(VLOOKUP(CONCATENATE($J143,"_",V$137,"_b"),$B$6:$C$1151,2,FALSE)),VLOOKUP(CONCATENATE($J143,"_",V$137,"_b"),$B$6:$C$1151,2,FALSE)/1000000,"N/A")</f>
        <v>4.8482724658718706</v>
      </c>
      <c r="W143" s="6"/>
      <c r="X143" s="11"/>
      <c r="Y143" s="11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</row>
    <row r="144" spans="1:66" ht="15.75" x14ac:dyDescent="0.3">
      <c r="A144" s="150">
        <v>139</v>
      </c>
      <c r="B144" s="10" t="s">
        <v>1115</v>
      </c>
      <c r="C144" s="236">
        <v>1271752.5239999886</v>
      </c>
      <c r="D144" s="233"/>
      <c r="E144" s="232">
        <f t="shared" si="67"/>
        <v>0</v>
      </c>
      <c r="G144" s="10" t="s">
        <v>422</v>
      </c>
      <c r="H144" s="151">
        <f>IF(ISNUMBER(Q54),Q54/SUM($K$43:$AK$71),0)</f>
        <v>0</v>
      </c>
      <c r="J144" s="160" t="s">
        <v>14</v>
      </c>
      <c r="K144" s="11">
        <f t="shared" si="68"/>
        <v>7.9255443625218247E-2</v>
      </c>
      <c r="L144" s="11">
        <f t="shared" si="68"/>
        <v>9.4480243038004659</v>
      </c>
      <c r="M144" s="6">
        <f t="shared" si="68"/>
        <v>9.03441131647884</v>
      </c>
      <c r="N144" s="6">
        <f t="shared" si="68"/>
        <v>14.16747936375485</v>
      </c>
      <c r="O144" s="6">
        <f t="shared" si="68"/>
        <v>20.827557777687325</v>
      </c>
      <c r="P144" s="6">
        <f t="shared" si="68"/>
        <v>20.233168317698251</v>
      </c>
      <c r="Q144" s="6">
        <f t="shared" si="68"/>
        <v>31.974116229561552</v>
      </c>
      <c r="R144" s="6">
        <f t="shared" si="69"/>
        <v>174.49172209074226</v>
      </c>
      <c r="S144" s="6">
        <f t="shared" si="70"/>
        <v>410.64576158219523</v>
      </c>
      <c r="T144" s="6">
        <f t="shared" si="71"/>
        <v>423.39470400231522</v>
      </c>
      <c r="U144" s="12">
        <f t="shared" si="72"/>
        <v>186.21005682496852</v>
      </c>
      <c r="V144" s="6">
        <f t="shared" si="73"/>
        <v>30.324493813864702</v>
      </c>
      <c r="W144" s="140">
        <f t="shared" ref="W144:W166" si="74">IF(ISNUMBER(VLOOKUP(CONCATENATE($J144,"_",W$137,"_b"),$B$6:$C$1151,2,FALSE)),VLOOKUP(CONCATENATE($J144,"_",W$137,"_b"),$B$6:$C$1151,2,FALSE)/1000000,"N/A")</f>
        <v>1.0776316219248019</v>
      </c>
      <c r="X144" s="11"/>
      <c r="Y144" s="11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</row>
    <row r="145" spans="1:37" ht="15.75" x14ac:dyDescent="0.3">
      <c r="A145" s="150">
        <v>140</v>
      </c>
      <c r="B145" s="10" t="s">
        <v>1116</v>
      </c>
      <c r="C145" s="236">
        <v>1077631.621924802</v>
      </c>
      <c r="D145" s="233"/>
      <c r="E145" s="232">
        <f t="shared" si="67"/>
        <v>0</v>
      </c>
      <c r="G145" s="10" t="s">
        <v>423</v>
      </c>
      <c r="H145" s="151">
        <f>IF(ISNUMBER(R54),R54/SUM($K$43:$AK$71),0)</f>
        <v>0</v>
      </c>
      <c r="J145" s="160" t="s">
        <v>15</v>
      </c>
      <c r="K145" s="11">
        <f t="shared" si="68"/>
        <v>4.73733750027866E-3</v>
      </c>
      <c r="L145" s="11">
        <f t="shared" si="68"/>
        <v>0.23638673574771724</v>
      </c>
      <c r="M145" s="6">
        <f t="shared" si="68"/>
        <v>0.11916904586952175</v>
      </c>
      <c r="N145" s="6">
        <f t="shared" si="68"/>
        <v>0.1179195757909325</v>
      </c>
      <c r="O145" s="6">
        <f t="shared" si="68"/>
        <v>0.37970109019491077</v>
      </c>
      <c r="P145" s="6">
        <f t="shared" si="68"/>
        <v>0.64649289000853871</v>
      </c>
      <c r="Q145" s="6">
        <f t="shared" si="68"/>
        <v>0.15867091736611019</v>
      </c>
      <c r="R145" s="6">
        <f t="shared" si="69"/>
        <v>0.48483581561755401</v>
      </c>
      <c r="S145" s="6">
        <f t="shared" si="70"/>
        <v>7.7201896581375031</v>
      </c>
      <c r="T145" s="6">
        <f t="shared" si="71"/>
        <v>16.104132411113625</v>
      </c>
      <c r="U145" s="6">
        <f t="shared" si="72"/>
        <v>13.884260863919518</v>
      </c>
      <c r="V145" s="12">
        <f t="shared" si="73"/>
        <v>4.240789833171605</v>
      </c>
      <c r="W145" s="6">
        <f t="shared" si="74"/>
        <v>0.20150196346594201</v>
      </c>
      <c r="X145" s="140">
        <f t="shared" ref="X145:X166" si="75">IF(ISNUMBER(VLOOKUP(CONCATENATE($J145,"_",X$137,"_b"),$B$6:$C$1151,2,FALSE)),VLOOKUP(CONCATENATE($J145,"_",X$137,"_b"),$B$6:$C$1151,2,FALSE)/1000000,"N/A")</f>
        <v>5.4431858481064431E-2</v>
      </c>
      <c r="Y145" s="11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</row>
    <row r="146" spans="1:37" ht="15.75" x14ac:dyDescent="0.3">
      <c r="A146" s="150">
        <v>141</v>
      </c>
      <c r="B146" s="10" t="s">
        <v>691</v>
      </c>
      <c r="C146" s="236">
        <v>11670.076657552972</v>
      </c>
      <c r="D146" s="233"/>
      <c r="E146" s="232">
        <f t="shared" si="67"/>
        <v>0</v>
      </c>
      <c r="G146" s="10" t="s">
        <v>424</v>
      </c>
      <c r="H146" s="151">
        <f>IF(ISNUMBER(S54),S54/SUM($K$43:$AK$71),0)</f>
        <v>0</v>
      </c>
      <c r="J146" s="160" t="s">
        <v>16</v>
      </c>
      <c r="K146" s="11">
        <f t="shared" si="68"/>
        <v>9.43377897491445E-5</v>
      </c>
      <c r="L146" s="11">
        <f t="shared" si="68"/>
        <v>3.4601028517646923E-3</v>
      </c>
      <c r="M146" s="6">
        <f t="shared" si="68"/>
        <v>8.1055141950835147E-3</v>
      </c>
      <c r="N146" s="6">
        <f t="shared" si="68"/>
        <v>1.8105752273622874E-2</v>
      </c>
      <c r="O146" s="6">
        <f t="shared" si="68"/>
        <v>2.436397516351263E-2</v>
      </c>
      <c r="P146" s="6">
        <f t="shared" si="68"/>
        <v>2.8274102056560599E-2</v>
      </c>
      <c r="Q146" s="6">
        <f t="shared" si="68"/>
        <v>1.036581152602355E-2</v>
      </c>
      <c r="R146" s="6">
        <f t="shared" si="69"/>
        <v>8.1172280274566522E-2</v>
      </c>
      <c r="S146" s="6">
        <f t="shared" si="70"/>
        <v>8.1328435120584519E-3</v>
      </c>
      <c r="T146" s="6">
        <f t="shared" si="71"/>
        <v>7.3928724929809122E-3</v>
      </c>
      <c r="U146" s="6">
        <f t="shared" si="72"/>
        <v>7.0545210017396567E-2</v>
      </c>
      <c r="V146" s="6">
        <f t="shared" si="73"/>
        <v>9.7786626656616249E-2</v>
      </c>
      <c r="W146" s="12">
        <f t="shared" si="74"/>
        <v>1.489827658956906E-2</v>
      </c>
      <c r="X146" s="11">
        <f t="shared" si="75"/>
        <v>0.55529781706835302</v>
      </c>
      <c r="Y146" s="140">
        <f t="shared" ref="Y146:Y166" si="76">IF(ISNUMBER(VLOOKUP(CONCATENATE($J146,"_",Y$137,"_b"),$B$6:$C$1151,2,FALSE)),VLOOKUP(CONCATENATE($J146,"_",Y$137,"_b"),$B$6:$C$1151,2,FALSE)/1000000,"N/A")</f>
        <v>1.9439678869626951E-3</v>
      </c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</row>
    <row r="147" spans="1:37" ht="15.75" x14ac:dyDescent="0.3">
      <c r="A147" s="150">
        <v>142</v>
      </c>
      <c r="B147" s="10" t="s">
        <v>692</v>
      </c>
      <c r="C147" s="236">
        <v>4737.3375002786597</v>
      </c>
      <c r="D147" s="233"/>
      <c r="E147" s="232">
        <f t="shared" si="67"/>
        <v>0</v>
      </c>
      <c r="G147" s="10" t="s">
        <v>425</v>
      </c>
      <c r="H147" s="151">
        <f>IF(ISNUMBER(T54),T54/SUM($K$43:$AK$71),0)</f>
        <v>0</v>
      </c>
      <c r="J147" s="159" t="s">
        <v>17</v>
      </c>
      <c r="K147" s="9">
        <f t="shared" si="68"/>
        <v>3.623117817821445E-3</v>
      </c>
      <c r="L147" s="9">
        <f t="shared" si="68"/>
        <v>1.2695711679077076E-4</v>
      </c>
      <c r="M147" s="9">
        <f t="shared" si="68"/>
        <v>5.2205422505719138E-3</v>
      </c>
      <c r="N147" s="9">
        <f t="shared" si="68"/>
        <v>2.9062922337493467E-3</v>
      </c>
      <c r="O147" s="9">
        <f t="shared" si="68"/>
        <v>9.4144572716522643E-4</v>
      </c>
      <c r="P147" s="9">
        <f t="shared" si="68"/>
        <v>5.6994636306781817E-3</v>
      </c>
      <c r="Q147" s="9">
        <f t="shared" si="68"/>
        <v>4.0530180742797571E-3</v>
      </c>
      <c r="R147" s="9">
        <f t="shared" si="69"/>
        <v>0</v>
      </c>
      <c r="S147" s="9">
        <f t="shared" si="70"/>
        <v>6.8304457057802997E-3</v>
      </c>
      <c r="T147" s="9">
        <f t="shared" si="71"/>
        <v>2.6514621982955572E-4</v>
      </c>
      <c r="U147" s="9">
        <f t="shared" si="72"/>
        <v>4.4007061758421996E-4</v>
      </c>
      <c r="V147" s="9">
        <f t="shared" si="73"/>
        <v>0.1840078139515392</v>
      </c>
      <c r="W147" s="9">
        <f t="shared" si="74"/>
        <v>9.3568733377227247E-3</v>
      </c>
      <c r="X147" s="13">
        <f t="shared" si="75"/>
        <v>2.0102178472900471E-2</v>
      </c>
      <c r="Y147" s="11">
        <f t="shared" si="76"/>
        <v>1.3483782023895302E-2</v>
      </c>
      <c r="Z147" s="140">
        <f t="shared" ref="Z147:Z166" si="77">IF(ISNUMBER(VLOOKUP(CONCATENATE($J147,"_",Z$137,"_b"),$B$6:$C$1151,2,FALSE)),VLOOKUP(CONCATENATE($J147,"_",Z$137,"_b"),$B$6:$C$1151,2,FALSE)/1000000,"N/A")</f>
        <v>1.3731233865601E-2</v>
      </c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</row>
    <row r="148" spans="1:37" ht="15.75" x14ac:dyDescent="0.3">
      <c r="A148" s="150">
        <v>143</v>
      </c>
      <c r="B148" s="10" t="s">
        <v>109</v>
      </c>
      <c r="C148" s="236">
        <v>330668.11439280951</v>
      </c>
      <c r="D148" s="233"/>
      <c r="E148" s="232">
        <f t="shared" si="67"/>
        <v>0</v>
      </c>
      <c r="G148" s="10" t="s">
        <v>426</v>
      </c>
      <c r="H148" s="151">
        <f>IF(ISNUMBER(U54),U54/SUM($K$43:$AK$71),0)</f>
        <v>6.6090093161681629E-5</v>
      </c>
      <c r="J148" s="160" t="s">
        <v>9</v>
      </c>
      <c r="K148" s="11">
        <f t="shared" ref="K148:Q157" si="78">IF(ISNUMBER(VLOOKUP(CONCATENATE($J148,"_",K$137,"_b"),$B$6:$C$1151,2,FALSE)),VLOOKUP(CONCATENATE($J148,"_",K$137,"_b"),$B$6:$C$1151,2,FALSE)/1000000,"N/A")</f>
        <v>0</v>
      </c>
      <c r="L148" s="11">
        <f t="shared" si="78"/>
        <v>1.7093267426147799E-3</v>
      </c>
      <c r="M148" s="6">
        <f t="shared" si="78"/>
        <v>2.9627718146972774E-3</v>
      </c>
      <c r="N148" s="6">
        <f t="shared" si="78"/>
        <v>4.1274430088652911E-3</v>
      </c>
      <c r="O148" s="6">
        <f t="shared" si="78"/>
        <v>0</v>
      </c>
      <c r="P148" s="6">
        <f t="shared" si="78"/>
        <v>7.4136798052976327E-3</v>
      </c>
      <c r="Q148" s="6">
        <f t="shared" si="78"/>
        <v>1.1471882633056676E-3</v>
      </c>
      <c r="R148" s="6">
        <f t="shared" si="69"/>
        <v>0</v>
      </c>
      <c r="S148" s="6">
        <f t="shared" si="70"/>
        <v>0</v>
      </c>
      <c r="T148" s="6">
        <f t="shared" si="71"/>
        <v>1.0490921993392851E-2</v>
      </c>
      <c r="U148" s="6">
        <f t="shared" si="72"/>
        <v>0.58634610237661744</v>
      </c>
      <c r="V148" s="6">
        <f t="shared" si="73"/>
        <v>2.5061378275341974</v>
      </c>
      <c r="W148" s="11">
        <f t="shared" si="74"/>
        <v>2.7766758527644573</v>
      </c>
      <c r="X148" s="6">
        <f t="shared" si="75"/>
        <v>1.2771576127176569</v>
      </c>
      <c r="Y148" s="12">
        <f t="shared" si="76"/>
        <v>8.6702731113387402E-2</v>
      </c>
      <c r="Z148" s="6">
        <f t="shared" si="77"/>
        <v>0</v>
      </c>
      <c r="AA148" s="140">
        <f t="shared" ref="AA148:AA166" si="79">IF(ISNUMBER(VLOOKUP(CONCATENATE($J148,"_",AA$137,"_b"),$B$6:$C$1151,2,FALSE)),VLOOKUP(CONCATENATE($J148,"_",AA$137,"_b"),$B$6:$C$1151,2,FALSE)/1000000,"N/A")</f>
        <v>1.878597674035604E-2</v>
      </c>
      <c r="AB148" s="6"/>
      <c r="AC148" s="6"/>
      <c r="AD148" s="6"/>
      <c r="AE148" s="6"/>
      <c r="AF148" s="6"/>
      <c r="AG148" s="6"/>
      <c r="AH148" s="6"/>
      <c r="AI148" s="6"/>
      <c r="AJ148" s="6"/>
      <c r="AK148" s="6"/>
    </row>
    <row r="149" spans="1:37" ht="15.75" x14ac:dyDescent="0.3">
      <c r="A149" s="150">
        <v>144</v>
      </c>
      <c r="B149" s="10" t="s">
        <v>110</v>
      </c>
      <c r="C149" s="236">
        <v>236386.73574771723</v>
      </c>
      <c r="D149" s="233"/>
      <c r="E149" s="232">
        <f t="shared" si="67"/>
        <v>0</v>
      </c>
      <c r="G149" s="10" t="s">
        <v>520</v>
      </c>
      <c r="H149" s="151">
        <f>IF(ISNUMBER(V54),V54/SUM($K$43:$AK$71),0)</f>
        <v>4.7610681713256589E-4</v>
      </c>
      <c r="J149" s="160" t="s">
        <v>18</v>
      </c>
      <c r="K149" s="11">
        <f t="shared" si="78"/>
        <v>5.0321191362915574E-2</v>
      </c>
      <c r="L149" s="11">
        <f t="shared" si="78"/>
        <v>0.98494918542698751</v>
      </c>
      <c r="M149" s="6">
        <f t="shared" si="78"/>
        <v>1.2854839286475785</v>
      </c>
      <c r="N149" s="6">
        <f t="shared" si="78"/>
        <v>0.6081370701479728</v>
      </c>
      <c r="O149" s="6">
        <f t="shared" si="78"/>
        <v>2.691580133325221E-2</v>
      </c>
      <c r="P149" s="6">
        <f t="shared" si="78"/>
        <v>3.3109111766740098E-3</v>
      </c>
      <c r="Q149" s="6">
        <f t="shared" si="78"/>
        <v>0</v>
      </c>
      <c r="R149" s="6">
        <f t="shared" si="69"/>
        <v>2.0716784203185226E-3</v>
      </c>
      <c r="S149" s="6">
        <f t="shared" si="70"/>
        <v>0</v>
      </c>
      <c r="T149" s="6">
        <f t="shared" si="71"/>
        <v>1.624977994491506E-3</v>
      </c>
      <c r="U149" s="6">
        <f t="shared" si="72"/>
        <v>0.68201338369408249</v>
      </c>
      <c r="V149" s="6">
        <f t="shared" si="73"/>
        <v>5.050280798067865</v>
      </c>
      <c r="W149" s="11">
        <f t="shared" si="74"/>
        <v>10.365102713172082</v>
      </c>
      <c r="X149" s="6">
        <f t="shared" si="75"/>
        <v>10.706037894292333</v>
      </c>
      <c r="Y149" s="6">
        <f t="shared" si="76"/>
        <v>5.7629743553782093</v>
      </c>
      <c r="Z149" s="12">
        <f t="shared" si="77"/>
        <v>0.8347601249275507</v>
      </c>
      <c r="AA149" s="6">
        <f t="shared" si="79"/>
        <v>1.39240457469176E-2</v>
      </c>
      <c r="AB149" s="140">
        <f t="shared" ref="AB149:AB166" si="80">IF(ISNUMBER(VLOOKUP(CONCATENATE($J149,"_",AB$137,"_b"),$B$6:$C$1151,2,FALSE)),VLOOKUP(CONCATENATE($J149,"_",AB$137,"_b"),$B$6:$C$1151,2,FALSE)/1000000,"N/A")</f>
        <v>9.2556928232878054E-3</v>
      </c>
      <c r="AC149" s="6"/>
      <c r="AD149" s="6"/>
      <c r="AE149" s="6"/>
      <c r="AF149" s="6"/>
      <c r="AG149" s="6"/>
      <c r="AH149" s="6"/>
      <c r="AI149" s="6"/>
      <c r="AJ149" s="6"/>
      <c r="AK149" s="6"/>
    </row>
    <row r="150" spans="1:37" ht="15.75" x14ac:dyDescent="0.3">
      <c r="A150" s="150">
        <v>145</v>
      </c>
      <c r="B150" s="10" t="s">
        <v>111</v>
      </c>
      <c r="C150" s="236">
        <v>132306.48247358948</v>
      </c>
      <c r="D150" s="233"/>
      <c r="E150" s="232">
        <f t="shared" si="67"/>
        <v>0</v>
      </c>
      <c r="G150" s="10" t="s">
        <v>521</v>
      </c>
      <c r="H150" s="151">
        <f>IF(ISNUMBER(W54),W54/SUM($K$43:$AK$71),0)</f>
        <v>1.0501900629564657E-3</v>
      </c>
      <c r="J150" s="160" t="s">
        <v>19</v>
      </c>
      <c r="K150" s="11">
        <f t="shared" si="78"/>
        <v>1.3671263452982736</v>
      </c>
      <c r="L150" s="11">
        <f t="shared" si="78"/>
        <v>9.1467791899464199</v>
      </c>
      <c r="M150" s="6">
        <f t="shared" si="78"/>
        <v>15.500978568939328</v>
      </c>
      <c r="N150" s="6">
        <f t="shared" si="78"/>
        <v>13.05150670258856</v>
      </c>
      <c r="O150" s="6">
        <f t="shared" si="78"/>
        <v>4.2666515284779676</v>
      </c>
      <c r="P150" s="6">
        <f t="shared" si="78"/>
        <v>0.42346710371110924</v>
      </c>
      <c r="Q150" s="6">
        <f t="shared" si="78"/>
        <v>3.5870361362152037E-3</v>
      </c>
      <c r="R150" s="6">
        <f t="shared" si="69"/>
        <v>1.3013628076170576E-3</v>
      </c>
      <c r="S150" s="6">
        <f t="shared" si="70"/>
        <v>1.1616786516723801E-3</v>
      </c>
      <c r="T150" s="11">
        <f t="shared" si="71"/>
        <v>0</v>
      </c>
      <c r="U150" s="11">
        <f t="shared" si="72"/>
        <v>2.9447913842795676E-2</v>
      </c>
      <c r="V150" s="11">
        <f t="shared" si="73"/>
        <v>2.4818378421244449</v>
      </c>
      <c r="W150" s="11">
        <f t="shared" si="74"/>
        <v>9.4415424046209484</v>
      </c>
      <c r="X150" s="11">
        <f t="shared" si="75"/>
        <v>17.284855438619971</v>
      </c>
      <c r="Y150" s="11">
        <f t="shared" si="76"/>
        <v>17.146328744185929</v>
      </c>
      <c r="Z150" s="6">
        <f t="shared" si="77"/>
        <v>8.2581400649424825</v>
      </c>
      <c r="AA150" s="12">
        <f t="shared" si="79"/>
        <v>1.3480144114437262</v>
      </c>
      <c r="AB150" s="6">
        <f t="shared" si="80"/>
        <v>3.3215259851135298E-2</v>
      </c>
      <c r="AC150" s="140">
        <f t="shared" ref="AC150:AC166" si="81">IF(ISNUMBER(VLOOKUP(CONCATENATE($J150,"_",AC$137,"_b"),$B$6:$C$1151,2,FALSE)),VLOOKUP(CONCATENATE($J150,"_",AC$137,"_b"),$B$6:$C$1151,2,FALSE)/1000000,"N/A")</f>
        <v>2.5764645148498924E-2</v>
      </c>
      <c r="AD150" s="6"/>
      <c r="AE150" s="6"/>
      <c r="AF150" s="6"/>
      <c r="AG150" s="6"/>
      <c r="AH150" s="6"/>
      <c r="AI150" s="6"/>
      <c r="AJ150" s="6"/>
      <c r="AK150" s="6"/>
    </row>
    <row r="151" spans="1:37" ht="15.75" x14ac:dyDescent="0.3">
      <c r="A151" s="150">
        <v>146</v>
      </c>
      <c r="B151" s="10" t="s">
        <v>112</v>
      </c>
      <c r="C151" s="236">
        <v>119169.04586952175</v>
      </c>
      <c r="D151" s="233"/>
      <c r="E151" s="232">
        <f t="shared" si="67"/>
        <v>0</v>
      </c>
      <c r="G151" s="10" t="s">
        <v>1057</v>
      </c>
      <c r="H151" s="151">
        <f>IF(ISNUMBER(X54),X54/SUM($K$43:$AK$71),0)</f>
        <v>1.098334453041356E-3</v>
      </c>
      <c r="J151" s="160" t="s">
        <v>20</v>
      </c>
      <c r="K151" s="11">
        <f t="shared" si="78"/>
        <v>4.3996288171967697</v>
      </c>
      <c r="L151" s="11">
        <f t="shared" si="78"/>
        <v>25.21477512873879</v>
      </c>
      <c r="M151" s="6">
        <f t="shared" si="78"/>
        <v>52.875029341005323</v>
      </c>
      <c r="N151" s="6">
        <f t="shared" si="78"/>
        <v>52.674162979067802</v>
      </c>
      <c r="O151" s="6">
        <f t="shared" si="78"/>
        <v>22.613083971947649</v>
      </c>
      <c r="P151" s="6">
        <f t="shared" si="78"/>
        <v>5.8391421411143583</v>
      </c>
      <c r="Q151" s="6">
        <f t="shared" si="78"/>
        <v>0.50525157101665075</v>
      </c>
      <c r="R151" s="6">
        <f t="shared" si="69"/>
        <v>7.7194221581274852E-3</v>
      </c>
      <c r="S151" s="6">
        <f t="shared" si="70"/>
        <v>1.0199300910643809E-3</v>
      </c>
      <c r="T151" s="11">
        <f t="shared" si="71"/>
        <v>5.6988935947262249E-3</v>
      </c>
      <c r="U151" s="11">
        <f t="shared" si="72"/>
        <v>4.0821804743653598E-3</v>
      </c>
      <c r="V151" s="11">
        <f t="shared" si="73"/>
        <v>0.23435394296568249</v>
      </c>
      <c r="W151" s="11">
        <f t="shared" si="74"/>
        <v>4.160116813622178</v>
      </c>
      <c r="X151" s="11">
        <f t="shared" si="75"/>
        <v>13.114746480963809</v>
      </c>
      <c r="Y151" s="11">
        <f t="shared" si="76"/>
        <v>21.3728489496722</v>
      </c>
      <c r="Z151" s="6">
        <f t="shared" si="77"/>
        <v>17.688787796576165</v>
      </c>
      <c r="AA151" s="6">
        <f t="shared" si="79"/>
        <v>7.7973802442009408</v>
      </c>
      <c r="AB151" s="12">
        <f t="shared" si="80"/>
        <v>1.3960203189353801</v>
      </c>
      <c r="AC151" s="6">
        <f t="shared" si="81"/>
        <v>2.8425539671554222E-2</v>
      </c>
      <c r="AD151" s="140">
        <f t="shared" ref="AD151:AD166" si="82">IF(ISNUMBER(VLOOKUP(CONCATENATE($J151,"_",AD$137,"_b"),$B$6:$C$1151,2,FALSE)),VLOOKUP(CONCATENATE($J151,"_",AD$137,"_b"),$B$6:$C$1151,2,FALSE)/1000000,"N/A")</f>
        <v>2.1334862873290901E-2</v>
      </c>
      <c r="AE151" s="6"/>
      <c r="AF151" s="6"/>
      <c r="AG151" s="6"/>
      <c r="AH151" s="6"/>
      <c r="AI151" s="6"/>
      <c r="AJ151" s="6"/>
      <c r="AK151" s="6"/>
    </row>
    <row r="152" spans="1:37" ht="15.75" x14ac:dyDescent="0.3">
      <c r="A152" s="150">
        <v>147</v>
      </c>
      <c r="B152" s="10" t="s">
        <v>113</v>
      </c>
      <c r="C152" s="236">
        <v>122896.8306603497</v>
      </c>
      <c r="D152" s="233"/>
      <c r="E152" s="232">
        <f t="shared" si="67"/>
        <v>0</v>
      </c>
      <c r="G152" s="10" t="s">
        <v>1058</v>
      </c>
      <c r="H152" s="151">
        <f>IF(ISNUMBER(Y54),Y54/SUM($K$43:$AK$71),0)</f>
        <v>5.9028232268830102E-4</v>
      </c>
      <c r="J152" s="160" t="s">
        <v>21</v>
      </c>
      <c r="K152" s="11">
        <f t="shared" si="78"/>
        <v>6.030633298252793</v>
      </c>
      <c r="L152" s="11">
        <f t="shared" si="78"/>
        <v>33.916833073117132</v>
      </c>
      <c r="M152" s="6">
        <f t="shared" si="78"/>
        <v>83.787155253116225</v>
      </c>
      <c r="N152" s="6">
        <f t="shared" si="78"/>
        <v>95.523529645354145</v>
      </c>
      <c r="O152" s="6">
        <f t="shared" si="78"/>
        <v>47.891428808590895</v>
      </c>
      <c r="P152" s="6">
        <f t="shared" si="78"/>
        <v>15.494636769032237</v>
      </c>
      <c r="Q152" s="6">
        <f t="shared" si="78"/>
        <v>2.7969360161541124</v>
      </c>
      <c r="R152" s="6">
        <f t="shared" si="69"/>
        <v>8.0272194444039005E-2</v>
      </c>
      <c r="S152" s="6">
        <f t="shared" si="70"/>
        <v>6.8554049627685002E-3</v>
      </c>
      <c r="T152" s="11">
        <f t="shared" si="71"/>
        <v>4.2144876174315523E-3</v>
      </c>
      <c r="U152" s="11">
        <f t="shared" si="72"/>
        <v>1.0738330870124629E-2</v>
      </c>
      <c r="V152" s="11">
        <f t="shared" si="73"/>
        <v>1.4001693677063351E-2</v>
      </c>
      <c r="W152" s="11">
        <f t="shared" si="74"/>
        <v>1.1328117372868203</v>
      </c>
      <c r="X152" s="11">
        <f t="shared" si="75"/>
        <v>8.8292131511197223</v>
      </c>
      <c r="Y152" s="11">
        <f t="shared" si="76"/>
        <v>25.062513668711397</v>
      </c>
      <c r="Z152" s="6">
        <f t="shared" si="77"/>
        <v>34.274824442642227</v>
      </c>
      <c r="AA152" s="6">
        <f t="shared" si="79"/>
        <v>25.227056993354818</v>
      </c>
      <c r="AB152" s="6">
        <f t="shared" si="80"/>
        <v>11.532142609847304</v>
      </c>
      <c r="AC152" s="12">
        <f t="shared" si="81"/>
        <v>2.5319326301397673</v>
      </c>
      <c r="AD152" s="6">
        <f t="shared" si="82"/>
        <v>4.2124579987304275E-2</v>
      </c>
      <c r="AE152" s="140">
        <f t="shared" ref="AE152:AE166" si="83">IF(ISNUMBER(VLOOKUP(CONCATENATE($J152,"_",AE$137,"_b"),$B$6:$C$1151,2,FALSE)),VLOOKUP(CONCATENATE($J152,"_",AE$137,"_b"),$B$6:$C$1151,2,FALSE)/1000000,"N/A")</f>
        <v>4.0519365819320155E-3</v>
      </c>
      <c r="AF152" s="6"/>
      <c r="AG152" s="6"/>
      <c r="AH152" s="6"/>
      <c r="AI152" s="6"/>
      <c r="AJ152" s="6"/>
      <c r="AK152" s="6"/>
    </row>
    <row r="153" spans="1:37" ht="15.75" x14ac:dyDescent="0.3">
      <c r="A153" s="150">
        <v>148</v>
      </c>
      <c r="B153" s="10" t="s">
        <v>114</v>
      </c>
      <c r="C153" s="236">
        <v>117919.5757909325</v>
      </c>
      <c r="D153" s="233"/>
      <c r="E153" s="232">
        <f t="shared" si="67"/>
        <v>0</v>
      </c>
      <c r="G153" s="10" t="s">
        <v>1059</v>
      </c>
      <c r="H153" s="151">
        <f>IF(ISNUMBER(Z54),Z54/SUM($K$43:$AK$71),0)</f>
        <v>8.567006288414216E-5</v>
      </c>
      <c r="J153" s="160" t="s">
        <v>22</v>
      </c>
      <c r="K153" s="11">
        <f t="shared" si="78"/>
        <v>5.9544340725059079</v>
      </c>
      <c r="L153" s="11">
        <f t="shared" si="78"/>
        <v>32.773676398582957</v>
      </c>
      <c r="M153" s="6">
        <f t="shared" si="78"/>
        <v>90.946033078715033</v>
      </c>
      <c r="N153" s="6">
        <f t="shared" si="78"/>
        <v>113.60826853689362</v>
      </c>
      <c r="O153" s="6">
        <f t="shared" si="78"/>
        <v>65.340624764440548</v>
      </c>
      <c r="P153" s="6">
        <f t="shared" si="78"/>
        <v>25.332945405370925</v>
      </c>
      <c r="Q153" s="6">
        <f t="shared" si="78"/>
        <v>5.9654841998166424</v>
      </c>
      <c r="R153" s="6">
        <f t="shared" si="69"/>
        <v>0.52088176283355836</v>
      </c>
      <c r="S153" s="6">
        <f t="shared" si="70"/>
        <v>1.4383248427551487E-2</v>
      </c>
      <c r="T153" s="11">
        <f t="shared" si="71"/>
        <v>1.3112976033065755E-2</v>
      </c>
      <c r="U153" s="11">
        <f t="shared" si="72"/>
        <v>1.183318454223685E-3</v>
      </c>
      <c r="V153" s="11">
        <f t="shared" si="73"/>
        <v>9.3960802011110243E-4</v>
      </c>
      <c r="W153" s="11">
        <f t="shared" si="74"/>
        <v>9.2410212672382544E-2</v>
      </c>
      <c r="X153" s="11">
        <f t="shared" si="75"/>
        <v>3.4694464874367399</v>
      </c>
      <c r="Y153" s="11">
        <f t="shared" si="76"/>
        <v>16.791187038945054</v>
      </c>
      <c r="Z153" s="6">
        <f t="shared" si="77"/>
        <v>36.774822823757169</v>
      </c>
      <c r="AA153" s="6">
        <f t="shared" si="79"/>
        <v>43.785422364632133</v>
      </c>
      <c r="AB153" s="6">
        <f t="shared" si="80"/>
        <v>32.061673256512179</v>
      </c>
      <c r="AC153" s="6">
        <f t="shared" si="81"/>
        <v>14.219789205549835</v>
      </c>
      <c r="AD153" s="12">
        <f t="shared" si="82"/>
        <v>3.0148102756652251</v>
      </c>
      <c r="AE153" s="6">
        <f t="shared" si="83"/>
        <v>8.9802662906380393E-2</v>
      </c>
      <c r="AF153" s="140">
        <f t="shared" ref="AF153:AF166" si="84">IF(ISNUMBER(VLOOKUP(CONCATENATE($J153,"_",AF$137,"_b"),$B$6:$C$1151,2,FALSE)),VLOOKUP(CONCATENATE($J153,"_",AF$137,"_b"),$B$6:$C$1151,2,FALSE)/1000000,"N/A")</f>
        <v>9.0611970849608127E-3</v>
      </c>
      <c r="AG153" s="6"/>
      <c r="AH153" s="6"/>
      <c r="AI153" s="6"/>
      <c r="AJ153" s="6"/>
      <c r="AK153" s="6"/>
    </row>
    <row r="154" spans="1:37" ht="15.75" x14ac:dyDescent="0.3">
      <c r="A154" s="150">
        <v>149</v>
      </c>
      <c r="B154" s="10" t="s">
        <v>115</v>
      </c>
      <c r="C154" s="236">
        <v>553013.93604620546</v>
      </c>
      <c r="D154" s="233"/>
      <c r="E154" s="232">
        <f t="shared" si="67"/>
        <v>0</v>
      </c>
      <c r="G154" s="10" t="s">
        <v>1580</v>
      </c>
      <c r="H154" s="151">
        <f>IF(ISNUMBER(AA54),AA54/SUM($K$43:$AK$71),0)</f>
        <v>0</v>
      </c>
      <c r="J154" s="160" t="s">
        <v>23</v>
      </c>
      <c r="K154" s="11">
        <f t="shared" si="78"/>
        <v>5.2060636811890602</v>
      </c>
      <c r="L154" s="11">
        <f t="shared" si="78"/>
        <v>27.744868976467028</v>
      </c>
      <c r="M154" s="6">
        <f t="shared" si="78"/>
        <v>81.736269101652624</v>
      </c>
      <c r="N154" s="6">
        <f t="shared" si="78"/>
        <v>109.57315454254874</v>
      </c>
      <c r="O154" s="6">
        <f t="shared" si="78"/>
        <v>70.710308480713948</v>
      </c>
      <c r="P154" s="6">
        <f t="shared" si="78"/>
        <v>32.053005588803742</v>
      </c>
      <c r="Q154" s="6">
        <f t="shared" si="78"/>
        <v>9.1274826982400938</v>
      </c>
      <c r="R154" s="6">
        <f t="shared" si="69"/>
        <v>1.1549713163466142</v>
      </c>
      <c r="S154" s="6">
        <f t="shared" si="70"/>
        <v>2.6631985771682572E-2</v>
      </c>
      <c r="T154" s="11">
        <f t="shared" si="71"/>
        <v>6.8910431387633943E-3</v>
      </c>
      <c r="U154" s="11">
        <f t="shared" si="72"/>
        <v>1.5800832381592041E-3</v>
      </c>
      <c r="V154" s="11">
        <f t="shared" si="73"/>
        <v>1.669648287194803E-2</v>
      </c>
      <c r="W154" s="11">
        <f t="shared" si="74"/>
        <v>4.317914471153407E-3</v>
      </c>
      <c r="X154" s="11">
        <f t="shared" si="75"/>
        <v>0.25178768706643573</v>
      </c>
      <c r="Y154" s="11">
        <f t="shared" si="76"/>
        <v>6.4895552913389798</v>
      </c>
      <c r="Z154" s="6">
        <f t="shared" si="77"/>
        <v>23.072603770037901</v>
      </c>
      <c r="AA154" s="6">
        <f t="shared" si="79"/>
        <v>42.806184405604377</v>
      </c>
      <c r="AB154" s="6">
        <f t="shared" si="80"/>
        <v>49.784386268838894</v>
      </c>
      <c r="AC154" s="6">
        <f t="shared" si="81"/>
        <v>35.413108091674353</v>
      </c>
      <c r="AD154" s="6">
        <f t="shared" si="82"/>
        <v>13.708228699925662</v>
      </c>
      <c r="AE154" s="12">
        <f t="shared" si="83"/>
        <v>2.4713038392674922</v>
      </c>
      <c r="AF154" s="6">
        <f t="shared" si="84"/>
        <v>0.19804410226413624</v>
      </c>
      <c r="AG154" s="140">
        <f t="shared" ref="AG154:AG166" si="85">IF(ISNUMBER(VLOOKUP(CONCATENATE($J154,"_",AG$137,"_b"),$B$6:$C$1151,2,FALSE)),VLOOKUP(CONCATENATE($J154,"_",AG$137,"_b"),$B$6:$C$1151,2,FALSE)/1000000,"N/A")</f>
        <v>8.5133370058658123E-3</v>
      </c>
      <c r="AH154" s="6"/>
      <c r="AI154" s="6"/>
      <c r="AJ154" s="6"/>
      <c r="AK154" s="6"/>
    </row>
    <row r="155" spans="1:37" ht="15.75" x14ac:dyDescent="0.3">
      <c r="A155" s="150">
        <v>150</v>
      </c>
      <c r="B155" s="10" t="s">
        <v>116</v>
      </c>
      <c r="C155" s="236">
        <v>379701.09019491076</v>
      </c>
      <c r="D155" s="233"/>
      <c r="E155" s="232">
        <f t="shared" si="67"/>
        <v>0</v>
      </c>
      <c r="G155" s="10" t="s">
        <v>1581</v>
      </c>
      <c r="H155" s="151">
        <f>IF(ISNUMBER(AB54),AB54/SUM($K$43:$AK$71),0)</f>
        <v>0</v>
      </c>
      <c r="J155" s="160" t="s">
        <v>24</v>
      </c>
      <c r="K155" s="11">
        <f t="shared" si="78"/>
        <v>4.3114864173950425</v>
      </c>
      <c r="L155" s="11">
        <f t="shared" si="78"/>
        <v>22.385024016784161</v>
      </c>
      <c r="M155" s="6">
        <f t="shared" si="78"/>
        <v>67.001282572551219</v>
      </c>
      <c r="N155" s="6">
        <f t="shared" si="78"/>
        <v>92.967533132315168</v>
      </c>
      <c r="O155" s="6">
        <f t="shared" si="78"/>
        <v>71.10538419944767</v>
      </c>
      <c r="P155" s="6">
        <f t="shared" si="78"/>
        <v>34.664499936318876</v>
      </c>
      <c r="Q155" s="6">
        <f t="shared" si="78"/>
        <v>11.451616509623635</v>
      </c>
      <c r="R155" s="6">
        <f t="shared" si="69"/>
        <v>2.0727312156790365</v>
      </c>
      <c r="S155" s="6">
        <f t="shared" si="70"/>
        <v>4.0731249485304571E-2</v>
      </c>
      <c r="T155" s="11">
        <f t="shared" si="71"/>
        <v>8.5158608407590215E-3</v>
      </c>
      <c r="U155" s="11">
        <f t="shared" si="72"/>
        <v>9.7221011283567631E-3</v>
      </c>
      <c r="V155" s="11">
        <f t="shared" si="73"/>
        <v>1.0268115287109735E-2</v>
      </c>
      <c r="W155" s="11">
        <f t="shared" si="74"/>
        <v>0</v>
      </c>
      <c r="X155" s="11">
        <f t="shared" si="75"/>
        <v>5.8212020876041732E-3</v>
      </c>
      <c r="Y155" s="11">
        <f t="shared" si="76"/>
        <v>0.67499234806600195</v>
      </c>
      <c r="Z155" s="6">
        <f t="shared" si="77"/>
        <v>7.9792703621382755</v>
      </c>
      <c r="AA155" s="6">
        <f t="shared" si="79"/>
        <v>23.758273540835628</v>
      </c>
      <c r="AB155" s="6">
        <f t="shared" si="80"/>
        <v>42.200866993365302</v>
      </c>
      <c r="AC155" s="6">
        <f t="shared" si="81"/>
        <v>45.113170432514202</v>
      </c>
      <c r="AD155" s="6">
        <f t="shared" si="82"/>
        <v>27.988956162698976</v>
      </c>
      <c r="AE155" s="6">
        <f t="shared" si="83"/>
        <v>10.027462451345928</v>
      </c>
      <c r="AF155" s="12">
        <f t="shared" si="84"/>
        <v>2.3837448814005571</v>
      </c>
      <c r="AG155" s="6">
        <f t="shared" si="85"/>
        <v>0.17717073872389077</v>
      </c>
      <c r="AH155" s="140">
        <f t="shared" ref="AH155:AH166" si="86">IF(ISNUMBER(VLOOKUP(CONCATENATE($J155,"_",AH$137,"_b"),$B$6:$C$1151,2,FALSE)),VLOOKUP(CONCATENATE($J155,"_",AH$137,"_b"),$B$6:$C$1151,2,FALSE)/1000000,"N/A")</f>
        <v>7.4734408445421174E-2</v>
      </c>
      <c r="AI155" s="6"/>
      <c r="AJ155" s="6"/>
      <c r="AK155" s="6"/>
    </row>
    <row r="156" spans="1:37" ht="15.75" x14ac:dyDescent="0.3">
      <c r="A156" s="150">
        <v>151</v>
      </c>
      <c r="B156" s="10" t="s">
        <v>117</v>
      </c>
      <c r="C156" s="236">
        <v>917223.8906409007</v>
      </c>
      <c r="D156" s="233"/>
      <c r="E156" s="232">
        <f t="shared" si="67"/>
        <v>0</v>
      </c>
      <c r="G156" s="10" t="s">
        <v>522</v>
      </c>
      <c r="H156" s="151">
        <f>IF(ISNUMBER(K55),K55/SUM($K$43:$AK$71),0)</f>
        <v>1.3067383809085888E-4</v>
      </c>
      <c r="J156" s="160" t="s">
        <v>330</v>
      </c>
      <c r="K156" s="11">
        <f t="shared" si="78"/>
        <v>3.759523023485138</v>
      </c>
      <c r="L156" s="11">
        <f t="shared" si="78"/>
        <v>18.622783033526549</v>
      </c>
      <c r="M156" s="6">
        <f t="shared" si="78"/>
        <v>53.003877517284856</v>
      </c>
      <c r="N156" s="6">
        <f t="shared" si="78"/>
        <v>74.670267168935226</v>
      </c>
      <c r="O156" s="6">
        <f t="shared" si="78"/>
        <v>58.34991861806774</v>
      </c>
      <c r="P156" s="6">
        <f t="shared" si="78"/>
        <v>34.201394494842773</v>
      </c>
      <c r="Q156" s="6">
        <f t="shared" si="78"/>
        <v>13.111027506693851</v>
      </c>
      <c r="R156" s="6">
        <f t="shared" si="69"/>
        <v>3.0419634409360903</v>
      </c>
      <c r="S156" s="6">
        <f t="shared" si="70"/>
        <v>0.15392339454578974</v>
      </c>
      <c r="T156" s="11">
        <f t="shared" si="71"/>
        <v>5.1007584142419432E-3</v>
      </c>
      <c r="U156" s="11">
        <f t="shared" si="72"/>
        <v>0</v>
      </c>
      <c r="V156" s="11">
        <f t="shared" si="73"/>
        <v>6.175541027213698E-3</v>
      </c>
      <c r="W156" s="11">
        <f t="shared" si="74"/>
        <v>3.7771899124222452E-3</v>
      </c>
      <c r="X156" s="11">
        <f t="shared" si="75"/>
        <v>9.0298798425288498E-3</v>
      </c>
      <c r="Y156" s="11">
        <f t="shared" si="76"/>
        <v>1.96040504013675E-2</v>
      </c>
      <c r="Z156" s="6">
        <f t="shared" si="77"/>
        <v>1.974235090690345</v>
      </c>
      <c r="AA156" s="6">
        <f t="shared" si="79"/>
        <v>12.05520980037652</v>
      </c>
      <c r="AB156" s="6">
        <f t="shared" si="80"/>
        <v>35.706746678692326</v>
      </c>
      <c r="AC156" s="6">
        <f t="shared" si="81"/>
        <v>60.129688484571929</v>
      </c>
      <c r="AD156" s="6">
        <f t="shared" si="82"/>
        <v>58.265775895522104</v>
      </c>
      <c r="AE156" s="6">
        <f t="shared" si="83"/>
        <v>33.888744655748354</v>
      </c>
      <c r="AF156" s="6">
        <f t="shared" si="84"/>
        <v>14.504743764907825</v>
      </c>
      <c r="AG156" s="12">
        <f t="shared" si="85"/>
        <v>3.1471761623068475</v>
      </c>
      <c r="AH156" s="6">
        <f t="shared" si="86"/>
        <v>0.1877903378763125</v>
      </c>
      <c r="AI156" s="140">
        <f t="shared" ref="AI156:AI166" si="87">IF(ISNUMBER(VLOOKUP(CONCATENATE($J156,"_",AI$137,"_b"),$B$6:$C$1151,2,FALSE)),VLOOKUP(CONCATENATE($J156,"_",AI$137,"_b"),$B$6:$C$1151,2,FALSE)/1000000,"N/A")</f>
        <v>3.1172391142722855E-2</v>
      </c>
      <c r="AJ156" s="6"/>
      <c r="AK156" s="6"/>
    </row>
    <row r="157" spans="1:37" ht="15.75" x14ac:dyDescent="0.3">
      <c r="A157" s="150">
        <v>152</v>
      </c>
      <c r="B157" s="10" t="s">
        <v>118</v>
      </c>
      <c r="C157" s="236">
        <v>646492.89000853873</v>
      </c>
      <c r="D157" s="233"/>
      <c r="E157" s="232">
        <f t="shared" si="67"/>
        <v>0</v>
      </c>
      <c r="G157" s="10" t="s">
        <v>427</v>
      </c>
      <c r="H157" s="151">
        <f>IF(ISNUMBER(L55),L55/SUM($K$43:$AK$71),0)</f>
        <v>6.670898119973236E-4</v>
      </c>
      <c r="J157" s="160" t="s">
        <v>331</v>
      </c>
      <c r="K157" s="11">
        <f t="shared" si="78"/>
        <v>3.0480593704788519</v>
      </c>
      <c r="L157" s="11">
        <f t="shared" si="78"/>
        <v>15.18570719861013</v>
      </c>
      <c r="M157" s="6">
        <f t="shared" si="78"/>
        <v>40.140887403591378</v>
      </c>
      <c r="N157" s="6">
        <f t="shared" si="78"/>
        <v>56.158454405142542</v>
      </c>
      <c r="O157" s="6">
        <f t="shared" si="78"/>
        <v>46.794759558460953</v>
      </c>
      <c r="P157" s="6">
        <f t="shared" si="78"/>
        <v>30.757371226542027</v>
      </c>
      <c r="Q157" s="6">
        <f t="shared" si="78"/>
        <v>13.556037490768091</v>
      </c>
      <c r="R157" s="6">
        <f t="shared" si="69"/>
        <v>3.4813981597189327</v>
      </c>
      <c r="S157" s="6">
        <f t="shared" si="70"/>
        <v>0.33427789340264702</v>
      </c>
      <c r="T157" s="11">
        <f t="shared" si="71"/>
        <v>7.7958679752073712E-2</v>
      </c>
      <c r="U157" s="11">
        <f t="shared" si="72"/>
        <v>1.2319706863611689E-2</v>
      </c>
      <c r="V157" s="11">
        <f t="shared" si="73"/>
        <v>6.3823390655822574E-3</v>
      </c>
      <c r="W157" s="11">
        <f t="shared" si="74"/>
        <v>6.1519024967955213E-3</v>
      </c>
      <c r="X157" s="11">
        <f t="shared" si="75"/>
        <v>7.5344668002775761E-3</v>
      </c>
      <c r="Y157" s="11">
        <f t="shared" si="76"/>
        <v>8.0540037220457779E-3</v>
      </c>
      <c r="Z157" s="6">
        <f t="shared" si="77"/>
        <v>3.5238820710633147E-2</v>
      </c>
      <c r="AA157" s="6">
        <f t="shared" si="79"/>
        <v>1.2396814591104528</v>
      </c>
      <c r="AB157" s="6">
        <f t="shared" si="80"/>
        <v>8.1782402374634753</v>
      </c>
      <c r="AC157" s="6">
        <f t="shared" si="81"/>
        <v>20.4809922408676</v>
      </c>
      <c r="AD157" s="6">
        <f t="shared" si="82"/>
        <v>28.275249658091802</v>
      </c>
      <c r="AE157" s="6">
        <f t="shared" si="83"/>
        <v>23.945696221823699</v>
      </c>
      <c r="AF157" s="6">
        <f t="shared" si="84"/>
        <v>15.256163557308309</v>
      </c>
      <c r="AG157" s="6">
        <f t="shared" si="85"/>
        <v>5.4243651133525947</v>
      </c>
      <c r="AH157" s="12">
        <f t="shared" si="86"/>
        <v>22.342470485133173</v>
      </c>
      <c r="AI157" s="6">
        <f t="shared" si="87"/>
        <v>3.9694626841397025E-2</v>
      </c>
      <c r="AJ157" s="140">
        <f t="shared" ref="AJ157:AJ166" si="88">IF(ISNUMBER(VLOOKUP(CONCATENATE($J157,"_",AJ$137,"_b"),$B$6:$C$1151,2,FALSE)),VLOOKUP(CONCATENATE($J157,"_",AJ$137,"_b"),$B$6:$C$1151,2,FALSE)/1000000,"N/A")</f>
        <v>4.547995668068007E-2</v>
      </c>
      <c r="AK157" s="6"/>
    </row>
    <row r="158" spans="1:37" ht="15.75" x14ac:dyDescent="0.3">
      <c r="A158" s="150">
        <v>153</v>
      </c>
      <c r="B158" s="10" t="s">
        <v>119</v>
      </c>
      <c r="C158" s="236">
        <v>179618.89136132807</v>
      </c>
      <c r="D158" s="233"/>
      <c r="E158" s="232">
        <f t="shared" si="67"/>
        <v>0</v>
      </c>
      <c r="G158" s="10" t="s">
        <v>428</v>
      </c>
      <c r="H158" s="151">
        <f>IF(ISNUMBER(M55),M55/SUM($K$43:$AK$71),0)</f>
        <v>1.057148658705793E-3</v>
      </c>
      <c r="J158" s="160" t="s">
        <v>332</v>
      </c>
      <c r="K158" s="11">
        <f t="shared" ref="K158:Q166" si="89">IF(ISNUMBER(VLOOKUP(CONCATENATE($J158,"_",K$137,"_b"),$B$6:$C$1151,2,FALSE)),VLOOKUP(CONCATENATE($J158,"_",K$137,"_b"),$B$6:$C$1151,2,FALSE)/1000000,"N/A")</f>
        <v>2.2766198823360493</v>
      </c>
      <c r="L158" s="11">
        <f t="shared" si="89"/>
        <v>11.983471318272288</v>
      </c>
      <c r="M158" s="6">
        <f t="shared" si="89"/>
        <v>29.754757065363535</v>
      </c>
      <c r="N158" s="6">
        <f t="shared" si="89"/>
        <v>40.4848535307746</v>
      </c>
      <c r="O158" s="6">
        <f t="shared" si="89"/>
        <v>35.527413745949744</v>
      </c>
      <c r="P158" s="6">
        <f t="shared" si="89"/>
        <v>25.30635208152831</v>
      </c>
      <c r="Q158" s="6">
        <f t="shared" si="89"/>
        <v>12.611469399005651</v>
      </c>
      <c r="R158" s="6">
        <f t="shared" si="69"/>
        <v>3.6103584221667648</v>
      </c>
      <c r="S158" s="6">
        <f t="shared" si="70"/>
        <v>0.25141879434707598</v>
      </c>
      <c r="T158" s="11">
        <f t="shared" si="71"/>
        <v>3.4085323754120149E-2</v>
      </c>
      <c r="U158" s="11">
        <f t="shared" si="72"/>
        <v>1.793393902661173E-2</v>
      </c>
      <c r="V158" s="11">
        <f t="shared" si="73"/>
        <v>1.008750118745433E-2</v>
      </c>
      <c r="W158" s="11">
        <f t="shared" si="74"/>
        <v>1.3546105921234484E-2</v>
      </c>
      <c r="X158" s="11">
        <f t="shared" si="75"/>
        <v>7.9042645070494574E-3</v>
      </c>
      <c r="Y158" s="11">
        <f t="shared" si="76"/>
        <v>7.1956924277342751E-3</v>
      </c>
      <c r="Z158" s="6">
        <f t="shared" si="77"/>
        <v>2.3957565518677119E-2</v>
      </c>
      <c r="AA158" s="6">
        <f t="shared" si="79"/>
        <v>8.1348202393919225E-2</v>
      </c>
      <c r="AB158" s="6">
        <f t="shared" si="80"/>
        <v>2.0452142078817475</v>
      </c>
      <c r="AC158" s="6">
        <f t="shared" si="81"/>
        <v>10.559675110317926</v>
      </c>
      <c r="AD158" s="6">
        <f t="shared" si="82"/>
        <v>22.989413888922225</v>
      </c>
      <c r="AE158" s="6">
        <f t="shared" si="83"/>
        <v>29.874768617948302</v>
      </c>
      <c r="AF158" s="6">
        <f t="shared" si="84"/>
        <v>28.143400482283351</v>
      </c>
      <c r="AG158" s="6">
        <f t="shared" si="85"/>
        <v>16.377975175302744</v>
      </c>
      <c r="AH158" s="6">
        <f t="shared" si="86"/>
        <v>5.1089519441703555</v>
      </c>
      <c r="AI158" s="12">
        <f t="shared" si="87"/>
        <v>2.1253646221936942</v>
      </c>
      <c r="AJ158" s="6">
        <f t="shared" si="88"/>
        <v>1.0969842120362951</v>
      </c>
      <c r="AK158" s="140">
        <f t="shared" ref="AK158:AK166" si="90">IF(ISNUMBER(VLOOKUP(CONCATENATE($J158,"_",AK$137,"_b"),$B$6:$C$1151,2,FALSE)),VLOOKUP(CONCATENATE($J158,"_",AK$137,"_b"),$B$6:$C$1151,2,FALSE)/1000000,"N/A")</f>
        <v>2.1826680673091674E-2</v>
      </c>
    </row>
    <row r="159" spans="1:37" ht="15.75" x14ac:dyDescent="0.3">
      <c r="A159" s="150">
        <v>154</v>
      </c>
      <c r="B159" s="10" t="s">
        <v>120</v>
      </c>
      <c r="C159" s="236">
        <v>158670.9173661102</v>
      </c>
      <c r="D159" s="233"/>
      <c r="E159" s="232">
        <f t="shared" si="67"/>
        <v>0</v>
      </c>
      <c r="G159" s="10" t="s">
        <v>429</v>
      </c>
      <c r="H159" s="151">
        <f>IF(ISNUMBER(N55),N55/SUM($K$43:$AK$71),0)</f>
        <v>9.7560680219343251E-4</v>
      </c>
      <c r="J159" s="160" t="s">
        <v>333</v>
      </c>
      <c r="K159" s="11">
        <f t="shared" si="89"/>
        <v>1.7254409155254824</v>
      </c>
      <c r="L159" s="11">
        <f t="shared" si="89"/>
        <v>9.8256991463963459</v>
      </c>
      <c r="M159" s="6">
        <f t="shared" si="89"/>
        <v>23.383599841761487</v>
      </c>
      <c r="N159" s="6">
        <f t="shared" si="89"/>
        <v>30.950137787813183</v>
      </c>
      <c r="O159" s="6">
        <f t="shared" si="89"/>
        <v>27.532017421126849</v>
      </c>
      <c r="P159" s="6">
        <f t="shared" si="89"/>
        <v>21.086751743673936</v>
      </c>
      <c r="Q159" s="6">
        <f t="shared" si="89"/>
        <v>11.160799117309693</v>
      </c>
      <c r="R159" s="6">
        <f t="shared" si="69"/>
        <v>3.4938255777749427</v>
      </c>
      <c r="S159" s="6">
        <f t="shared" si="70"/>
        <v>0.35860998285424728</v>
      </c>
      <c r="T159" s="11">
        <f t="shared" si="71"/>
        <v>1.4310066639770068E-2</v>
      </c>
      <c r="U159" s="11">
        <f t="shared" si="72"/>
        <v>4.7522062319946701E-3</v>
      </c>
      <c r="V159" s="11">
        <f t="shared" si="73"/>
        <v>1.6489914599144027E-2</v>
      </c>
      <c r="W159" s="11">
        <f t="shared" si="74"/>
        <v>1.0910933914642418E-2</v>
      </c>
      <c r="X159" s="11">
        <f t="shared" si="75"/>
        <v>1.1954865317870633E-2</v>
      </c>
      <c r="Y159" s="11">
        <f t="shared" si="76"/>
        <v>8.1476675015277021E-3</v>
      </c>
      <c r="Z159" s="6">
        <f t="shared" si="77"/>
        <v>4.04442694578538E-3</v>
      </c>
      <c r="AA159" s="6">
        <f t="shared" si="79"/>
        <v>1.209697672894294E-2</v>
      </c>
      <c r="AB159" s="6">
        <f t="shared" si="80"/>
        <v>1.9400106663925099E-2</v>
      </c>
      <c r="AC159" s="6">
        <f t="shared" si="81"/>
        <v>1.3252042810800817</v>
      </c>
      <c r="AD159" s="6">
        <f t="shared" si="82"/>
        <v>5.6483802709968103</v>
      </c>
      <c r="AE159" s="6">
        <f t="shared" si="83"/>
        <v>10.392035082667237</v>
      </c>
      <c r="AF159" s="6">
        <f t="shared" si="84"/>
        <v>13.962202056577809</v>
      </c>
      <c r="AG159" s="6">
        <f t="shared" si="85"/>
        <v>11.795166782188542</v>
      </c>
      <c r="AH159" s="6">
        <f t="shared" si="86"/>
        <v>4.9701534107361995</v>
      </c>
      <c r="AI159" s="6">
        <f t="shared" si="87"/>
        <v>1.2395500716314463</v>
      </c>
      <c r="AJ159" s="12">
        <f t="shared" si="88"/>
        <v>0.24127588808082778</v>
      </c>
      <c r="AK159" s="141">
        <f t="shared" si="90"/>
        <v>7.271196175804023E-3</v>
      </c>
    </row>
    <row r="160" spans="1:37" ht="15.75" x14ac:dyDescent="0.3">
      <c r="A160" s="150">
        <v>155</v>
      </c>
      <c r="B160" s="10" t="s">
        <v>121</v>
      </c>
      <c r="C160" s="236">
        <v>661633.82859338052</v>
      </c>
      <c r="D160" s="233"/>
      <c r="E160" s="232">
        <f t="shared" si="67"/>
        <v>0</v>
      </c>
      <c r="G160" s="10" t="s">
        <v>430</v>
      </c>
      <c r="H160" s="151">
        <f>IF(ISNUMBER(O55),O55/SUM($K$43:$AK$71),0)</f>
        <v>3.9802398690551771E-4</v>
      </c>
      <c r="J160" s="160" t="s">
        <v>334</v>
      </c>
      <c r="K160" s="11">
        <f t="shared" si="89"/>
        <v>1.1300014360719697</v>
      </c>
      <c r="L160" s="11">
        <f t="shared" si="89"/>
        <v>6.9898099450591706</v>
      </c>
      <c r="M160" s="6">
        <f t="shared" si="89"/>
        <v>16.746322876604445</v>
      </c>
      <c r="N160" s="6">
        <f t="shared" si="89"/>
        <v>21.492533969542276</v>
      </c>
      <c r="O160" s="6">
        <f t="shared" si="89"/>
        <v>19.154233420037869</v>
      </c>
      <c r="P160" s="6">
        <f t="shared" si="89"/>
        <v>15.502912116861834</v>
      </c>
      <c r="Q160" s="6">
        <f t="shared" si="89"/>
        <v>8.9703533995376716</v>
      </c>
      <c r="R160" s="6">
        <f t="shared" si="69"/>
        <v>3.0429199225675903</v>
      </c>
      <c r="S160" s="6">
        <f t="shared" si="70"/>
        <v>0.42499271447051701</v>
      </c>
      <c r="T160" s="11">
        <f t="shared" si="71"/>
        <v>2.9977517671305087E-2</v>
      </c>
      <c r="U160" s="11">
        <f t="shared" si="72"/>
        <v>3.9558038844604579E-3</v>
      </c>
      <c r="V160" s="11">
        <f t="shared" si="73"/>
        <v>1.0646078956604173E-3</v>
      </c>
      <c r="W160" s="11">
        <f t="shared" si="74"/>
        <v>3.9355505798580825E-2</v>
      </c>
      <c r="X160" s="11">
        <f t="shared" si="75"/>
        <v>1.4819229951049898E-2</v>
      </c>
      <c r="Y160" s="11">
        <f t="shared" si="76"/>
        <v>1.7441147898246977E-2</v>
      </c>
      <c r="Z160" s="6">
        <f t="shared" si="77"/>
        <v>1.6689731960266501E-2</v>
      </c>
      <c r="AA160" s="6">
        <f t="shared" si="79"/>
        <v>1.3430204980850674E-3</v>
      </c>
      <c r="AB160" s="6">
        <f t="shared" si="80"/>
        <v>2.2882788890991063E-2</v>
      </c>
      <c r="AC160" s="6">
        <f t="shared" si="81"/>
        <v>4.2223214155310752E-2</v>
      </c>
      <c r="AD160" s="6">
        <f t="shared" si="82"/>
        <v>1.1287581652991605</v>
      </c>
      <c r="AE160" s="6">
        <f t="shared" si="83"/>
        <v>4.3026506700797382</v>
      </c>
      <c r="AF160" s="6">
        <f t="shared" si="84"/>
        <v>8.3436359310516046</v>
      </c>
      <c r="AG160" s="6">
        <f t="shared" si="85"/>
        <v>10.084482128121628</v>
      </c>
      <c r="AH160" s="6">
        <f t="shared" si="86"/>
        <v>6.7207957439356525</v>
      </c>
      <c r="AI160" s="6">
        <f t="shared" si="87"/>
        <v>2.719194024224135</v>
      </c>
      <c r="AJ160" s="6">
        <f t="shared" si="88"/>
        <v>1.2071468360486926</v>
      </c>
      <c r="AK160" s="12">
        <f t="shared" si="90"/>
        <v>0.1248827604796066</v>
      </c>
    </row>
    <row r="161" spans="1:37" ht="15.75" x14ac:dyDescent="0.3">
      <c r="A161" s="150">
        <v>156</v>
      </c>
      <c r="B161" s="10" t="s">
        <v>122</v>
      </c>
      <c r="C161" s="236">
        <v>484835.81561755401</v>
      </c>
      <c r="D161" s="233"/>
      <c r="E161" s="232">
        <f t="shared" si="67"/>
        <v>0</v>
      </c>
      <c r="G161" s="10" t="s">
        <v>431</v>
      </c>
      <c r="H161" s="151">
        <f>IF(ISNUMBER(P55),P55/SUM($K$43:$AK$71),0)</f>
        <v>3.3217345427791735E-5</v>
      </c>
      <c r="J161" s="160" t="s">
        <v>335</v>
      </c>
      <c r="K161" s="11">
        <f t="shared" si="89"/>
        <v>0.7521603338565449</v>
      </c>
      <c r="L161" s="11">
        <f t="shared" si="89"/>
        <v>4.9419840505543027</v>
      </c>
      <c r="M161" s="6">
        <f t="shared" si="89"/>
        <v>12.463910188167914</v>
      </c>
      <c r="N161" s="6">
        <f t="shared" si="89"/>
        <v>16.332979579607731</v>
      </c>
      <c r="O161" s="6">
        <f t="shared" si="89"/>
        <v>14.594615863979396</v>
      </c>
      <c r="P161" s="6">
        <f t="shared" si="89"/>
        <v>12.063050041767221</v>
      </c>
      <c r="Q161" s="6">
        <f t="shared" si="89"/>
        <v>7.4649531688806476</v>
      </c>
      <c r="R161" s="6">
        <f t="shared" si="69"/>
        <v>2.5618300848950901</v>
      </c>
      <c r="S161" s="6">
        <f t="shared" si="70"/>
        <v>0.24320066033179516</v>
      </c>
      <c r="T161" s="11">
        <f t="shared" si="71"/>
        <v>3.1461658033385423E-2</v>
      </c>
      <c r="U161" s="11">
        <f t="shared" si="72"/>
        <v>3.4417635786742916E-2</v>
      </c>
      <c r="V161" s="11">
        <f t="shared" si="73"/>
        <v>5.0723797606200566E-3</v>
      </c>
      <c r="W161" s="11">
        <f t="shared" si="74"/>
        <v>8.125838639129775E-3</v>
      </c>
      <c r="X161" s="11">
        <f t="shared" si="75"/>
        <v>1.1272526843475782E-2</v>
      </c>
      <c r="Y161" s="11">
        <f t="shared" si="76"/>
        <v>6.1237488655240448E-3</v>
      </c>
      <c r="Z161" s="11">
        <f t="shared" si="77"/>
        <v>3.6508308910606899E-2</v>
      </c>
      <c r="AA161" s="11">
        <f t="shared" si="79"/>
        <v>9.6346100667118982E-3</v>
      </c>
      <c r="AB161" s="11">
        <f t="shared" si="80"/>
        <v>1.0710643310035699E-2</v>
      </c>
      <c r="AC161" s="11">
        <f t="shared" si="81"/>
        <v>4.766513766357337E-3</v>
      </c>
      <c r="AD161" s="11">
        <f t="shared" si="82"/>
        <v>3.8481196862640336E-2</v>
      </c>
      <c r="AE161" s="11">
        <f t="shared" si="83"/>
        <v>0.61323920712453128</v>
      </c>
      <c r="AF161" s="11">
        <f t="shared" si="84"/>
        <v>2.7103817056307804</v>
      </c>
      <c r="AG161" s="11">
        <f t="shared" si="85"/>
        <v>5.0141908007037053</v>
      </c>
      <c r="AH161" s="11">
        <f t="shared" si="86"/>
        <v>4.49504204316026</v>
      </c>
      <c r="AI161" s="11">
        <f t="shared" si="87"/>
        <v>2.4834383314467976</v>
      </c>
      <c r="AJ161" s="11">
        <f t="shared" si="88"/>
        <v>1.9848240715934322</v>
      </c>
      <c r="AK161" s="14">
        <f t="shared" si="90"/>
        <v>0</v>
      </c>
    </row>
    <row r="162" spans="1:37" ht="15.75" x14ac:dyDescent="0.3">
      <c r="A162" s="150">
        <v>157</v>
      </c>
      <c r="B162" s="10" t="s">
        <v>123</v>
      </c>
      <c r="C162" s="236">
        <v>9422461.0036730915</v>
      </c>
      <c r="D162" s="233"/>
      <c r="E162" s="232">
        <f t="shared" si="67"/>
        <v>0</v>
      </c>
      <c r="G162" s="10" t="s">
        <v>432</v>
      </c>
      <c r="H162" s="151">
        <f>IF(ISNUMBER(Q55),Q55/SUM($K$43:$AK$71),0)</f>
        <v>0</v>
      </c>
      <c r="J162" s="160" t="s">
        <v>336</v>
      </c>
      <c r="K162" s="11">
        <f t="shared" si="89"/>
        <v>0.41746850865492596</v>
      </c>
      <c r="L162" s="11">
        <f t="shared" si="89"/>
        <v>3.0068588574342447</v>
      </c>
      <c r="M162" s="6">
        <f t="shared" si="89"/>
        <v>8.1513440856002646</v>
      </c>
      <c r="N162" s="6">
        <f t="shared" si="89"/>
        <v>11.058634690254213</v>
      </c>
      <c r="O162" s="6">
        <f t="shared" si="89"/>
        <v>9.842948636399262</v>
      </c>
      <c r="P162" s="6">
        <f t="shared" si="89"/>
        <v>8.5459382719138759</v>
      </c>
      <c r="Q162" s="6">
        <f t="shared" si="89"/>
        <v>5.3391812980329973</v>
      </c>
      <c r="R162" s="6">
        <f t="shared" si="69"/>
        <v>1.8740037930523019</v>
      </c>
      <c r="S162" s="6">
        <f t="shared" si="70"/>
        <v>0.26220383050707352</v>
      </c>
      <c r="T162" s="11">
        <f t="shared" si="71"/>
        <v>1.0170720664520643E-2</v>
      </c>
      <c r="U162" s="11">
        <f t="shared" si="72"/>
        <v>0.13343774679412701</v>
      </c>
      <c r="V162" s="11">
        <f t="shared" si="73"/>
        <v>6.109187317566012E-3</v>
      </c>
      <c r="W162" s="11">
        <f t="shared" si="74"/>
        <v>9.9993229321287749E-3</v>
      </c>
      <c r="X162" s="11">
        <f t="shared" si="75"/>
        <v>2.0318099879459251E-2</v>
      </c>
      <c r="Y162" s="11">
        <f t="shared" si="76"/>
        <v>2.2877334393494521E-2</v>
      </c>
      <c r="Z162" s="11">
        <f t="shared" si="77"/>
        <v>0.1656817907802127</v>
      </c>
      <c r="AA162" s="11">
        <f t="shared" si="79"/>
        <v>1.9608846474975825E-2</v>
      </c>
      <c r="AB162" s="11">
        <f t="shared" si="80"/>
        <v>2.6074824666743868E-2</v>
      </c>
      <c r="AC162" s="11">
        <f t="shared" si="81"/>
        <v>8.6890634713131104E-3</v>
      </c>
      <c r="AD162" s="11">
        <f t="shared" si="82"/>
        <v>1.7873520433227749E-2</v>
      </c>
      <c r="AE162" s="11">
        <f t="shared" si="83"/>
        <v>2.9410916064941683E-2</v>
      </c>
      <c r="AF162" s="11">
        <f t="shared" si="84"/>
        <v>2.1215526042836124</v>
      </c>
      <c r="AG162" s="11">
        <f t="shared" si="85"/>
        <v>1.6130370431677845</v>
      </c>
      <c r="AH162" s="11">
        <f t="shared" si="86"/>
        <v>2.0462068098242132</v>
      </c>
      <c r="AI162" s="11">
        <f t="shared" si="87"/>
        <v>1.8186651383879626</v>
      </c>
      <c r="AJ162" s="11">
        <f t="shared" si="88"/>
        <v>1.9745491715695276</v>
      </c>
      <c r="AK162" s="14">
        <f t="shared" si="90"/>
        <v>0</v>
      </c>
    </row>
    <row r="163" spans="1:37" ht="15.75" x14ac:dyDescent="0.3">
      <c r="A163" s="150">
        <v>158</v>
      </c>
      <c r="B163" s="10" t="s">
        <v>124</v>
      </c>
      <c r="C163" s="236">
        <v>7720189.6581375031</v>
      </c>
      <c r="D163" s="233"/>
      <c r="E163" s="232">
        <f t="shared" si="67"/>
        <v>0</v>
      </c>
      <c r="G163" s="10" t="s">
        <v>433</v>
      </c>
      <c r="H163" s="151">
        <f>IF(ISNUMBER(R55),R55/SUM($K$43:$AK$71),0)</f>
        <v>0</v>
      </c>
      <c r="J163" s="160" t="s">
        <v>337</v>
      </c>
      <c r="K163" s="11">
        <f t="shared" si="89"/>
        <v>0.17091525323588588</v>
      </c>
      <c r="L163" s="11">
        <f t="shared" si="89"/>
        <v>1.774809153799102</v>
      </c>
      <c r="M163" s="6">
        <f t="shared" si="89"/>
        <v>5.1362498901870879</v>
      </c>
      <c r="N163" s="6">
        <f t="shared" si="89"/>
        <v>7.3045333619231467</v>
      </c>
      <c r="O163" s="6">
        <f t="shared" si="89"/>
        <v>6.6519703629775595</v>
      </c>
      <c r="P163" s="6">
        <f t="shared" si="89"/>
        <v>5.8499884541508251</v>
      </c>
      <c r="Q163" s="6">
        <f t="shared" si="89"/>
        <v>3.8345243091259271</v>
      </c>
      <c r="R163" s="6">
        <f t="shared" si="69"/>
        <v>1.3387232920217369</v>
      </c>
      <c r="S163" s="6">
        <f t="shared" si="70"/>
        <v>0.12634579111138819</v>
      </c>
      <c r="T163" s="11">
        <f t="shared" si="71"/>
        <v>1.5618582917968277E-2</v>
      </c>
      <c r="U163" s="11">
        <f t="shared" si="72"/>
        <v>8.7453145154480369E-2</v>
      </c>
      <c r="V163" s="11">
        <f t="shared" si="73"/>
        <v>1.053527361868275E-2</v>
      </c>
      <c r="W163" s="11">
        <f t="shared" si="74"/>
        <v>1.4699461031921445E-2</v>
      </c>
      <c r="X163" s="11">
        <f t="shared" si="75"/>
        <v>1.407571828591888E-2</v>
      </c>
      <c r="Y163" s="11">
        <f t="shared" si="76"/>
        <v>2.0291518855362661E-2</v>
      </c>
      <c r="Z163" s="11">
        <f t="shared" si="77"/>
        <v>0.15461588366226126</v>
      </c>
      <c r="AA163" s="11">
        <f t="shared" si="79"/>
        <v>1.1962676525512484E-2</v>
      </c>
      <c r="AB163" s="11">
        <f t="shared" si="80"/>
        <v>1.1133548998809899E-2</v>
      </c>
      <c r="AC163" s="11">
        <f t="shared" si="81"/>
        <v>2.6336882314009821E-2</v>
      </c>
      <c r="AD163" s="11">
        <f t="shared" si="82"/>
        <v>1.6822759935639021E-2</v>
      </c>
      <c r="AE163" s="11">
        <f t="shared" si="83"/>
        <v>1.2116073544191201E-2</v>
      </c>
      <c r="AF163" s="11">
        <f t="shared" si="84"/>
        <v>2.1188504010566659E-2</v>
      </c>
      <c r="AG163" s="11">
        <f t="shared" si="85"/>
        <v>0.1539499473428298</v>
      </c>
      <c r="AH163" s="11">
        <f t="shared" si="86"/>
        <v>0.66035637415806203</v>
      </c>
      <c r="AI163" s="11">
        <f t="shared" si="87"/>
        <v>0.83399892257087582</v>
      </c>
      <c r="AJ163" s="11">
        <f t="shared" si="88"/>
        <v>0</v>
      </c>
      <c r="AK163" s="14">
        <f t="shared" si="90"/>
        <v>0</v>
      </c>
    </row>
    <row r="164" spans="1:37" ht="15.75" x14ac:dyDescent="0.3">
      <c r="A164" s="150">
        <v>159</v>
      </c>
      <c r="B164" s="10" t="s">
        <v>693</v>
      </c>
      <c r="C164" s="236">
        <v>18540877.809231523</v>
      </c>
      <c r="D164" s="233"/>
      <c r="E164" s="232">
        <f t="shared" si="67"/>
        <v>0</v>
      </c>
      <c r="G164" s="10" t="s">
        <v>434</v>
      </c>
      <c r="H164" s="151">
        <f>IF(ISNUMBER(S55),S55/SUM($K$43:$AK$71),0)</f>
        <v>0</v>
      </c>
      <c r="J164" s="160" t="s">
        <v>338</v>
      </c>
      <c r="K164" s="11">
        <f t="shared" si="89"/>
        <v>1.6764264588746008E-2</v>
      </c>
      <c r="L164" s="11">
        <f t="shared" si="89"/>
        <v>0.90581234249915932</v>
      </c>
      <c r="M164" s="6">
        <f t="shared" si="89"/>
        <v>2.8469643649844509</v>
      </c>
      <c r="N164" s="6">
        <f t="shared" si="89"/>
        <v>4.3698462061823298</v>
      </c>
      <c r="O164" s="6">
        <f t="shared" si="89"/>
        <v>4.1905481138041027</v>
      </c>
      <c r="P164" s="6">
        <f t="shared" si="89"/>
        <v>3.8147789013489475</v>
      </c>
      <c r="Q164" s="6">
        <f t="shared" si="89"/>
        <v>2.5539800857467361</v>
      </c>
      <c r="R164" s="6">
        <f t="shared" si="69"/>
        <v>0.76425977637642983</v>
      </c>
      <c r="S164" s="6">
        <f t="shared" si="70"/>
        <v>8.0847789658493652E-2</v>
      </c>
      <c r="T164" s="11">
        <f t="shared" si="71"/>
        <v>1.3791137212890735E-2</v>
      </c>
      <c r="U164" s="11">
        <f t="shared" si="72"/>
        <v>6.4510469604613374E-2</v>
      </c>
      <c r="V164" s="11">
        <f t="shared" si="73"/>
        <v>0.13476741257244243</v>
      </c>
      <c r="W164" s="11">
        <f t="shared" si="74"/>
        <v>6.5948754565429502E-3</v>
      </c>
      <c r="X164" s="11">
        <f t="shared" si="75"/>
        <v>3.0270291646240507E-2</v>
      </c>
      <c r="Y164" s="11">
        <f t="shared" si="76"/>
        <v>4.22060720256653E-2</v>
      </c>
      <c r="Z164" s="11">
        <f t="shared" si="77"/>
        <v>0.11168278014581326</v>
      </c>
      <c r="AA164" s="11">
        <f t="shared" si="79"/>
        <v>8.4207277749022511E-3</v>
      </c>
      <c r="AB164" s="11">
        <f t="shared" si="80"/>
        <v>6.4946258653564275E-3</v>
      </c>
      <c r="AC164" s="11">
        <f t="shared" si="81"/>
        <v>1.5103288049072475E-2</v>
      </c>
      <c r="AD164" s="11">
        <f t="shared" si="82"/>
        <v>2.1806236224793375E-2</v>
      </c>
      <c r="AE164" s="11">
        <f t="shared" si="83"/>
        <v>2.9186860957031584E-2</v>
      </c>
      <c r="AF164" s="11">
        <f t="shared" si="84"/>
        <v>8.0182537198729725E-2</v>
      </c>
      <c r="AG164" s="11">
        <f t="shared" si="85"/>
        <v>4.8425580205073348E-3</v>
      </c>
      <c r="AH164" s="11">
        <f t="shared" si="86"/>
        <v>6.3686371725798593E-2</v>
      </c>
      <c r="AI164" s="11">
        <f t="shared" si="87"/>
        <v>0.15956948114352851</v>
      </c>
      <c r="AJ164" s="11">
        <f t="shared" si="88"/>
        <v>0</v>
      </c>
      <c r="AK164" s="14">
        <f t="shared" si="90"/>
        <v>0</v>
      </c>
    </row>
    <row r="165" spans="1:37" ht="15.75" x14ac:dyDescent="0.3">
      <c r="A165" s="150">
        <v>160</v>
      </c>
      <c r="B165" s="10" t="s">
        <v>694</v>
      </c>
      <c r="C165" s="236">
        <v>16104132.411113624</v>
      </c>
      <c r="D165" s="233"/>
      <c r="E165" s="232">
        <f t="shared" si="67"/>
        <v>0</v>
      </c>
      <c r="G165" s="10" t="s">
        <v>435</v>
      </c>
      <c r="H165" s="151">
        <f>IF(ISNUMBER(T55),T55/SUM($K$43:$AK$71),0)</f>
        <v>0</v>
      </c>
      <c r="J165" s="160" t="s">
        <v>339</v>
      </c>
      <c r="K165" s="11">
        <f t="shared" si="89"/>
        <v>9.934769177855924E-4</v>
      </c>
      <c r="L165" s="11">
        <f t="shared" si="89"/>
        <v>0.40173835337891423</v>
      </c>
      <c r="M165" s="6">
        <f t="shared" si="89"/>
        <v>1.5022462925955793</v>
      </c>
      <c r="N165" s="6">
        <f t="shared" si="89"/>
        <v>2.3984210776556871</v>
      </c>
      <c r="O165" s="6">
        <f t="shared" si="89"/>
        <v>2.5192589144578723</v>
      </c>
      <c r="P165" s="6">
        <f t="shared" si="89"/>
        <v>2.4506270533251455</v>
      </c>
      <c r="Q165" s="6">
        <f t="shared" si="89"/>
        <v>1.5375385904639753</v>
      </c>
      <c r="R165" s="6">
        <f t="shared" si="69"/>
        <v>0.35964450982631019</v>
      </c>
      <c r="S165" s="6">
        <f t="shared" si="70"/>
        <v>4.5043295832823252E-2</v>
      </c>
      <c r="T165" s="11">
        <f t="shared" si="71"/>
        <v>1.5071773980347199E-2</v>
      </c>
      <c r="U165" s="11">
        <f t="shared" si="72"/>
        <v>6.3470194851686298E-2</v>
      </c>
      <c r="V165" s="11">
        <f t="shared" si="73"/>
        <v>1.4493889129005028E-2</v>
      </c>
      <c r="W165" s="11">
        <f t="shared" si="74"/>
        <v>2.3235504045410183E-2</v>
      </c>
      <c r="X165" s="11">
        <f t="shared" si="75"/>
        <v>1.6904121003387694E-2</v>
      </c>
      <c r="Y165" s="11">
        <f t="shared" si="76"/>
        <v>3.7823095707779156E-3</v>
      </c>
      <c r="Z165" s="11">
        <f t="shared" si="77"/>
        <v>0.31125894301739343</v>
      </c>
      <c r="AA165" s="11">
        <f t="shared" si="79"/>
        <v>5.9372668786009369E-3</v>
      </c>
      <c r="AB165" s="11">
        <f t="shared" si="80"/>
        <v>8.1974728942259285E-3</v>
      </c>
      <c r="AC165" s="11">
        <f t="shared" si="81"/>
        <v>7.5943989074707006E-3</v>
      </c>
      <c r="AD165" s="11">
        <f t="shared" si="82"/>
        <v>9.9832957909547007E-3</v>
      </c>
      <c r="AE165" s="11">
        <f t="shared" si="83"/>
        <v>1.0395547423705801E-2</v>
      </c>
      <c r="AF165" s="11">
        <f t="shared" si="84"/>
        <v>8.7806620343897718E-2</v>
      </c>
      <c r="AG165" s="11">
        <f t="shared" si="85"/>
        <v>1.3380694380249122E-2</v>
      </c>
      <c r="AH165" s="11">
        <f t="shared" si="86"/>
        <v>1.0629851632833583E-2</v>
      </c>
      <c r="AI165" s="11">
        <f t="shared" si="87"/>
        <v>6.9078035782928959E-3</v>
      </c>
      <c r="AJ165" s="11">
        <f t="shared" si="88"/>
        <v>0</v>
      </c>
      <c r="AK165" s="14">
        <f t="shared" si="90"/>
        <v>0</v>
      </c>
    </row>
    <row r="166" spans="1:37" ht="15.75" x14ac:dyDescent="0.3">
      <c r="A166" s="150">
        <v>161</v>
      </c>
      <c r="B166" s="10" t="s">
        <v>695</v>
      </c>
      <c r="C166" s="236">
        <v>14419707.106986273</v>
      </c>
      <c r="D166" s="233"/>
      <c r="E166" s="232">
        <f t="shared" si="67"/>
        <v>0</v>
      </c>
      <c r="G166" s="10" t="s">
        <v>436</v>
      </c>
      <c r="H166" s="151">
        <f>IF(ISNUMBER(U55),U55/SUM($K$43:$AK$71),0)</f>
        <v>0</v>
      </c>
      <c r="J166" s="161" t="s">
        <v>340</v>
      </c>
      <c r="K166" s="47">
        <f t="shared" si="89"/>
        <v>8.2507900726318001E-4</v>
      </c>
      <c r="L166" s="47">
        <f t="shared" si="89"/>
        <v>9.8121901070686121E-2</v>
      </c>
      <c r="M166" s="47">
        <f t="shared" si="89"/>
        <v>0.74178474982800302</v>
      </c>
      <c r="N166" s="47">
        <f t="shared" si="89"/>
        <v>1.3182388321318497</v>
      </c>
      <c r="O166" s="47">
        <f t="shared" si="89"/>
        <v>1.4485734288158791</v>
      </c>
      <c r="P166" s="47">
        <f t="shared" si="89"/>
        <v>1.4744184476828655</v>
      </c>
      <c r="Q166" s="47">
        <f t="shared" si="89"/>
        <v>0.96636351436620371</v>
      </c>
      <c r="R166" s="47">
        <f t="shared" si="69"/>
        <v>0.25862060230619482</v>
      </c>
      <c r="S166" s="47">
        <f t="shared" si="70"/>
        <v>3.5635640899353907E-2</v>
      </c>
      <c r="T166" s="47">
        <f t="shared" si="71"/>
        <v>5.6578626207275003E-3</v>
      </c>
      <c r="U166" s="47">
        <f t="shared" si="72"/>
        <v>7.7938639537020959E-2</v>
      </c>
      <c r="V166" s="47">
        <f t="shared" si="73"/>
        <v>1.0586032126281999E-2</v>
      </c>
      <c r="W166" s="47">
        <f t="shared" si="74"/>
        <v>5.6735683746093772E-2</v>
      </c>
      <c r="X166" s="47">
        <f t="shared" si="75"/>
        <v>3.2886007950806546E-2</v>
      </c>
      <c r="Y166" s="47">
        <f t="shared" si="76"/>
        <v>1.8350489740357145E-2</v>
      </c>
      <c r="Z166" s="47">
        <f t="shared" si="77"/>
        <v>1.0871193913575251E-3</v>
      </c>
      <c r="AA166" s="47">
        <f t="shared" si="79"/>
        <v>1.4283028084525148E-3</v>
      </c>
      <c r="AB166" s="47">
        <f t="shared" si="80"/>
        <v>1.688730401321489E-2</v>
      </c>
      <c r="AC166" s="47">
        <f t="shared" si="81"/>
        <v>3.2195861337951971E-2</v>
      </c>
      <c r="AD166" s="47">
        <f t="shared" si="82"/>
        <v>3.9371071931755897E-3</v>
      </c>
      <c r="AE166" s="47">
        <f t="shared" si="83"/>
        <v>1.5017933588867551E-2</v>
      </c>
      <c r="AF166" s="47">
        <f t="shared" si="84"/>
        <v>2.5193062891603217E-2</v>
      </c>
      <c r="AG166" s="47">
        <f t="shared" si="85"/>
        <v>1.1878962642608425E-2</v>
      </c>
      <c r="AH166" s="47">
        <f t="shared" si="86"/>
        <v>7.3783915092774724E-3</v>
      </c>
      <c r="AI166" s="47">
        <f t="shared" si="87"/>
        <v>0</v>
      </c>
      <c r="AJ166" s="47">
        <f t="shared" si="88"/>
        <v>0</v>
      </c>
      <c r="AK166" s="46">
        <f t="shared" si="90"/>
        <v>0</v>
      </c>
    </row>
    <row r="167" spans="1:37" ht="15.75" x14ac:dyDescent="0.3">
      <c r="A167" s="150">
        <v>162</v>
      </c>
      <c r="B167" s="10" t="s">
        <v>696</v>
      </c>
      <c r="C167" s="236">
        <v>13884260.863919519</v>
      </c>
      <c r="D167" s="233"/>
      <c r="E167" s="232">
        <f t="shared" si="67"/>
        <v>0</v>
      </c>
      <c r="G167" s="10" t="s">
        <v>523</v>
      </c>
      <c r="H167" s="151">
        <f>IF(ISNUMBER(V55),V55/SUM($K$43:$AK$71),0)</f>
        <v>2.309590309869278E-4</v>
      </c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</row>
    <row r="168" spans="1:37" ht="15.75" x14ac:dyDescent="0.3">
      <c r="A168" s="150">
        <v>163</v>
      </c>
      <c r="B168" s="10" t="s">
        <v>697</v>
      </c>
      <c r="C168" s="236">
        <v>4398398.2988518476</v>
      </c>
      <c r="D168" s="233"/>
      <c r="E168" s="232">
        <f t="shared" si="67"/>
        <v>0</v>
      </c>
      <c r="G168" s="10" t="s">
        <v>524</v>
      </c>
      <c r="H168" s="151">
        <f>IF(ISNUMBER(W55),W55/SUM($K$43:$AK$71),0)</f>
        <v>9.6221705083378197E-4</v>
      </c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</row>
    <row r="169" spans="1:37" x14ac:dyDescent="0.25">
      <c r="A169" s="150">
        <v>164</v>
      </c>
      <c r="B169" s="10" t="s">
        <v>698</v>
      </c>
      <c r="C169" s="236">
        <v>4240789.8331716051</v>
      </c>
      <c r="D169" s="233"/>
      <c r="E169" s="232">
        <f t="shared" si="67"/>
        <v>0</v>
      </c>
      <c r="G169" s="10" t="s">
        <v>1060</v>
      </c>
      <c r="H169" s="151">
        <f>IF(ISNUMBER(X55),X55/SUM($K$43:$AK$71),0)</f>
        <v>1.8332938965504254E-3</v>
      </c>
    </row>
    <row r="170" spans="1:37" x14ac:dyDescent="0.25">
      <c r="A170" s="150">
        <v>165</v>
      </c>
      <c r="B170" s="10" t="s">
        <v>1117</v>
      </c>
      <c r="C170" s="236">
        <v>187719.14699757649</v>
      </c>
      <c r="D170" s="233"/>
      <c r="E170" s="232">
        <f t="shared" si="67"/>
        <v>0</v>
      </c>
      <c r="G170" s="10" t="s">
        <v>1061</v>
      </c>
      <c r="H170" s="151">
        <f>IF(ISNUMBER(Y55),Y55/SUM($K$43:$AK$71),0)</f>
        <v>1.7598449369910889E-3</v>
      </c>
    </row>
    <row r="171" spans="1:37" x14ac:dyDescent="0.25">
      <c r="A171" s="150">
        <v>166</v>
      </c>
      <c r="B171" s="10" t="s">
        <v>1118</v>
      </c>
      <c r="C171" s="236">
        <v>201501.96346594201</v>
      </c>
      <c r="D171" s="233"/>
      <c r="E171" s="232">
        <f t="shared" si="67"/>
        <v>0</v>
      </c>
      <c r="G171" s="10" t="s">
        <v>1062</v>
      </c>
      <c r="H171" s="151">
        <f>IF(ISNUMBER(Z55),Z55/SUM($K$43:$AK$71),0)</f>
        <v>8.6993276537026968E-4</v>
      </c>
    </row>
    <row r="172" spans="1:37" x14ac:dyDescent="0.25">
      <c r="A172" s="150">
        <v>167</v>
      </c>
      <c r="B172" s="10" t="s">
        <v>1119</v>
      </c>
      <c r="C172" s="236">
        <v>177330.27050670984</v>
      </c>
      <c r="D172" s="233"/>
      <c r="E172" s="232">
        <f t="shared" si="67"/>
        <v>0</v>
      </c>
      <c r="G172" s="10" t="s">
        <v>1582</v>
      </c>
      <c r="H172" s="151">
        <f>IF(ISNUMBER(AA55),AA55/SUM($K$43:$AK$71),0)</f>
        <v>1.6918225791337345E-4</v>
      </c>
    </row>
    <row r="173" spans="1:37" x14ac:dyDescent="0.25">
      <c r="A173" s="150">
        <v>168</v>
      </c>
      <c r="B173" s="10" t="s">
        <v>1120</v>
      </c>
      <c r="C173" s="236">
        <v>54431.858481064432</v>
      </c>
      <c r="D173" s="233"/>
      <c r="E173" s="232">
        <f t="shared" si="67"/>
        <v>0</v>
      </c>
      <c r="G173" s="10" t="s">
        <v>1583</v>
      </c>
      <c r="H173" s="151">
        <f>IF(ISNUMBER(AB55),AB55/SUM($K$43:$AK$71),0)</f>
        <v>3.6902934709761045E-6</v>
      </c>
    </row>
    <row r="174" spans="1:37" x14ac:dyDescent="0.25">
      <c r="A174" s="150">
        <v>169</v>
      </c>
      <c r="B174" s="10" t="s">
        <v>699</v>
      </c>
      <c r="C174" s="236">
        <v>4410.0469282495005</v>
      </c>
      <c r="D174" s="233"/>
      <c r="E174" s="232">
        <f t="shared" si="67"/>
        <v>0</v>
      </c>
      <c r="G174" s="10" t="s">
        <v>1584</v>
      </c>
      <c r="H174" s="151">
        <f>IF(ISNUMBER(AC55),AC55/SUM($K$43:$AK$71),0)</f>
        <v>0</v>
      </c>
    </row>
    <row r="175" spans="1:37" x14ac:dyDescent="0.25">
      <c r="A175" s="150">
        <v>170</v>
      </c>
      <c r="B175" s="10" t="s">
        <v>700</v>
      </c>
      <c r="C175" s="236">
        <v>94.337789749144505</v>
      </c>
      <c r="D175" s="233"/>
      <c r="E175" s="232">
        <f t="shared" si="67"/>
        <v>0</v>
      </c>
      <c r="G175" s="10" t="s">
        <v>525</v>
      </c>
      <c r="H175" s="151">
        <f>IF(ISNUMBER(K56),K56/SUM($K$43:$AK$71),0)</f>
        <v>3.7836911842144787E-4</v>
      </c>
    </row>
    <row r="176" spans="1:37" x14ac:dyDescent="0.25">
      <c r="A176" s="150">
        <v>171</v>
      </c>
      <c r="B176" s="10" t="s">
        <v>125</v>
      </c>
      <c r="C176" s="236">
        <v>2419.2512470608349</v>
      </c>
      <c r="D176" s="233"/>
      <c r="E176" s="232">
        <f t="shared" si="67"/>
        <v>0</v>
      </c>
      <c r="G176" s="10" t="s">
        <v>437</v>
      </c>
      <c r="H176" s="151">
        <f>IF(ISNUMBER(L56),L56/SUM($K$43:$AK$71),0)</f>
        <v>1.8184717695754206E-3</v>
      </c>
    </row>
    <row r="177" spans="1:8" x14ac:dyDescent="0.25">
      <c r="A177" s="150">
        <v>172</v>
      </c>
      <c r="B177" s="10" t="s">
        <v>126</v>
      </c>
      <c r="C177" s="236">
        <v>3460.1028517646923</v>
      </c>
      <c r="D177" s="233"/>
      <c r="E177" s="232">
        <f t="shared" si="67"/>
        <v>0</v>
      </c>
      <c r="G177" s="10" t="s">
        <v>438</v>
      </c>
      <c r="H177" s="151">
        <f>IF(ISNUMBER(M56),M56/SUM($K$43:$AK$71),0)</f>
        <v>3.5578478129044719E-3</v>
      </c>
    </row>
    <row r="178" spans="1:8" x14ac:dyDescent="0.25">
      <c r="A178" s="150">
        <v>173</v>
      </c>
      <c r="B178" s="10" t="s">
        <v>127</v>
      </c>
      <c r="C178" s="236">
        <v>2833.6782786369449</v>
      </c>
      <c r="D178" s="233"/>
      <c r="E178" s="232">
        <f t="shared" si="67"/>
        <v>0</v>
      </c>
      <c r="G178" s="10" t="s">
        <v>439</v>
      </c>
      <c r="H178" s="151">
        <f>IF(ISNUMBER(N56),N56/SUM($K$43:$AK$71),0)</f>
        <v>4.0003476201696574E-3</v>
      </c>
    </row>
    <row r="179" spans="1:8" x14ac:dyDescent="0.25">
      <c r="A179" s="150">
        <v>174</v>
      </c>
      <c r="B179" s="10" t="s">
        <v>128</v>
      </c>
      <c r="C179" s="236">
        <v>8105.5141950835141</v>
      </c>
      <c r="D179" s="233"/>
      <c r="E179" s="232">
        <f t="shared" si="67"/>
        <v>0</v>
      </c>
      <c r="G179" s="10" t="s">
        <v>440</v>
      </c>
      <c r="H179" s="151">
        <f>IF(ISNUMBER(O56),O56/SUM($K$43:$AK$71),0)</f>
        <v>1.9978076601297099E-3</v>
      </c>
    </row>
    <row r="180" spans="1:8" x14ac:dyDescent="0.25">
      <c r="A180" s="150">
        <v>175</v>
      </c>
      <c r="B180" s="10" t="s">
        <v>129</v>
      </c>
      <c r="C180" s="236">
        <v>18689.366501474309</v>
      </c>
      <c r="D180" s="233"/>
      <c r="E180" s="232">
        <f t="shared" si="67"/>
        <v>0</v>
      </c>
      <c r="G180" s="10" t="s">
        <v>441</v>
      </c>
      <c r="H180" s="151">
        <f>IF(ISNUMBER(P56),P56/SUM($K$43:$AK$71),0)</f>
        <v>5.0509511266657171E-4</v>
      </c>
    </row>
    <row r="181" spans="1:8" x14ac:dyDescent="0.25">
      <c r="A181" s="150">
        <v>176</v>
      </c>
      <c r="B181" s="10" t="s">
        <v>130</v>
      </c>
      <c r="C181" s="236">
        <v>18105.752273622875</v>
      </c>
      <c r="D181" s="233"/>
      <c r="E181" s="232">
        <f t="shared" si="67"/>
        <v>0</v>
      </c>
      <c r="G181" s="10" t="s">
        <v>442</v>
      </c>
      <c r="H181" s="151">
        <f>IF(ISNUMBER(Q56),Q56/SUM($K$43:$AK$71),0)</f>
        <v>4.0185965174560103E-5</v>
      </c>
    </row>
    <row r="182" spans="1:8" x14ac:dyDescent="0.25">
      <c r="A182" s="150">
        <v>177</v>
      </c>
      <c r="B182" s="10" t="s">
        <v>131</v>
      </c>
      <c r="C182" s="236">
        <v>29615.7412748153</v>
      </c>
      <c r="D182" s="233"/>
      <c r="E182" s="232">
        <f t="shared" si="67"/>
        <v>0</v>
      </c>
      <c r="G182" s="10" t="s">
        <v>443</v>
      </c>
      <c r="H182" s="151">
        <f>IF(ISNUMBER(R56),R56/SUM($K$43:$AK$71),0)</f>
        <v>0</v>
      </c>
    </row>
    <row r="183" spans="1:8" x14ac:dyDescent="0.25">
      <c r="A183" s="150">
        <v>178</v>
      </c>
      <c r="B183" s="10" t="s">
        <v>132</v>
      </c>
      <c r="C183" s="236">
        <v>24363.97516351263</v>
      </c>
      <c r="D183" s="233"/>
      <c r="E183" s="232">
        <f t="shared" si="67"/>
        <v>0</v>
      </c>
      <c r="G183" s="10" t="s">
        <v>444</v>
      </c>
      <c r="H183" s="151">
        <f>IF(ISNUMBER(S56),S56/SUM($K$43:$AK$71),0)</f>
        <v>0</v>
      </c>
    </row>
    <row r="184" spans="1:8" x14ac:dyDescent="0.25">
      <c r="A184" s="150">
        <v>179</v>
      </c>
      <c r="B184" s="10" t="s">
        <v>133</v>
      </c>
      <c r="C184" s="236">
        <v>21687.187600717876</v>
      </c>
      <c r="D184" s="233"/>
      <c r="E184" s="232">
        <f t="shared" si="67"/>
        <v>0</v>
      </c>
      <c r="G184" s="10" t="s">
        <v>445</v>
      </c>
      <c r="H184" s="151">
        <f>IF(ISNUMBER(T56),T56/SUM($K$43:$AK$71),0)</f>
        <v>0</v>
      </c>
    </row>
    <row r="185" spans="1:8" x14ac:dyDescent="0.25">
      <c r="A185" s="150">
        <v>180</v>
      </c>
      <c r="B185" s="10" t="s">
        <v>134</v>
      </c>
      <c r="C185" s="236">
        <v>28274.102056560598</v>
      </c>
      <c r="D185" s="233"/>
      <c r="E185" s="232">
        <f t="shared" si="67"/>
        <v>0</v>
      </c>
      <c r="G185" s="10" t="s">
        <v>446</v>
      </c>
      <c r="H185" s="151">
        <f>IF(ISNUMBER(U56),U56/SUM($K$43:$AK$71),0)</f>
        <v>0</v>
      </c>
    </row>
    <row r="186" spans="1:8" x14ac:dyDescent="0.25">
      <c r="A186" s="150">
        <v>181</v>
      </c>
      <c r="B186" s="10" t="s">
        <v>135</v>
      </c>
      <c r="C186" s="236">
        <v>44731.533399623375</v>
      </c>
      <c r="D186" s="233"/>
      <c r="E186" s="232">
        <f t="shared" si="67"/>
        <v>0</v>
      </c>
      <c r="G186" s="10" t="s">
        <v>526</v>
      </c>
      <c r="H186" s="151">
        <f>IF(ISNUMBER(V56),V56/SUM($K$43:$AK$71),0)</f>
        <v>2.251780515239233E-5</v>
      </c>
    </row>
    <row r="187" spans="1:8" x14ac:dyDescent="0.25">
      <c r="A187" s="150">
        <v>182</v>
      </c>
      <c r="B187" s="10" t="s">
        <v>136</v>
      </c>
      <c r="C187" s="236">
        <v>10365.81152602355</v>
      </c>
      <c r="D187" s="233"/>
      <c r="E187" s="232">
        <f t="shared" si="67"/>
        <v>0</v>
      </c>
      <c r="G187" s="10" t="s">
        <v>527</v>
      </c>
      <c r="H187" s="151">
        <f>IF(ISNUMBER(W56),W56/SUM($K$43:$AK$71),0)</f>
        <v>4.3014711011663009E-4</v>
      </c>
    </row>
    <row r="188" spans="1:8" x14ac:dyDescent="0.25">
      <c r="A188" s="150">
        <v>183</v>
      </c>
      <c r="B188" s="10" t="s">
        <v>137</v>
      </c>
      <c r="C188" s="236">
        <v>103710.87527214841</v>
      </c>
      <c r="D188" s="233"/>
      <c r="E188" s="232">
        <f t="shared" si="67"/>
        <v>0</v>
      </c>
      <c r="G188" s="10" t="s">
        <v>1063</v>
      </c>
      <c r="H188" s="151">
        <f>IF(ISNUMBER(X56),X56/SUM($K$43:$AK$71),0)</f>
        <v>1.3806895248465233E-3</v>
      </c>
    </row>
    <row r="189" spans="1:8" x14ac:dyDescent="0.25">
      <c r="A189" s="150">
        <v>184</v>
      </c>
      <c r="B189" s="10" t="s">
        <v>138</v>
      </c>
      <c r="C189" s="236">
        <v>81172.280274566525</v>
      </c>
      <c r="D189" s="233"/>
      <c r="E189" s="232">
        <f t="shared" si="67"/>
        <v>0</v>
      </c>
      <c r="G189" s="10" t="s">
        <v>1064</v>
      </c>
      <c r="H189" s="151">
        <f>IF(ISNUMBER(Y56),Y56/SUM($K$43:$AK$71),0)</f>
        <v>2.1741620331775422E-3</v>
      </c>
    </row>
    <row r="190" spans="1:8" x14ac:dyDescent="0.25">
      <c r="A190" s="150">
        <v>185</v>
      </c>
      <c r="B190" s="10" t="s">
        <v>139</v>
      </c>
      <c r="C190" s="236">
        <v>4433.3071027219103</v>
      </c>
      <c r="D190" s="233"/>
      <c r="E190" s="232">
        <f t="shared" si="67"/>
        <v>0</v>
      </c>
      <c r="G190" s="10" t="s">
        <v>1585</v>
      </c>
      <c r="H190" s="151">
        <f>IF(ISNUMBER(Z56),Z56/SUM($K$43:$AK$71),0)</f>
        <v>1.875263737925952E-3</v>
      </c>
    </row>
    <row r="191" spans="1:8" x14ac:dyDescent="0.25">
      <c r="A191" s="150">
        <v>186</v>
      </c>
      <c r="B191" s="10" t="s">
        <v>140</v>
      </c>
      <c r="C191" s="236">
        <v>8132.8435120584518</v>
      </c>
      <c r="D191" s="233"/>
      <c r="E191" s="232">
        <f t="shared" si="67"/>
        <v>0</v>
      </c>
      <c r="G191" s="10" t="s">
        <v>1586</v>
      </c>
      <c r="H191" s="151">
        <f>IF(ISNUMBER(AA56),AA56/SUM($K$43:$AK$71),0)</f>
        <v>8.6353317780509843E-4</v>
      </c>
    </row>
    <row r="192" spans="1:8" x14ac:dyDescent="0.25">
      <c r="A192" s="150">
        <v>187</v>
      </c>
      <c r="B192" s="10" t="s">
        <v>701</v>
      </c>
      <c r="C192" s="236">
        <v>5049.6209565010504</v>
      </c>
      <c r="D192" s="233"/>
      <c r="E192" s="232">
        <f t="shared" si="67"/>
        <v>0</v>
      </c>
      <c r="G192" s="10" t="s">
        <v>1587</v>
      </c>
      <c r="H192" s="151">
        <f>IF(ISNUMBER(AB56),AB56/SUM($K$43:$AK$71),0)</f>
        <v>1.6456348355431492E-4</v>
      </c>
    </row>
    <row r="193" spans="1:8" x14ac:dyDescent="0.25">
      <c r="A193" s="150">
        <v>188</v>
      </c>
      <c r="B193" s="10" t="s">
        <v>702</v>
      </c>
      <c r="C193" s="236">
        <v>7392.8724929809123</v>
      </c>
      <c r="D193" s="233"/>
      <c r="E193" s="232">
        <f t="shared" si="67"/>
        <v>0</v>
      </c>
      <c r="G193" s="10" t="s">
        <v>1588</v>
      </c>
      <c r="H193" s="151">
        <f>IF(ISNUMBER(AC56),AC56/SUM($K$43:$AK$71),0)</f>
        <v>0</v>
      </c>
    </row>
    <row r="194" spans="1:8" x14ac:dyDescent="0.25">
      <c r="A194" s="150">
        <v>189</v>
      </c>
      <c r="B194" s="10" t="s">
        <v>703</v>
      </c>
      <c r="C194" s="236">
        <v>65746.573055723798</v>
      </c>
      <c r="D194" s="233"/>
      <c r="E194" s="232">
        <f t="shared" si="67"/>
        <v>0</v>
      </c>
      <c r="G194" s="10" t="s">
        <v>1589</v>
      </c>
      <c r="H194" s="151">
        <f>IF(ISNUMBER(AD56),AD56/SUM($K$43:$AK$71),0)</f>
        <v>0</v>
      </c>
    </row>
    <row r="195" spans="1:8" x14ac:dyDescent="0.25">
      <c r="A195" s="150">
        <v>190</v>
      </c>
      <c r="B195" s="10" t="s">
        <v>704</v>
      </c>
      <c r="C195" s="236">
        <v>70545.210017396574</v>
      </c>
      <c r="D195" s="233"/>
      <c r="E195" s="232">
        <f t="shared" si="67"/>
        <v>0</v>
      </c>
      <c r="G195" s="10" t="s">
        <v>528</v>
      </c>
      <c r="H195" s="151">
        <f>IF(ISNUMBER(K57),K57/SUM($K$43:$AK$71),0)</f>
        <v>5.2090361707034965E-4</v>
      </c>
    </row>
    <row r="196" spans="1:8" x14ac:dyDescent="0.25">
      <c r="A196" s="150">
        <v>191</v>
      </c>
      <c r="B196" s="10" t="s">
        <v>705</v>
      </c>
      <c r="C196" s="236">
        <v>66798.978857422248</v>
      </c>
      <c r="D196" s="233"/>
      <c r="E196" s="232">
        <f t="shared" si="67"/>
        <v>0</v>
      </c>
      <c r="G196" s="10" t="s">
        <v>447</v>
      </c>
      <c r="H196" s="151">
        <f>IF(ISNUMBER(L57),L57/SUM($K$43:$AK$71),0)</f>
        <v>2.459932469386885E-3</v>
      </c>
    </row>
    <row r="197" spans="1:8" x14ac:dyDescent="0.25">
      <c r="A197" s="150">
        <v>192</v>
      </c>
      <c r="B197" s="10" t="s">
        <v>706</v>
      </c>
      <c r="C197" s="236">
        <v>97786.626656616252</v>
      </c>
      <c r="D197" s="233"/>
      <c r="E197" s="232">
        <f t="shared" si="67"/>
        <v>0</v>
      </c>
      <c r="G197" s="10" t="s">
        <v>448</v>
      </c>
      <c r="H197" s="151">
        <f>IF(ISNUMBER(M57),M57/SUM($K$43:$AK$71),0)</f>
        <v>5.6881288163633621E-3</v>
      </c>
    </row>
    <row r="198" spans="1:8" x14ac:dyDescent="0.25">
      <c r="A198" s="150">
        <v>193</v>
      </c>
      <c r="B198" s="10" t="s">
        <v>707</v>
      </c>
      <c r="C198" s="236">
        <v>6066.6285489996644</v>
      </c>
      <c r="D198" s="233"/>
      <c r="E198" s="232">
        <f t="shared" si="67"/>
        <v>0</v>
      </c>
      <c r="G198" s="10" t="s">
        <v>449</v>
      </c>
      <c r="H198" s="151">
        <f>IF(ISNUMBER(N57),N57/SUM($K$43:$AK$71),0)</f>
        <v>7.2428680391663754E-3</v>
      </c>
    </row>
    <row r="199" spans="1:8" x14ac:dyDescent="0.25">
      <c r="A199" s="150">
        <v>194</v>
      </c>
      <c r="B199" s="10" t="s">
        <v>708</v>
      </c>
      <c r="C199" s="236">
        <v>14898.276589569061</v>
      </c>
      <c r="D199" s="233"/>
      <c r="E199" s="232">
        <f t="shared" ref="E199:E262" si="91">D199/C199</f>
        <v>0</v>
      </c>
      <c r="G199" s="10" t="s">
        <v>450</v>
      </c>
      <c r="H199" s="151">
        <f>IF(ISNUMBER(O57),O57/SUM($K$43:$AK$71),0)</f>
        <v>4.2481011890933146E-3</v>
      </c>
    </row>
    <row r="200" spans="1:8" x14ac:dyDescent="0.25">
      <c r="A200" s="150">
        <v>195</v>
      </c>
      <c r="B200" s="10" t="s">
        <v>1019</v>
      </c>
      <c r="C200" s="236">
        <v>2144780.4472694676</v>
      </c>
      <c r="D200" s="233"/>
      <c r="E200" s="232">
        <f t="shared" si="91"/>
        <v>0</v>
      </c>
      <c r="G200" s="10" t="s">
        <v>451</v>
      </c>
      <c r="H200" s="151">
        <f>IF(ISNUMBER(P57),P57/SUM($K$43:$AK$71),0)</f>
        <v>1.3601438105077422E-3</v>
      </c>
    </row>
    <row r="201" spans="1:8" x14ac:dyDescent="0.25">
      <c r="A201" s="150">
        <v>196</v>
      </c>
      <c r="B201" s="10" t="s">
        <v>1020</v>
      </c>
      <c r="C201" s="236">
        <v>555297.81706835306</v>
      </c>
      <c r="D201" s="233"/>
      <c r="E201" s="232">
        <f t="shared" si="91"/>
        <v>0</v>
      </c>
      <c r="G201" s="10" t="s">
        <v>452</v>
      </c>
      <c r="H201" s="151">
        <f>IF(ISNUMBER(Q57),Q57/SUM($K$43:$AK$71),0)</f>
        <v>2.4530843926914928E-4</v>
      </c>
    </row>
    <row r="202" spans="1:8" x14ac:dyDescent="0.25">
      <c r="A202" s="150">
        <v>197</v>
      </c>
      <c r="B202" s="10" t="s">
        <v>1121</v>
      </c>
      <c r="C202" s="236">
        <v>22531.542683655392</v>
      </c>
      <c r="D202" s="233"/>
      <c r="E202" s="232">
        <f t="shared" si="91"/>
        <v>0</v>
      </c>
      <c r="G202" s="10" t="s">
        <v>453</v>
      </c>
      <c r="H202" s="151">
        <f>IF(ISNUMBER(R57),R57/SUM($K$43:$AK$71),0)</f>
        <v>8.6461311080550884E-6</v>
      </c>
    </row>
    <row r="203" spans="1:8" x14ac:dyDescent="0.25">
      <c r="A203" s="150">
        <v>198</v>
      </c>
      <c r="B203" s="10" t="s">
        <v>1122</v>
      </c>
      <c r="C203" s="236">
        <v>1943.967886962695</v>
      </c>
      <c r="D203" s="233"/>
      <c r="E203" s="232">
        <f t="shared" si="91"/>
        <v>0</v>
      </c>
      <c r="G203" s="10" t="s">
        <v>454</v>
      </c>
      <c r="H203" s="151">
        <f>IF(ISNUMBER(S57),S57/SUM($K$43:$AK$71),0)</f>
        <v>0</v>
      </c>
    </row>
    <row r="204" spans="1:8" x14ac:dyDescent="0.25">
      <c r="A204" s="150">
        <v>199</v>
      </c>
      <c r="B204" s="10" t="s">
        <v>709</v>
      </c>
      <c r="C204" s="236">
        <v>3774.1680955048223</v>
      </c>
      <c r="D204" s="233"/>
      <c r="E204" s="232">
        <f t="shared" si="91"/>
        <v>0</v>
      </c>
      <c r="G204" s="10" t="s">
        <v>455</v>
      </c>
      <c r="H204" s="151">
        <f>IF(ISNUMBER(T57),T57/SUM($K$43:$AK$71),0)</f>
        <v>4.3312929998764414E-7</v>
      </c>
    </row>
    <row r="205" spans="1:8" x14ac:dyDescent="0.25">
      <c r="A205" s="150">
        <v>200</v>
      </c>
      <c r="B205" s="10" t="s">
        <v>710</v>
      </c>
      <c r="C205" s="236">
        <v>3623.117817821445</v>
      </c>
      <c r="D205" s="233"/>
      <c r="E205" s="232">
        <f t="shared" si="91"/>
        <v>0</v>
      </c>
      <c r="G205" s="10" t="s">
        <v>456</v>
      </c>
      <c r="H205" s="151">
        <f>IF(ISNUMBER(U57),U57/SUM($K$43:$AK$71),0)</f>
        <v>0</v>
      </c>
    </row>
    <row r="206" spans="1:8" x14ac:dyDescent="0.25">
      <c r="A206" s="150">
        <v>201</v>
      </c>
      <c r="B206" s="10" t="s">
        <v>141</v>
      </c>
      <c r="C206" s="236">
        <v>2117.3701340331477</v>
      </c>
      <c r="D206" s="233"/>
      <c r="E206" s="232">
        <f t="shared" si="91"/>
        <v>0</v>
      </c>
      <c r="G206" s="10" t="s">
        <v>457</v>
      </c>
      <c r="H206" s="151">
        <f>IF(ISNUMBER(V57),V57/SUM($K$43:$AK$71),0)</f>
        <v>1.2447702132993543E-6</v>
      </c>
    </row>
    <row r="207" spans="1:8" x14ac:dyDescent="0.25">
      <c r="A207" s="150">
        <v>202</v>
      </c>
      <c r="B207" s="10" t="s">
        <v>142</v>
      </c>
      <c r="C207" s="236">
        <v>126.95711679077075</v>
      </c>
      <c r="D207" s="233"/>
      <c r="E207" s="232">
        <f t="shared" si="91"/>
        <v>0</v>
      </c>
      <c r="G207" s="10" t="s">
        <v>529</v>
      </c>
      <c r="H207" s="151">
        <f>IF(ISNUMBER(W57),W57/SUM($K$43:$AK$71),0)</f>
        <v>1.2183601795771639E-4</v>
      </c>
    </row>
    <row r="208" spans="1:8" x14ac:dyDescent="0.25">
      <c r="A208" s="150">
        <v>203</v>
      </c>
      <c r="B208" s="10" t="s">
        <v>143</v>
      </c>
      <c r="C208" s="236">
        <v>2420.3190768471022</v>
      </c>
      <c r="D208" s="233"/>
      <c r="E208" s="232">
        <f t="shared" si="91"/>
        <v>0</v>
      </c>
      <c r="G208" s="10" t="s">
        <v>1065</v>
      </c>
      <c r="H208" s="151">
        <f>IF(ISNUMBER(X57),X57/SUM($K$43:$AK$71),0)</f>
        <v>9.3569857900889736E-4</v>
      </c>
    </row>
    <row r="209" spans="1:8" x14ac:dyDescent="0.25">
      <c r="A209" s="150">
        <v>204</v>
      </c>
      <c r="B209" s="10" t="s">
        <v>144</v>
      </c>
      <c r="C209" s="236">
        <v>5220.5422505719134</v>
      </c>
      <c r="D209" s="233"/>
      <c r="E209" s="232">
        <f t="shared" si="91"/>
        <v>0</v>
      </c>
      <c r="G209" s="10" t="s">
        <v>1066</v>
      </c>
      <c r="H209" s="151">
        <f>IF(ISNUMBER(Y57),Y57/SUM($K$43:$AK$71),0)</f>
        <v>2.5424347226875093E-3</v>
      </c>
    </row>
    <row r="210" spans="1:8" x14ac:dyDescent="0.25">
      <c r="A210" s="150">
        <v>205</v>
      </c>
      <c r="B210" s="10" t="s">
        <v>145</v>
      </c>
      <c r="C210" s="236">
        <v>1516.2024755172531</v>
      </c>
      <c r="D210" s="233"/>
      <c r="E210" s="232">
        <f t="shared" si="91"/>
        <v>0</v>
      </c>
      <c r="G210" s="10" t="s">
        <v>1590</v>
      </c>
      <c r="H210" s="151">
        <f>IF(ISNUMBER(Z57),Z57/SUM($K$43:$AK$71),0)</f>
        <v>3.5939611055804638E-3</v>
      </c>
    </row>
    <row r="211" spans="1:8" x14ac:dyDescent="0.25">
      <c r="A211" s="150">
        <v>206</v>
      </c>
      <c r="B211" s="10" t="s">
        <v>146</v>
      </c>
      <c r="C211" s="236">
        <v>2906.2922337493469</v>
      </c>
      <c r="D211" s="233"/>
      <c r="E211" s="232">
        <f t="shared" si="91"/>
        <v>0</v>
      </c>
      <c r="G211" s="10" t="s">
        <v>1591</v>
      </c>
      <c r="H211" s="151">
        <f>IF(ISNUMBER(AA57),AA57/SUM($K$43:$AK$71),0)</f>
        <v>2.8484827333889904E-3</v>
      </c>
    </row>
    <row r="212" spans="1:8" x14ac:dyDescent="0.25">
      <c r="A212" s="150">
        <v>207</v>
      </c>
      <c r="B212" s="10" t="s">
        <v>147</v>
      </c>
      <c r="C212" s="236">
        <v>8755.0224499586184</v>
      </c>
      <c r="D212" s="233"/>
      <c r="E212" s="232">
        <f t="shared" si="91"/>
        <v>0</v>
      </c>
      <c r="G212" s="10" t="s">
        <v>1592</v>
      </c>
      <c r="H212" s="151">
        <f>IF(ISNUMBER(AB57),AB57/SUM($K$43:$AK$71),0)</f>
        <v>1.3001372559958738E-3</v>
      </c>
    </row>
    <row r="213" spans="1:8" x14ac:dyDescent="0.25">
      <c r="A213" s="150">
        <v>208</v>
      </c>
      <c r="B213" s="10" t="s">
        <v>148</v>
      </c>
      <c r="C213" s="236">
        <v>941.44572716522646</v>
      </c>
      <c r="D213" s="233"/>
      <c r="E213" s="232">
        <f t="shared" si="91"/>
        <v>0</v>
      </c>
      <c r="G213" s="10" t="s">
        <v>1593</v>
      </c>
      <c r="H213" s="151">
        <f>IF(ISNUMBER(AC57),AC57/SUM($K$43:$AK$71),0)</f>
        <v>2.6855526235984464E-4</v>
      </c>
    </row>
    <row r="214" spans="1:8" x14ac:dyDescent="0.25">
      <c r="A214" s="150">
        <v>209</v>
      </c>
      <c r="B214" s="10" t="s">
        <v>149</v>
      </c>
      <c r="C214" s="236">
        <v>12822.729125798996</v>
      </c>
      <c r="D214" s="233"/>
      <c r="E214" s="232">
        <f t="shared" si="91"/>
        <v>0</v>
      </c>
      <c r="G214" s="10" t="s">
        <v>1594</v>
      </c>
      <c r="H214" s="151">
        <f>IF(ISNUMBER(AD57),AD57/SUM($K$43:$AK$71),0)</f>
        <v>0</v>
      </c>
    </row>
    <row r="215" spans="1:8" x14ac:dyDescent="0.25">
      <c r="A215" s="150">
        <v>210</v>
      </c>
      <c r="B215" s="10" t="s">
        <v>150</v>
      </c>
      <c r="C215" s="236">
        <v>5699.4636306781813</v>
      </c>
      <c r="D215" s="233"/>
      <c r="E215" s="232">
        <f t="shared" si="91"/>
        <v>0</v>
      </c>
      <c r="G215" s="10" t="s">
        <v>1595</v>
      </c>
      <c r="H215" s="151">
        <f>IF(ISNUMBER(AE57),AE57/SUM($K$43:$AK$71),0)</f>
        <v>0</v>
      </c>
    </row>
    <row r="216" spans="1:8" x14ac:dyDescent="0.25">
      <c r="A216" s="150">
        <v>211</v>
      </c>
      <c r="B216" s="10" t="s">
        <v>151</v>
      </c>
      <c r="C216" s="236">
        <v>180.76181643677401</v>
      </c>
      <c r="D216" s="233"/>
      <c r="E216" s="232">
        <f t="shared" si="91"/>
        <v>0</v>
      </c>
      <c r="G216" s="10" t="s">
        <v>530</v>
      </c>
      <c r="H216" s="151">
        <f>IF(ISNUMBER(K58),K58/SUM($K$43:$AK$71),0)</f>
        <v>5.0440506044123175E-4</v>
      </c>
    </row>
    <row r="217" spans="1:8" x14ac:dyDescent="0.25">
      <c r="A217" s="150">
        <v>212</v>
      </c>
      <c r="B217" s="10" t="s">
        <v>152</v>
      </c>
      <c r="C217" s="236">
        <v>4053.0180742797575</v>
      </c>
      <c r="D217" s="233"/>
      <c r="E217" s="232">
        <f t="shared" si="91"/>
        <v>0</v>
      </c>
      <c r="G217" s="10" t="s">
        <v>458</v>
      </c>
      <c r="H217" s="151">
        <f>IF(ISNUMBER(L58),L58/SUM($K$43:$AK$71),0)</f>
        <v>2.4121865618794099E-3</v>
      </c>
    </row>
    <row r="218" spans="1:8" x14ac:dyDescent="0.25">
      <c r="A218" s="150">
        <v>213</v>
      </c>
      <c r="B218" s="10" t="s">
        <v>153</v>
      </c>
      <c r="C218" s="236">
        <v>0</v>
      </c>
      <c r="D218" s="233"/>
      <c r="E218" s="232" t="e">
        <f t="shared" si="91"/>
        <v>#DIV/0!</v>
      </c>
      <c r="G218" s="10" t="s">
        <v>459</v>
      </c>
      <c r="H218" s="151">
        <f>IF(ISNUMBER(M58),M58/SUM($K$43:$AK$71),0)</f>
        <v>6.339498640879411E-3</v>
      </c>
    </row>
    <row r="219" spans="1:8" x14ac:dyDescent="0.25">
      <c r="A219" s="150">
        <v>214</v>
      </c>
      <c r="B219" s="10" t="s">
        <v>154</v>
      </c>
      <c r="C219" s="236">
        <v>0</v>
      </c>
      <c r="D219" s="233"/>
      <c r="E219" s="232" t="e">
        <f t="shared" si="91"/>
        <v>#DIV/0!</v>
      </c>
      <c r="G219" s="10" t="s">
        <v>460</v>
      </c>
      <c r="H219" s="151">
        <f>IF(ISNUMBER(N58),N58/SUM($K$43:$AK$71),0)</f>
        <v>8.6892961181523759E-3</v>
      </c>
    </row>
    <row r="220" spans="1:8" x14ac:dyDescent="0.25">
      <c r="A220" s="150">
        <v>215</v>
      </c>
      <c r="B220" s="10" t="s">
        <v>155</v>
      </c>
      <c r="C220" s="236">
        <v>11305.158678955358</v>
      </c>
      <c r="D220" s="233"/>
      <c r="E220" s="232">
        <f t="shared" si="91"/>
        <v>0</v>
      </c>
      <c r="G220" s="10" t="s">
        <v>461</v>
      </c>
      <c r="H220" s="151">
        <f>IF(ISNUMBER(O58),O58/SUM($K$43:$AK$71),0)</f>
        <v>5.840171029217741E-3</v>
      </c>
    </row>
    <row r="221" spans="1:8" x14ac:dyDescent="0.25">
      <c r="A221" s="150">
        <v>216</v>
      </c>
      <c r="B221" s="10" t="s">
        <v>156</v>
      </c>
      <c r="C221" s="236">
        <v>6830.4457057803002</v>
      </c>
      <c r="D221" s="233"/>
      <c r="E221" s="232">
        <f t="shared" si="91"/>
        <v>0</v>
      </c>
      <c r="G221" s="10" t="s">
        <v>462</v>
      </c>
      <c r="H221" s="151">
        <f>IF(ISNUMBER(P58),P58/SUM($K$43:$AK$71),0)</f>
        <v>2.2489435382906757E-3</v>
      </c>
    </row>
    <row r="222" spans="1:8" x14ac:dyDescent="0.25">
      <c r="A222" s="150">
        <v>217</v>
      </c>
      <c r="B222" s="10" t="s">
        <v>157</v>
      </c>
      <c r="C222" s="236">
        <v>16464.604634765525</v>
      </c>
      <c r="D222" s="233"/>
      <c r="E222" s="232">
        <f t="shared" si="91"/>
        <v>0</v>
      </c>
      <c r="G222" s="10" t="s">
        <v>463</v>
      </c>
      <c r="H222" s="151">
        <f>IF(ISNUMBER(Q58),Q58/SUM($K$43:$AK$71),0)</f>
        <v>5.1500168066513749E-4</v>
      </c>
    </row>
    <row r="223" spans="1:8" x14ac:dyDescent="0.25">
      <c r="A223" s="150">
        <v>218</v>
      </c>
      <c r="B223" s="10" t="s">
        <v>158</v>
      </c>
      <c r="C223" s="236">
        <v>265.14621982955572</v>
      </c>
      <c r="D223" s="233"/>
      <c r="E223" s="232">
        <f t="shared" si="91"/>
        <v>0</v>
      </c>
      <c r="G223" s="10" t="s">
        <v>464</v>
      </c>
      <c r="H223" s="151">
        <f>IF(ISNUMBER(R58),R58/SUM($K$43:$AK$71),0)</f>
        <v>4.4794291841040888E-5</v>
      </c>
    </row>
    <row r="224" spans="1:8" x14ac:dyDescent="0.25">
      <c r="A224" s="150">
        <v>219</v>
      </c>
      <c r="B224" s="10" t="s">
        <v>711</v>
      </c>
      <c r="C224" s="236">
        <v>1418.0829526369057</v>
      </c>
      <c r="D224" s="233"/>
      <c r="E224" s="232">
        <f t="shared" si="91"/>
        <v>0</v>
      </c>
      <c r="G224" s="10" t="s">
        <v>465</v>
      </c>
      <c r="H224" s="151">
        <f>IF(ISNUMBER(S58),S58/SUM($K$43:$AK$71),0)</f>
        <v>0</v>
      </c>
    </row>
    <row r="225" spans="1:8" x14ac:dyDescent="0.25">
      <c r="A225" s="150">
        <v>220</v>
      </c>
      <c r="B225" s="10" t="s">
        <v>712</v>
      </c>
      <c r="C225" s="236">
        <v>440.07061758421997</v>
      </c>
      <c r="D225" s="233"/>
      <c r="E225" s="232">
        <f t="shared" si="91"/>
        <v>0</v>
      </c>
      <c r="G225" s="10" t="s">
        <v>466</v>
      </c>
      <c r="H225" s="151">
        <f>IF(ISNUMBER(T58),T58/SUM($K$43:$AK$71),0)</f>
        <v>0</v>
      </c>
    </row>
    <row r="226" spans="1:8" x14ac:dyDescent="0.25">
      <c r="A226" s="150">
        <v>221</v>
      </c>
      <c r="B226" s="10" t="s">
        <v>713</v>
      </c>
      <c r="C226" s="236">
        <v>810700.12501891225</v>
      </c>
      <c r="D226" s="233"/>
      <c r="E226" s="232">
        <f t="shared" si="91"/>
        <v>0</v>
      </c>
      <c r="G226" s="10" t="s">
        <v>467</v>
      </c>
      <c r="H226" s="151">
        <f>IF(ISNUMBER(U58),U58/SUM($K$43:$AK$71),0)</f>
        <v>0</v>
      </c>
    </row>
    <row r="227" spans="1:8" x14ac:dyDescent="0.25">
      <c r="A227" s="150">
        <v>222</v>
      </c>
      <c r="B227" s="10" t="s">
        <v>714</v>
      </c>
      <c r="C227" s="236">
        <v>184007.8139515392</v>
      </c>
      <c r="D227" s="233"/>
      <c r="E227" s="232">
        <f t="shared" si="91"/>
        <v>0</v>
      </c>
      <c r="G227" s="10" t="s">
        <v>531</v>
      </c>
      <c r="H227" s="151">
        <f>IF(ISNUMBER(V58),V58/SUM($K$43:$AK$71),0)</f>
        <v>0</v>
      </c>
    </row>
    <row r="228" spans="1:8" x14ac:dyDescent="0.25">
      <c r="A228" s="150">
        <v>223</v>
      </c>
      <c r="B228" s="10" t="s">
        <v>715</v>
      </c>
      <c r="C228" s="236">
        <v>20628.911724683374</v>
      </c>
      <c r="D228" s="233"/>
      <c r="E228" s="232">
        <f t="shared" si="91"/>
        <v>0</v>
      </c>
      <c r="G228" s="10" t="s">
        <v>532</v>
      </c>
      <c r="H228" s="151">
        <f>IF(ISNUMBER(W58),W58/SUM($K$43:$AK$71),0)</f>
        <v>0</v>
      </c>
    </row>
    <row r="229" spans="1:8" x14ac:dyDescent="0.25">
      <c r="A229" s="150">
        <v>224</v>
      </c>
      <c r="B229" s="10" t="s">
        <v>716</v>
      </c>
      <c r="C229" s="236">
        <v>9356.8733377227254</v>
      </c>
      <c r="D229" s="233"/>
      <c r="E229" s="232">
        <f t="shared" si="91"/>
        <v>0</v>
      </c>
      <c r="G229" s="10" t="s">
        <v>1067</v>
      </c>
      <c r="H229" s="151">
        <f>IF(ISNUMBER(X58),X58/SUM($K$43:$AK$71),0)</f>
        <v>3.6314532184265739E-4</v>
      </c>
    </row>
    <row r="230" spans="1:8" x14ac:dyDescent="0.25">
      <c r="A230" s="150">
        <v>225</v>
      </c>
      <c r="B230" s="10" t="s">
        <v>1021</v>
      </c>
      <c r="C230" s="236">
        <v>326977.05651616037</v>
      </c>
      <c r="D230" s="233"/>
      <c r="E230" s="232">
        <f t="shared" si="91"/>
        <v>0</v>
      </c>
      <c r="G230" s="10" t="s">
        <v>1596</v>
      </c>
      <c r="H230" s="151">
        <f>IF(ISNUMBER(Y58),Y58/SUM($K$43:$AK$71),0)</f>
        <v>1.7440713256020174E-3</v>
      </c>
    </row>
    <row r="231" spans="1:8" x14ac:dyDescent="0.25">
      <c r="A231" s="150">
        <v>226</v>
      </c>
      <c r="B231" s="10" t="s">
        <v>1022</v>
      </c>
      <c r="C231" s="236">
        <v>20102.178472900472</v>
      </c>
      <c r="D231" s="233"/>
      <c r="E231" s="232">
        <f t="shared" si="91"/>
        <v>0</v>
      </c>
      <c r="G231" s="10" t="s">
        <v>1597</v>
      </c>
      <c r="H231" s="151">
        <f>IF(ISNUMBER(Z58),Z58/SUM($K$43:$AK$71),0)</f>
        <v>3.9145841309940433E-3</v>
      </c>
    </row>
    <row r="232" spans="1:8" x14ac:dyDescent="0.25">
      <c r="A232" s="150">
        <v>227</v>
      </c>
      <c r="B232" s="10" t="s">
        <v>1123</v>
      </c>
      <c r="C232" s="236">
        <v>21326.051410858061</v>
      </c>
      <c r="D232" s="233"/>
      <c r="E232" s="232">
        <f t="shared" si="91"/>
        <v>0</v>
      </c>
      <c r="G232" s="10" t="s">
        <v>1598</v>
      </c>
      <c r="H232" s="151">
        <f>IF(ISNUMBER(AA58),AA58/SUM($K$43:$AK$71),0)</f>
        <v>4.9384627901928749E-3</v>
      </c>
    </row>
    <row r="233" spans="1:8" x14ac:dyDescent="0.25">
      <c r="A233" s="150">
        <v>228</v>
      </c>
      <c r="B233" s="10" t="s">
        <v>1124</v>
      </c>
      <c r="C233" s="236">
        <v>13483.782023895303</v>
      </c>
      <c r="D233" s="233"/>
      <c r="E233" s="232">
        <f t="shared" si="91"/>
        <v>0</v>
      </c>
      <c r="G233" s="10" t="s">
        <v>1599</v>
      </c>
      <c r="H233" s="151">
        <f>IF(ISNUMBER(AB58),AB58/SUM($K$43:$AK$71),0)</f>
        <v>3.6753159473939786E-3</v>
      </c>
    </row>
    <row r="234" spans="1:8" x14ac:dyDescent="0.25">
      <c r="A234" s="150">
        <v>229</v>
      </c>
      <c r="B234" s="10" t="s">
        <v>1125</v>
      </c>
      <c r="C234" s="236">
        <v>16365.725760498959</v>
      </c>
      <c r="D234" s="233"/>
      <c r="E234" s="232">
        <f t="shared" si="91"/>
        <v>0</v>
      </c>
      <c r="G234" s="10" t="s">
        <v>1600</v>
      </c>
      <c r="H234" s="151">
        <f>IF(ISNUMBER(AC58),AC58/SUM($K$43:$AK$71),0)</f>
        <v>1.5692741452516818E-3</v>
      </c>
    </row>
    <row r="235" spans="1:8" x14ac:dyDescent="0.25">
      <c r="A235" s="150">
        <v>230</v>
      </c>
      <c r="B235" s="10" t="s">
        <v>1126</v>
      </c>
      <c r="C235" s="236">
        <v>13731.233865601</v>
      </c>
      <c r="D235" s="233"/>
      <c r="E235" s="232">
        <f t="shared" si="91"/>
        <v>0</v>
      </c>
      <c r="G235" s="10" t="s">
        <v>1601</v>
      </c>
      <c r="H235" s="151">
        <f>IF(ISNUMBER(AD58),AD58/SUM($K$43:$AK$71),0)</f>
        <v>3.6147261259239646E-4</v>
      </c>
    </row>
    <row r="236" spans="1:8" x14ac:dyDescent="0.25">
      <c r="A236" s="150">
        <v>231</v>
      </c>
      <c r="B236" s="10" t="s">
        <v>717</v>
      </c>
      <c r="C236" s="236">
        <v>0</v>
      </c>
      <c r="D236" s="233"/>
      <c r="E236" s="232" t="e">
        <f t="shared" si="91"/>
        <v>#DIV/0!</v>
      </c>
      <c r="G236" s="10" t="s">
        <v>1602</v>
      </c>
      <c r="H236" s="151">
        <f>IF(ISNUMBER(AE58),AE58/SUM($K$43:$AK$71),0)</f>
        <v>1.2828807498561029E-5</v>
      </c>
    </row>
    <row r="237" spans="1:8" x14ac:dyDescent="0.25">
      <c r="A237" s="150">
        <v>232</v>
      </c>
      <c r="B237" s="10" t="s">
        <v>718</v>
      </c>
      <c r="C237" s="236">
        <v>0</v>
      </c>
      <c r="D237" s="233"/>
      <c r="E237" s="232" t="e">
        <f t="shared" si="91"/>
        <v>#DIV/0!</v>
      </c>
      <c r="G237" s="10" t="s">
        <v>1603</v>
      </c>
      <c r="H237" s="151">
        <f>IF(ISNUMBER(AF58),AF58/SUM($K$43:$AK$71),0)</f>
        <v>0</v>
      </c>
    </row>
    <row r="238" spans="1:8" x14ac:dyDescent="0.25">
      <c r="A238" s="150">
        <v>233</v>
      </c>
      <c r="B238" s="10" t="s">
        <v>159</v>
      </c>
      <c r="C238" s="236">
        <v>8077.3819757080491</v>
      </c>
      <c r="D238" s="233"/>
      <c r="E238" s="232">
        <f t="shared" si="91"/>
        <v>0</v>
      </c>
      <c r="G238" s="10" t="s">
        <v>533</v>
      </c>
      <c r="H238" s="151">
        <f>IF(ISNUMBER(K59),K59/SUM($K$43:$AK$71),0)</f>
        <v>4.4162220316977692E-4</v>
      </c>
    </row>
    <row r="239" spans="1:8" x14ac:dyDescent="0.25">
      <c r="A239" s="150">
        <v>234</v>
      </c>
      <c r="B239" s="10" t="s">
        <v>160</v>
      </c>
      <c r="C239" s="236">
        <v>1709.32674261478</v>
      </c>
      <c r="D239" s="233"/>
      <c r="E239" s="232">
        <f t="shared" si="91"/>
        <v>0</v>
      </c>
      <c r="G239" s="10" t="s">
        <v>468</v>
      </c>
      <c r="H239" s="151">
        <f>IF(ISNUMBER(L59),L59/SUM($K$43:$AK$71),0)</f>
        <v>2.0920685310618792E-3</v>
      </c>
    </row>
    <row r="240" spans="1:8" x14ac:dyDescent="0.25">
      <c r="A240" s="150">
        <v>235</v>
      </c>
      <c r="B240" s="10" t="s">
        <v>161</v>
      </c>
      <c r="C240" s="236">
        <v>42.445988044739252</v>
      </c>
      <c r="D240" s="233"/>
      <c r="E240" s="232">
        <f t="shared" si="91"/>
        <v>0</v>
      </c>
      <c r="G240" s="10" t="s">
        <v>469</v>
      </c>
      <c r="H240" s="151">
        <f>IF(ISNUMBER(M59),M59/SUM($K$43:$AK$71),0)</f>
        <v>5.7165661896357994E-3</v>
      </c>
    </row>
    <row r="241" spans="1:8" x14ac:dyDescent="0.25">
      <c r="A241" s="150">
        <v>236</v>
      </c>
      <c r="B241" s="10" t="s">
        <v>162</v>
      </c>
      <c r="C241" s="236">
        <v>2962.7718146972775</v>
      </c>
      <c r="D241" s="233"/>
      <c r="E241" s="232">
        <f t="shared" si="91"/>
        <v>0</v>
      </c>
      <c r="G241" s="10" t="s">
        <v>470</v>
      </c>
      <c r="H241" s="151">
        <f>IF(ISNUMBER(N59),N59/SUM($K$43:$AK$71),0)</f>
        <v>8.4663683766329993E-3</v>
      </c>
    </row>
    <row r="242" spans="1:8" x14ac:dyDescent="0.25">
      <c r="A242" s="150">
        <v>237</v>
      </c>
      <c r="B242" s="10" t="s">
        <v>163</v>
      </c>
      <c r="C242" s="236">
        <v>15057.075767679575</v>
      </c>
      <c r="D242" s="233"/>
      <c r="E242" s="232">
        <f t="shared" si="91"/>
        <v>0</v>
      </c>
      <c r="G242" s="10" t="s">
        <v>471</v>
      </c>
      <c r="H242" s="151">
        <f>IF(ISNUMBER(O59),O59/SUM($K$43:$AK$71),0)</f>
        <v>6.4165121039413868E-3</v>
      </c>
    </row>
    <row r="243" spans="1:8" x14ac:dyDescent="0.25">
      <c r="A243" s="150">
        <v>238</v>
      </c>
      <c r="B243" s="10" t="s">
        <v>164</v>
      </c>
      <c r="C243" s="236">
        <v>4127.4430088652907</v>
      </c>
      <c r="D243" s="233"/>
      <c r="E243" s="232">
        <f t="shared" si="91"/>
        <v>0</v>
      </c>
      <c r="G243" s="10" t="s">
        <v>472</v>
      </c>
      <c r="H243" s="151">
        <f>IF(ISNUMBER(P59),P59/SUM($K$43:$AK$71),0)</f>
        <v>2.8205445859898993E-3</v>
      </c>
    </row>
    <row r="244" spans="1:8" x14ac:dyDescent="0.25">
      <c r="A244" s="150">
        <v>239</v>
      </c>
      <c r="B244" s="10" t="s">
        <v>165</v>
      </c>
      <c r="C244" s="236">
        <v>5315.4022382813728</v>
      </c>
      <c r="D244" s="233"/>
      <c r="E244" s="232">
        <f t="shared" si="91"/>
        <v>0</v>
      </c>
      <c r="G244" s="10" t="s">
        <v>473</v>
      </c>
      <c r="H244" s="151">
        <f>IF(ISNUMBER(Q59),Q59/SUM($K$43:$AK$71),0)</f>
        <v>7.7536472569030631E-4</v>
      </c>
    </row>
    <row r="245" spans="1:8" x14ac:dyDescent="0.25">
      <c r="A245" s="150">
        <v>240</v>
      </c>
      <c r="B245" s="10" t="s">
        <v>166</v>
      </c>
      <c r="C245" s="236">
        <v>0</v>
      </c>
      <c r="D245" s="233"/>
      <c r="E245" s="232" t="e">
        <f t="shared" si="91"/>
        <v>#DIV/0!</v>
      </c>
      <c r="G245" s="10" t="s">
        <v>474</v>
      </c>
      <c r="H245" s="151">
        <f>IF(ISNUMBER(R59),R59/SUM($K$43:$AK$71),0)</f>
        <v>1.0821644481341759E-4</v>
      </c>
    </row>
    <row r="246" spans="1:8" x14ac:dyDescent="0.25">
      <c r="A246" s="150">
        <v>241</v>
      </c>
      <c r="B246" s="10" t="s">
        <v>167</v>
      </c>
      <c r="C246" s="236">
        <v>2243.9502868652348</v>
      </c>
      <c r="D246" s="233"/>
      <c r="E246" s="232">
        <f t="shared" si="91"/>
        <v>0</v>
      </c>
      <c r="G246" s="10" t="s">
        <v>475</v>
      </c>
      <c r="H246" s="151">
        <f>IF(ISNUMBER(S59),S59/SUM($K$43:$AK$71),0)</f>
        <v>0</v>
      </c>
    </row>
    <row r="247" spans="1:8" x14ac:dyDescent="0.25">
      <c r="A247" s="150">
        <v>242</v>
      </c>
      <c r="B247" s="10" t="s">
        <v>168</v>
      </c>
      <c r="C247" s="236">
        <v>7413.6798052976328</v>
      </c>
      <c r="D247" s="233"/>
      <c r="E247" s="232">
        <f t="shared" si="91"/>
        <v>0</v>
      </c>
      <c r="G247" s="10" t="s">
        <v>476</v>
      </c>
      <c r="H247" s="151">
        <f>IF(ISNUMBER(T59),T59/SUM($K$43:$AK$71),0)</f>
        <v>0</v>
      </c>
    </row>
    <row r="248" spans="1:8" x14ac:dyDescent="0.25">
      <c r="A248" s="150">
        <v>243</v>
      </c>
      <c r="B248" s="10" t="s">
        <v>169</v>
      </c>
      <c r="C248" s="236">
        <v>668.493412216195</v>
      </c>
      <c r="D248" s="233"/>
      <c r="E248" s="232">
        <f t="shared" si="91"/>
        <v>0</v>
      </c>
      <c r="G248" s="10" t="s">
        <v>477</v>
      </c>
      <c r="H248" s="151">
        <f>IF(ISNUMBER(U59),U59/SUM($K$43:$AK$71),0)</f>
        <v>0</v>
      </c>
    </row>
    <row r="249" spans="1:8" x14ac:dyDescent="0.25">
      <c r="A249" s="150">
        <v>244</v>
      </c>
      <c r="B249" s="10" t="s">
        <v>170</v>
      </c>
      <c r="C249" s="236">
        <v>1147.1882633056675</v>
      </c>
      <c r="D249" s="233"/>
      <c r="E249" s="232">
        <f t="shared" si="91"/>
        <v>0</v>
      </c>
      <c r="G249" s="10" t="s">
        <v>534</v>
      </c>
      <c r="H249" s="151">
        <f>IF(ISNUMBER(V59),V59/SUM($K$43:$AK$71),0)</f>
        <v>0</v>
      </c>
    </row>
    <row r="250" spans="1:8" x14ac:dyDescent="0.25">
      <c r="A250" s="150">
        <v>245</v>
      </c>
      <c r="B250" s="10" t="s">
        <v>171</v>
      </c>
      <c r="C250" s="236">
        <v>0</v>
      </c>
      <c r="D250" s="233"/>
      <c r="E250" s="232" t="e">
        <f t="shared" si="91"/>
        <v>#DIV/0!</v>
      </c>
      <c r="G250" s="10" t="s">
        <v>535</v>
      </c>
      <c r="H250" s="151">
        <f>IF(ISNUMBER(W59),W59/SUM($K$43:$AK$71),0)</f>
        <v>0</v>
      </c>
    </row>
    <row r="251" spans="1:8" x14ac:dyDescent="0.25">
      <c r="A251" s="150">
        <v>246</v>
      </c>
      <c r="B251" s="10" t="s">
        <v>172</v>
      </c>
      <c r="C251" s="236">
        <v>0</v>
      </c>
      <c r="D251" s="233"/>
      <c r="E251" s="232" t="e">
        <f t="shared" si="91"/>
        <v>#DIV/0!</v>
      </c>
      <c r="G251" s="10" t="s">
        <v>1068</v>
      </c>
      <c r="H251" s="151">
        <f>IF(ISNUMBER(X59),X59/SUM($K$43:$AK$71),0)</f>
        <v>0</v>
      </c>
    </row>
    <row r="252" spans="1:8" x14ac:dyDescent="0.25">
      <c r="A252" s="150">
        <v>247</v>
      </c>
      <c r="B252" s="10" t="s">
        <v>173</v>
      </c>
      <c r="C252" s="236">
        <v>2748.2922089845001</v>
      </c>
      <c r="D252" s="233"/>
      <c r="E252" s="232">
        <f t="shared" si="91"/>
        <v>0</v>
      </c>
      <c r="G252" s="10" t="s">
        <v>1604</v>
      </c>
      <c r="H252" s="151">
        <f>IF(ISNUMBER(Y59),Y59/SUM($K$43:$AK$71),0)</f>
        <v>6.5135322436919957E-4</v>
      </c>
    </row>
    <row r="253" spans="1:8" x14ac:dyDescent="0.25">
      <c r="A253" s="150">
        <v>248</v>
      </c>
      <c r="B253" s="10" t="s">
        <v>174</v>
      </c>
      <c r="C253" s="236">
        <v>0</v>
      </c>
      <c r="D253" s="233"/>
      <c r="E253" s="232" t="e">
        <f t="shared" si="91"/>
        <v>#DIV/0!</v>
      </c>
      <c r="G253" s="10" t="s">
        <v>1605</v>
      </c>
      <c r="H253" s="151">
        <f>IF(ISNUMBER(Z59),Z59/SUM($K$43:$AK$71),0)</f>
        <v>2.5204657970179008E-3</v>
      </c>
    </row>
    <row r="254" spans="1:8" x14ac:dyDescent="0.25">
      <c r="A254" s="150">
        <v>249</v>
      </c>
      <c r="B254" s="10" t="s">
        <v>175</v>
      </c>
      <c r="C254" s="236">
        <v>8046.318874561146</v>
      </c>
      <c r="D254" s="233"/>
      <c r="E254" s="232">
        <f t="shared" si="91"/>
        <v>0</v>
      </c>
      <c r="G254" s="10" t="s">
        <v>1606</v>
      </c>
      <c r="H254" s="151">
        <f>IF(ISNUMBER(AA59),AA59/SUM($K$43:$AK$71),0)</f>
        <v>5.006387183779118E-3</v>
      </c>
    </row>
    <row r="255" spans="1:8" x14ac:dyDescent="0.25">
      <c r="A255" s="150">
        <v>250</v>
      </c>
      <c r="B255" s="10" t="s">
        <v>176</v>
      </c>
      <c r="C255" s="236">
        <v>10490.921993392851</v>
      </c>
      <c r="D255" s="233"/>
      <c r="E255" s="232">
        <f t="shared" si="91"/>
        <v>0</v>
      </c>
      <c r="G255" s="10" t="s">
        <v>1607</v>
      </c>
      <c r="H255" s="151">
        <f>IF(ISNUMBER(AB59),AB59/SUM($K$43:$AK$71),0)</f>
        <v>5.7727610476440453E-3</v>
      </c>
    </row>
    <row r="256" spans="1:8" x14ac:dyDescent="0.25">
      <c r="A256" s="150">
        <v>251</v>
      </c>
      <c r="B256" s="10" t="s">
        <v>719</v>
      </c>
      <c r="C256" s="236">
        <v>585067.06248992682</v>
      </c>
      <c r="D256" s="233"/>
      <c r="E256" s="232">
        <f t="shared" si="91"/>
        <v>0</v>
      </c>
      <c r="G256" s="10" t="s">
        <v>1608</v>
      </c>
      <c r="H256" s="151">
        <f>IF(ISNUMBER(AC59),AC59/SUM($K$43:$AK$71),0)</f>
        <v>3.9394914996508249E-3</v>
      </c>
    </row>
    <row r="257" spans="1:8" x14ac:dyDescent="0.25">
      <c r="A257" s="150">
        <v>252</v>
      </c>
      <c r="B257" s="10" t="s">
        <v>720</v>
      </c>
      <c r="C257" s="236">
        <v>586346.10237661749</v>
      </c>
      <c r="D257" s="233"/>
      <c r="E257" s="232">
        <f t="shared" si="91"/>
        <v>0</v>
      </c>
      <c r="G257" s="10" t="s">
        <v>1609</v>
      </c>
      <c r="H257" s="151">
        <f>IF(ISNUMBER(AD59),AD59/SUM($K$43:$AK$71),0)</f>
        <v>1.6521278555170237E-3</v>
      </c>
    </row>
    <row r="258" spans="1:8" x14ac:dyDescent="0.25">
      <c r="A258" s="150">
        <v>253</v>
      </c>
      <c r="B258" s="10" t="s">
        <v>721</v>
      </c>
      <c r="C258" s="236">
        <v>2597411.8403390949</v>
      </c>
      <c r="D258" s="233"/>
      <c r="E258" s="232">
        <f t="shared" si="91"/>
        <v>0</v>
      </c>
      <c r="G258" s="10" t="s">
        <v>1610</v>
      </c>
      <c r="H258" s="151">
        <f>IF(ISNUMBER(AE59),AE59/SUM($K$43:$AK$71),0)</f>
        <v>3.4739121804448509E-4</v>
      </c>
    </row>
    <row r="259" spans="1:8" x14ac:dyDescent="0.25">
      <c r="A259" s="150">
        <v>254</v>
      </c>
      <c r="B259" s="10" t="s">
        <v>722</v>
      </c>
      <c r="C259" s="236">
        <v>2506137.8275341974</v>
      </c>
      <c r="D259" s="233"/>
      <c r="E259" s="232">
        <f t="shared" si="91"/>
        <v>0</v>
      </c>
      <c r="G259" s="10" t="s">
        <v>1611</v>
      </c>
      <c r="H259" s="151">
        <f>IF(ISNUMBER(AF59),AF59/SUM($K$43:$AK$71),0)</f>
        <v>2.0772232847179255E-5</v>
      </c>
    </row>
    <row r="260" spans="1:8" x14ac:dyDescent="0.25">
      <c r="A260" s="150">
        <v>255</v>
      </c>
      <c r="B260" s="10" t="s">
        <v>723</v>
      </c>
      <c r="C260" s="236">
        <v>3462603.1309508705</v>
      </c>
      <c r="D260" s="233"/>
      <c r="E260" s="232">
        <f t="shared" si="91"/>
        <v>0</v>
      </c>
      <c r="G260" s="10" t="s">
        <v>1612</v>
      </c>
      <c r="H260" s="151">
        <f>IF(ISNUMBER(AG59),AG59/SUM($K$43:$AK$71),0)</f>
        <v>0</v>
      </c>
    </row>
    <row r="261" spans="1:8" x14ac:dyDescent="0.25">
      <c r="A261" s="150">
        <v>256</v>
      </c>
      <c r="B261" s="10" t="s">
        <v>724</v>
      </c>
      <c r="C261" s="236">
        <v>2776675.8527644575</v>
      </c>
      <c r="D261" s="233"/>
      <c r="E261" s="232">
        <f t="shared" si="91"/>
        <v>0</v>
      </c>
      <c r="G261" s="10" t="s">
        <v>536</v>
      </c>
      <c r="H261" s="151">
        <f>IF(ISNUMBER(K60),K60/SUM($K$43:$AK$71),0)</f>
        <v>3.7770223326186593E-4</v>
      </c>
    </row>
    <row r="262" spans="1:8" x14ac:dyDescent="0.25">
      <c r="A262" s="150">
        <v>257</v>
      </c>
      <c r="B262" s="10" t="s">
        <v>1023</v>
      </c>
      <c r="C262" s="236">
        <v>1522028.902903392</v>
      </c>
      <c r="D262" s="233"/>
      <c r="E262" s="232">
        <f t="shared" si="91"/>
        <v>0</v>
      </c>
      <c r="G262" s="10" t="s">
        <v>478</v>
      </c>
      <c r="H262" s="151">
        <f>IF(ISNUMBER(L60),L60/SUM($K$43:$AK$71),0)</f>
        <v>1.7046404309498477E-3</v>
      </c>
    </row>
    <row r="263" spans="1:8" x14ac:dyDescent="0.25">
      <c r="A263" s="150">
        <v>258</v>
      </c>
      <c r="B263" s="10" t="s">
        <v>1024</v>
      </c>
      <c r="C263" s="236">
        <v>1277157.6127176569</v>
      </c>
      <c r="D263" s="233"/>
      <c r="E263" s="232">
        <f t="shared" ref="E263:E326" si="92">D263/C263</f>
        <v>0</v>
      </c>
      <c r="G263" s="10" t="s">
        <v>479</v>
      </c>
      <c r="H263" s="151">
        <f>IF(ISNUMBER(M60),M60/SUM($K$43:$AK$71),0)</f>
        <v>4.7190372450646584E-3</v>
      </c>
    </row>
    <row r="264" spans="1:8" x14ac:dyDescent="0.25">
      <c r="A264" s="150">
        <v>259</v>
      </c>
      <c r="B264" s="10" t="s">
        <v>1025</v>
      </c>
      <c r="C264" s="236">
        <v>105375.59149530157</v>
      </c>
      <c r="D264" s="233"/>
      <c r="E264" s="232">
        <f t="shared" si="92"/>
        <v>0</v>
      </c>
      <c r="G264" s="10" t="s">
        <v>480</v>
      </c>
      <c r="H264" s="151">
        <f>IF(ISNUMBER(N60),N60/SUM($K$43:$AK$71),0)</f>
        <v>7.3125528768467904E-3</v>
      </c>
    </row>
    <row r="265" spans="1:8" x14ac:dyDescent="0.25">
      <c r="A265" s="150">
        <v>260</v>
      </c>
      <c r="B265" s="10" t="s">
        <v>1026</v>
      </c>
      <c r="C265" s="236">
        <v>86702.731113387403</v>
      </c>
      <c r="D265" s="233"/>
      <c r="E265" s="232">
        <f t="shared" si="92"/>
        <v>0</v>
      </c>
      <c r="G265" s="10" t="s">
        <v>481</v>
      </c>
      <c r="H265" s="151">
        <f>IF(ISNUMBER(O60),O60/SUM($K$43:$AK$71),0)</f>
        <v>6.2141092602373271E-3</v>
      </c>
    </row>
    <row r="266" spans="1:8" x14ac:dyDescent="0.25">
      <c r="A266" s="150">
        <v>261</v>
      </c>
      <c r="B266" s="10" t="s">
        <v>1127</v>
      </c>
      <c r="C266" s="236">
        <v>2740.9978127442</v>
      </c>
      <c r="D266" s="233"/>
      <c r="E266" s="232">
        <f t="shared" si="92"/>
        <v>0</v>
      </c>
      <c r="G266" s="10" t="s">
        <v>482</v>
      </c>
      <c r="H266" s="151">
        <f>IF(ISNUMBER(P60),P60/SUM($K$43:$AK$71),0)</f>
        <v>3.0972945385422052E-3</v>
      </c>
    </row>
    <row r="267" spans="1:8" x14ac:dyDescent="0.25">
      <c r="A267" s="150">
        <v>262</v>
      </c>
      <c r="B267" s="10" t="s">
        <v>1128</v>
      </c>
      <c r="C267" s="236">
        <v>0</v>
      </c>
      <c r="D267" s="233"/>
      <c r="E267" s="232" t="e">
        <f t="shared" si="92"/>
        <v>#DIV/0!</v>
      </c>
      <c r="G267" s="10" t="s">
        <v>483</v>
      </c>
      <c r="H267" s="151">
        <f>IF(ISNUMBER(Q60),Q60/SUM($K$43:$AK$71),0)</f>
        <v>9.9559224783486115E-4</v>
      </c>
    </row>
    <row r="268" spans="1:8" x14ac:dyDescent="0.25">
      <c r="A268" s="150">
        <v>263</v>
      </c>
      <c r="B268" s="10" t="s">
        <v>1129</v>
      </c>
      <c r="C268" s="236">
        <v>11352.227351501475</v>
      </c>
      <c r="D268" s="233"/>
      <c r="E268" s="232">
        <f t="shared" si="92"/>
        <v>0</v>
      </c>
      <c r="G268" s="10" t="s">
        <v>484</v>
      </c>
      <c r="H268" s="151">
        <f>IF(ISNUMBER(R60),R60/SUM($K$43:$AK$71),0)</f>
        <v>1.7934481135324434E-4</v>
      </c>
    </row>
    <row r="269" spans="1:8" x14ac:dyDescent="0.25">
      <c r="A269" s="150">
        <v>264</v>
      </c>
      <c r="B269" s="10" t="s">
        <v>1130</v>
      </c>
      <c r="C269" s="236">
        <v>18785.97674035604</v>
      </c>
      <c r="D269" s="233"/>
      <c r="E269" s="232">
        <f t="shared" si="92"/>
        <v>0</v>
      </c>
      <c r="G269" s="10" t="s">
        <v>485</v>
      </c>
      <c r="H269" s="151">
        <f>IF(ISNUMBER(S60),S60/SUM($K$43:$AK$71),0)</f>
        <v>0</v>
      </c>
    </row>
    <row r="270" spans="1:8" x14ac:dyDescent="0.25">
      <c r="A270" s="150">
        <v>265</v>
      </c>
      <c r="B270" s="10" t="s">
        <v>725</v>
      </c>
      <c r="C270" s="236">
        <v>145374.35074555076</v>
      </c>
      <c r="D270" s="233"/>
      <c r="E270" s="232">
        <f t="shared" si="92"/>
        <v>0</v>
      </c>
      <c r="G270" s="10" t="s">
        <v>486</v>
      </c>
      <c r="H270" s="151">
        <f>IF(ISNUMBER(T60),T60/SUM($K$43:$AK$71),0)</f>
        <v>1.0036712055610321E-6</v>
      </c>
    </row>
    <row r="271" spans="1:8" x14ac:dyDescent="0.25">
      <c r="A271" s="150">
        <v>266</v>
      </c>
      <c r="B271" s="10" t="s">
        <v>726</v>
      </c>
      <c r="C271" s="236">
        <v>50321.191362915575</v>
      </c>
      <c r="D271" s="233"/>
      <c r="E271" s="232">
        <f t="shared" si="92"/>
        <v>0</v>
      </c>
      <c r="G271" s="10" t="s">
        <v>487</v>
      </c>
      <c r="H271" s="151">
        <f>IF(ISNUMBER(U60),U60/SUM($K$43:$AK$71),0)</f>
        <v>9.0759326899242196E-7</v>
      </c>
    </row>
    <row r="272" spans="1:8" x14ac:dyDescent="0.25">
      <c r="A272" s="150">
        <v>267</v>
      </c>
      <c r="B272" s="10" t="s">
        <v>177</v>
      </c>
      <c r="C272" s="236">
        <v>1322444.2756865746</v>
      </c>
      <c r="D272" s="233"/>
      <c r="E272" s="232">
        <f t="shared" si="92"/>
        <v>0</v>
      </c>
      <c r="G272" s="10" t="s">
        <v>537</v>
      </c>
      <c r="H272" s="151">
        <f>IF(ISNUMBER(V60),V60/SUM($K$43:$AK$71),0)</f>
        <v>0</v>
      </c>
    </row>
    <row r="273" spans="1:8" x14ac:dyDescent="0.25">
      <c r="A273" s="150">
        <v>268</v>
      </c>
      <c r="B273" s="10" t="s">
        <v>178</v>
      </c>
      <c r="C273" s="236">
        <v>984949.18542698747</v>
      </c>
      <c r="D273" s="233"/>
      <c r="E273" s="232">
        <f t="shared" si="92"/>
        <v>0</v>
      </c>
      <c r="G273" s="10" t="s">
        <v>538</v>
      </c>
      <c r="H273" s="151">
        <f>IF(ISNUMBER(W60),W60/SUM($K$43:$AK$71),0)</f>
        <v>0</v>
      </c>
    </row>
    <row r="274" spans="1:8" x14ac:dyDescent="0.25">
      <c r="A274" s="150">
        <v>269</v>
      </c>
      <c r="B274" s="10" t="s">
        <v>179</v>
      </c>
      <c r="C274" s="236">
        <v>1321295.8418590792</v>
      </c>
      <c r="D274" s="233"/>
      <c r="E274" s="232">
        <f t="shared" si="92"/>
        <v>0</v>
      </c>
      <c r="G274" s="10" t="s">
        <v>1069</v>
      </c>
      <c r="H274" s="151">
        <f>IF(ISNUMBER(X60),X60/SUM($K$43:$AK$71),0)</f>
        <v>5.3742870599473038E-7</v>
      </c>
    </row>
    <row r="275" spans="1:8" x14ac:dyDescent="0.25">
      <c r="A275" s="150">
        <v>270</v>
      </c>
      <c r="B275" s="10" t="s">
        <v>180</v>
      </c>
      <c r="C275" s="236">
        <v>1285483.9286475785</v>
      </c>
      <c r="D275" s="233"/>
      <c r="E275" s="232">
        <f t="shared" si="92"/>
        <v>0</v>
      </c>
      <c r="G275" s="10" t="s">
        <v>1613</v>
      </c>
      <c r="H275" s="151">
        <f>IF(ISNUMBER(Y60),Y60/SUM($K$43:$AK$71),0)</f>
        <v>7.6204388370350058E-5</v>
      </c>
    </row>
    <row r="276" spans="1:8" x14ac:dyDescent="0.25">
      <c r="A276" s="150">
        <v>271</v>
      </c>
      <c r="B276" s="10" t="s">
        <v>181</v>
      </c>
      <c r="C276" s="236">
        <v>751612.08595933125</v>
      </c>
      <c r="D276" s="233"/>
      <c r="E276" s="232">
        <f t="shared" si="92"/>
        <v>0</v>
      </c>
      <c r="G276" s="10" t="s">
        <v>1614</v>
      </c>
      <c r="H276" s="151">
        <f>IF(ISNUMBER(Z60),Z60/SUM($K$43:$AK$71),0)</f>
        <v>8.544774682161814E-4</v>
      </c>
    </row>
    <row r="277" spans="1:8" x14ac:dyDescent="0.25">
      <c r="A277" s="150">
        <v>272</v>
      </c>
      <c r="B277" s="10" t="s">
        <v>182</v>
      </c>
      <c r="C277" s="236">
        <v>608137.07014797279</v>
      </c>
      <c r="D277" s="233"/>
      <c r="E277" s="232">
        <f t="shared" si="92"/>
        <v>0</v>
      </c>
      <c r="G277" s="10" t="s">
        <v>1615</v>
      </c>
      <c r="H277" s="151">
        <f>IF(ISNUMBER(AA60),AA60/SUM($K$43:$AK$71),0)</f>
        <v>2.7570804231307655E-3</v>
      </c>
    </row>
    <row r="278" spans="1:8" x14ac:dyDescent="0.25">
      <c r="A278" s="150">
        <v>273</v>
      </c>
      <c r="B278" s="10" t="s">
        <v>183</v>
      </c>
      <c r="C278" s="236">
        <v>48716.886325592175</v>
      </c>
      <c r="D278" s="233"/>
      <c r="E278" s="232">
        <f t="shared" si="92"/>
        <v>0</v>
      </c>
      <c r="G278" s="10" t="s">
        <v>1616</v>
      </c>
      <c r="H278" s="151">
        <f>IF(ISNUMBER(AB60),AB60/SUM($K$43:$AK$71),0)</f>
        <v>4.8779890499789248E-3</v>
      </c>
    </row>
    <row r="279" spans="1:8" x14ac:dyDescent="0.25">
      <c r="A279" s="150">
        <v>274</v>
      </c>
      <c r="B279" s="10" t="s">
        <v>184</v>
      </c>
      <c r="C279" s="236">
        <v>26915.80133325221</v>
      </c>
      <c r="D279" s="233"/>
      <c r="E279" s="232">
        <f t="shared" si="92"/>
        <v>0</v>
      </c>
      <c r="G279" s="10" t="s">
        <v>1617</v>
      </c>
      <c r="H279" s="151">
        <f>IF(ISNUMBER(AC60),AC60/SUM($K$43:$AK$71),0)</f>
        <v>5.0792359416369738E-3</v>
      </c>
    </row>
    <row r="280" spans="1:8" x14ac:dyDescent="0.25">
      <c r="A280" s="150">
        <v>275</v>
      </c>
      <c r="B280" s="10" t="s">
        <v>185</v>
      </c>
      <c r="C280" s="236">
        <v>11583.590509208629</v>
      </c>
      <c r="D280" s="233"/>
      <c r="E280" s="232">
        <f t="shared" si="92"/>
        <v>0</v>
      </c>
      <c r="G280" s="10" t="s">
        <v>1618</v>
      </c>
      <c r="H280" s="151">
        <f>IF(ISNUMBER(AD60),AD60/SUM($K$43:$AK$71),0)</f>
        <v>3.3337141946936885E-3</v>
      </c>
    </row>
    <row r="281" spans="1:8" x14ac:dyDescent="0.25">
      <c r="A281" s="150">
        <v>276</v>
      </c>
      <c r="B281" s="10" t="s">
        <v>186</v>
      </c>
      <c r="C281" s="236">
        <v>3310.9111766740098</v>
      </c>
      <c r="D281" s="233"/>
      <c r="E281" s="232">
        <f t="shared" si="92"/>
        <v>0</v>
      </c>
      <c r="G281" s="10" t="s">
        <v>1619</v>
      </c>
      <c r="H281" s="151">
        <f>IF(ISNUMBER(AE60),AE60/SUM($K$43:$AK$71),0)</f>
        <v>1.3031434570080777E-3</v>
      </c>
    </row>
    <row r="282" spans="1:8" x14ac:dyDescent="0.25">
      <c r="A282" s="150">
        <v>277</v>
      </c>
      <c r="B282" s="10" t="s">
        <v>187</v>
      </c>
      <c r="C282" s="236">
        <v>224.52115882874924</v>
      </c>
      <c r="D282" s="233"/>
      <c r="E282" s="232">
        <f t="shared" si="92"/>
        <v>0</v>
      </c>
      <c r="G282" s="10" t="s">
        <v>1620</v>
      </c>
      <c r="H282" s="151">
        <f>IF(ISNUMBER(AF60),AF60/SUM($K$43:$AK$71),0)</f>
        <v>2.5817767456075795E-4</v>
      </c>
    </row>
    <row r="283" spans="1:8" x14ac:dyDescent="0.25">
      <c r="A283" s="150">
        <v>278</v>
      </c>
      <c r="B283" s="10" t="s">
        <v>188</v>
      </c>
      <c r="C283" s="236">
        <v>0</v>
      </c>
      <c r="D283" s="233"/>
      <c r="E283" s="232" t="e">
        <f t="shared" si="92"/>
        <v>#DIV/0!</v>
      </c>
      <c r="G283" s="10" t="s">
        <v>1621</v>
      </c>
      <c r="H283" s="151">
        <f>IF(ISNUMBER(AG60),AG60/SUM($K$43:$AK$71),0)</f>
        <v>0</v>
      </c>
    </row>
    <row r="284" spans="1:8" x14ac:dyDescent="0.25">
      <c r="A284" s="150">
        <v>279</v>
      </c>
      <c r="B284" s="10" t="s">
        <v>189</v>
      </c>
      <c r="C284" s="236">
        <v>7130.6221370088515</v>
      </c>
      <c r="D284" s="233"/>
      <c r="E284" s="232">
        <f t="shared" si="92"/>
        <v>0</v>
      </c>
      <c r="G284" s="10" t="s">
        <v>1622</v>
      </c>
      <c r="H284" s="151">
        <f>IF(ISNUMBER(AH60),AH60/SUM($K$43:$AK$71),0)</f>
        <v>0</v>
      </c>
    </row>
    <row r="285" spans="1:8" x14ac:dyDescent="0.25">
      <c r="A285" s="150">
        <v>280</v>
      </c>
      <c r="B285" s="10" t="s">
        <v>190</v>
      </c>
      <c r="C285" s="236">
        <v>2071.6784203185225</v>
      </c>
      <c r="D285" s="233"/>
      <c r="E285" s="232">
        <f t="shared" si="92"/>
        <v>0</v>
      </c>
      <c r="G285" s="10" t="s">
        <v>539</v>
      </c>
      <c r="H285" s="151">
        <f>IF(ISNUMBER(K61),K61/SUM($K$43:$AK$71),0)</f>
        <v>3.2659014069826524E-4</v>
      </c>
    </row>
    <row r="286" spans="1:8" x14ac:dyDescent="0.25">
      <c r="A286" s="150">
        <v>281</v>
      </c>
      <c r="B286" s="10" t="s">
        <v>191</v>
      </c>
      <c r="C286" s="236">
        <v>219.14229537965724</v>
      </c>
      <c r="D286" s="233"/>
      <c r="E286" s="232">
        <f t="shared" si="92"/>
        <v>0</v>
      </c>
      <c r="G286" s="10" t="s">
        <v>540</v>
      </c>
      <c r="H286" s="151">
        <f>IF(ISNUMBER(L61),L61/SUM($K$43:$AK$71),0)</f>
        <v>1.418071942027122E-3</v>
      </c>
    </row>
    <row r="287" spans="1:8" x14ac:dyDescent="0.25">
      <c r="A287" s="150">
        <v>282</v>
      </c>
      <c r="B287" s="10" t="s">
        <v>192</v>
      </c>
      <c r="C287" s="236">
        <v>0</v>
      </c>
      <c r="D287" s="233"/>
      <c r="E287" s="232" t="e">
        <f t="shared" si="92"/>
        <v>#DIV/0!</v>
      </c>
      <c r="G287" s="10" t="s">
        <v>541</v>
      </c>
      <c r="H287" s="151">
        <f>IF(ISNUMBER(M61),M61/SUM($K$43:$AK$71),0)</f>
        <v>3.8106436728945702E-3</v>
      </c>
    </row>
    <row r="288" spans="1:8" x14ac:dyDescent="0.25">
      <c r="A288" s="150">
        <v>283</v>
      </c>
      <c r="B288" s="10" t="s">
        <v>193</v>
      </c>
      <c r="C288" s="236">
        <v>1409.1764656372115</v>
      </c>
      <c r="D288" s="233"/>
      <c r="E288" s="232">
        <f t="shared" si="92"/>
        <v>0</v>
      </c>
      <c r="G288" s="10" t="s">
        <v>542</v>
      </c>
      <c r="H288" s="151">
        <f>IF(ISNUMBER(N61),N61/SUM($K$43:$AK$71),0)</f>
        <v>5.8895606743169454E-3</v>
      </c>
    </row>
    <row r="289" spans="1:8" x14ac:dyDescent="0.25">
      <c r="A289" s="150">
        <v>284</v>
      </c>
      <c r="B289" s="10" t="s">
        <v>194</v>
      </c>
      <c r="C289" s="236">
        <v>1624.977994491506</v>
      </c>
      <c r="D289" s="233"/>
      <c r="E289" s="232">
        <f t="shared" si="92"/>
        <v>0</v>
      </c>
      <c r="G289" s="10" t="s">
        <v>543</v>
      </c>
      <c r="H289" s="151">
        <f>IF(ISNUMBER(O61),O61/SUM($K$43:$AK$71),0)</f>
        <v>5.4096809916871179E-3</v>
      </c>
    </row>
    <row r="290" spans="1:8" x14ac:dyDescent="0.25">
      <c r="A290" s="150">
        <v>285</v>
      </c>
      <c r="B290" s="10" t="s">
        <v>195</v>
      </c>
      <c r="C290" s="236">
        <v>760980.18819502753</v>
      </c>
      <c r="D290" s="233"/>
      <c r="E290" s="232">
        <f t="shared" si="92"/>
        <v>0</v>
      </c>
      <c r="G290" s="10" t="s">
        <v>544</v>
      </c>
      <c r="H290" s="151">
        <f>IF(ISNUMBER(P61),P61/SUM($K$43:$AK$71),0)</f>
        <v>3.1263853587725644E-3</v>
      </c>
    </row>
    <row r="291" spans="1:8" x14ac:dyDescent="0.25">
      <c r="A291" s="150">
        <v>286</v>
      </c>
      <c r="B291" s="10" t="s">
        <v>196</v>
      </c>
      <c r="C291" s="236">
        <v>682013.3836940825</v>
      </c>
      <c r="D291" s="233"/>
      <c r="E291" s="232">
        <f t="shared" si="92"/>
        <v>0</v>
      </c>
      <c r="G291" s="10" t="s">
        <v>545</v>
      </c>
      <c r="H291" s="151">
        <f>IF(ISNUMBER(Q61),Q61/SUM($K$43:$AK$71),0)</f>
        <v>1.154802492397224E-3</v>
      </c>
    </row>
    <row r="292" spans="1:8" x14ac:dyDescent="0.25">
      <c r="A292" s="150">
        <v>287</v>
      </c>
      <c r="B292" s="10" t="s">
        <v>727</v>
      </c>
      <c r="C292" s="236">
        <v>5352174.3706622124</v>
      </c>
      <c r="D292" s="233"/>
      <c r="E292" s="232">
        <f t="shared" si="92"/>
        <v>0</v>
      </c>
      <c r="G292" s="10" t="s">
        <v>546</v>
      </c>
      <c r="H292" s="151">
        <f>IF(ISNUMBER(R61),R61/SUM($K$43:$AK$71),0)</f>
        <v>2.7708737268635137E-4</v>
      </c>
    </row>
    <row r="293" spans="1:8" x14ac:dyDescent="0.25">
      <c r="A293" s="150">
        <v>288</v>
      </c>
      <c r="B293" s="10" t="s">
        <v>728</v>
      </c>
      <c r="C293" s="236">
        <v>5050280.798067865</v>
      </c>
      <c r="D293" s="233"/>
      <c r="E293" s="232">
        <f t="shared" si="92"/>
        <v>0</v>
      </c>
      <c r="G293" s="10" t="s">
        <v>547</v>
      </c>
      <c r="H293" s="151">
        <f>IF(ISNUMBER(S61),S61/SUM($K$43:$AK$71),0)</f>
        <v>0</v>
      </c>
    </row>
    <row r="294" spans="1:8" x14ac:dyDescent="0.25">
      <c r="A294" s="150">
        <v>289</v>
      </c>
      <c r="B294" s="10" t="s">
        <v>729</v>
      </c>
      <c r="C294" s="236">
        <v>11674277.704158785</v>
      </c>
      <c r="D294" s="233"/>
      <c r="E294" s="232">
        <f t="shared" si="92"/>
        <v>0</v>
      </c>
      <c r="G294" s="10" t="s">
        <v>548</v>
      </c>
      <c r="H294" s="151">
        <f>IF(ISNUMBER(T61),T61/SUM($K$43:$AK$71),0)</f>
        <v>0</v>
      </c>
    </row>
    <row r="295" spans="1:8" x14ac:dyDescent="0.25">
      <c r="A295" s="150">
        <v>290</v>
      </c>
      <c r="B295" s="10" t="s">
        <v>730</v>
      </c>
      <c r="C295" s="236">
        <v>10365102.713172082</v>
      </c>
      <c r="D295" s="233"/>
      <c r="E295" s="232">
        <f t="shared" si="92"/>
        <v>0</v>
      </c>
      <c r="G295" s="10" t="s">
        <v>549</v>
      </c>
      <c r="H295" s="151">
        <f>IF(ISNUMBER(U61),U61/SUM($K$43:$AK$71),0)</f>
        <v>0</v>
      </c>
    </row>
    <row r="296" spans="1:8" x14ac:dyDescent="0.25">
      <c r="A296" s="150">
        <v>291</v>
      </c>
      <c r="B296" s="10" t="s">
        <v>1027</v>
      </c>
      <c r="C296" s="236">
        <v>11873331.503762126</v>
      </c>
      <c r="D296" s="233"/>
      <c r="E296" s="232">
        <f t="shared" si="92"/>
        <v>0</v>
      </c>
      <c r="G296" s="10" t="s">
        <v>550</v>
      </c>
      <c r="H296" s="151">
        <f>IF(ISNUMBER(V61),V61/SUM($K$43:$AK$71),0)</f>
        <v>0</v>
      </c>
    </row>
    <row r="297" spans="1:8" x14ac:dyDescent="0.25">
      <c r="A297" s="150">
        <v>292</v>
      </c>
      <c r="B297" s="10" t="s">
        <v>1028</v>
      </c>
      <c r="C297" s="236">
        <v>10706037.894292332</v>
      </c>
      <c r="D297" s="233"/>
      <c r="E297" s="232">
        <f t="shared" si="92"/>
        <v>0</v>
      </c>
      <c r="G297" s="10" t="s">
        <v>551</v>
      </c>
      <c r="H297" s="151">
        <f>IF(ISNUMBER(W61),W61/SUM($K$43:$AK$71),0)</f>
        <v>0</v>
      </c>
    </row>
    <row r="298" spans="1:8" x14ac:dyDescent="0.25">
      <c r="A298" s="150">
        <v>293</v>
      </c>
      <c r="B298" s="10" t="s">
        <v>1029</v>
      </c>
      <c r="C298" s="236">
        <v>6114647.3158287425</v>
      </c>
      <c r="D298" s="233"/>
      <c r="E298" s="232">
        <f t="shared" si="92"/>
        <v>0</v>
      </c>
      <c r="G298" s="10" t="s">
        <v>1623</v>
      </c>
      <c r="H298" s="151">
        <f>IF(ISNUMBER(X61),X61/SUM($K$43:$AK$71),0)</f>
        <v>0</v>
      </c>
    </row>
    <row r="299" spans="1:8" x14ac:dyDescent="0.25">
      <c r="A299" s="150">
        <v>294</v>
      </c>
      <c r="B299" s="10" t="s">
        <v>1030</v>
      </c>
      <c r="C299" s="236">
        <v>5762974.3553782096</v>
      </c>
      <c r="D299" s="233"/>
      <c r="E299" s="232">
        <f t="shared" si="92"/>
        <v>0</v>
      </c>
      <c r="G299" s="10" t="s">
        <v>1624</v>
      </c>
      <c r="H299" s="151">
        <f>IF(ISNUMBER(Y61),Y61/SUM($K$43:$AK$71),0)</f>
        <v>0</v>
      </c>
    </row>
    <row r="300" spans="1:8" x14ac:dyDescent="0.25">
      <c r="A300" s="150">
        <v>295</v>
      </c>
      <c r="B300" s="10" t="s">
        <v>1031</v>
      </c>
      <c r="C300" s="236">
        <v>865366.17696648149</v>
      </c>
      <c r="D300" s="233"/>
      <c r="E300" s="232">
        <f t="shared" si="92"/>
        <v>0</v>
      </c>
      <c r="G300" s="10" t="s">
        <v>1625</v>
      </c>
      <c r="H300" s="151">
        <f>IF(ISNUMBER(Z61),Z61/SUM($K$43:$AK$71),0)</f>
        <v>2.252166877553787E-4</v>
      </c>
    </row>
    <row r="301" spans="1:8" x14ac:dyDescent="0.25">
      <c r="A301" s="150">
        <v>296</v>
      </c>
      <c r="B301" s="10" t="s">
        <v>1032</v>
      </c>
      <c r="C301" s="236">
        <v>834760.12492755067</v>
      </c>
      <c r="D301" s="233"/>
      <c r="E301" s="232">
        <f t="shared" si="92"/>
        <v>0</v>
      </c>
      <c r="G301" s="10" t="s">
        <v>1626</v>
      </c>
      <c r="H301" s="151">
        <f>IF(ISNUMBER(AA61),AA61/SUM($K$43:$AK$71),0)</f>
        <v>1.4815615688519618E-3</v>
      </c>
    </row>
    <row r="302" spans="1:8" x14ac:dyDescent="0.25">
      <c r="A302" s="150">
        <v>297</v>
      </c>
      <c r="B302" s="10" t="s">
        <v>1131</v>
      </c>
      <c r="C302" s="236">
        <v>42336.573528929599</v>
      </c>
      <c r="D302" s="233"/>
      <c r="E302" s="232">
        <f t="shared" si="92"/>
        <v>0</v>
      </c>
      <c r="G302" s="10" t="s">
        <v>1627</v>
      </c>
      <c r="H302" s="151">
        <f>IF(ISNUMBER(AB61),AB61/SUM($K$43:$AK$71),0)</f>
        <v>4.1429607489718362E-3</v>
      </c>
    </row>
    <row r="303" spans="1:8" x14ac:dyDescent="0.25">
      <c r="A303" s="150">
        <v>298</v>
      </c>
      <c r="B303" s="10" t="s">
        <v>1132</v>
      </c>
      <c r="C303" s="236">
        <v>13924.0457469176</v>
      </c>
      <c r="D303" s="233"/>
      <c r="E303" s="232">
        <f t="shared" si="92"/>
        <v>0</v>
      </c>
      <c r="G303" s="10" t="s">
        <v>1628</v>
      </c>
      <c r="H303" s="151">
        <f>IF(ISNUMBER(AC61),AC61/SUM($K$43:$AK$71),0)</f>
        <v>6.7862453678041853E-3</v>
      </c>
    </row>
    <row r="304" spans="1:8" x14ac:dyDescent="0.25">
      <c r="A304" s="150">
        <v>299</v>
      </c>
      <c r="B304" s="10" t="s">
        <v>1133</v>
      </c>
      <c r="C304" s="236">
        <v>19142.497999512125</v>
      </c>
      <c r="D304" s="233"/>
      <c r="E304" s="232">
        <f t="shared" si="92"/>
        <v>0</v>
      </c>
      <c r="G304" s="10" t="s">
        <v>1629</v>
      </c>
      <c r="H304" s="151">
        <f>IF(ISNUMBER(AD61),AD61/SUM($K$43:$AK$71),0)</f>
        <v>6.9669534276044481E-3</v>
      </c>
    </row>
    <row r="305" spans="1:8" x14ac:dyDescent="0.25">
      <c r="A305" s="150">
        <v>300</v>
      </c>
      <c r="B305" s="10" t="s">
        <v>1134</v>
      </c>
      <c r="C305" s="236">
        <v>9255.6928232878054</v>
      </c>
      <c r="D305" s="233"/>
      <c r="E305" s="232">
        <f t="shared" si="92"/>
        <v>0</v>
      </c>
      <c r="G305" s="10" t="s">
        <v>1630</v>
      </c>
      <c r="H305" s="151">
        <f>IF(ISNUMBER(AE61),AE61/SUM($K$43:$AK$71),0)</f>
        <v>4.3699154357041371E-3</v>
      </c>
    </row>
    <row r="306" spans="1:8" x14ac:dyDescent="0.25">
      <c r="A306" s="150">
        <v>301</v>
      </c>
      <c r="B306" s="10" t="s">
        <v>731</v>
      </c>
      <c r="C306" s="236">
        <v>2525478.8676478877</v>
      </c>
      <c r="D306" s="233"/>
      <c r="E306" s="232">
        <f t="shared" si="92"/>
        <v>0</v>
      </c>
      <c r="G306" s="10" t="s">
        <v>1631</v>
      </c>
      <c r="H306" s="151">
        <f>IF(ISNUMBER(AF61),AF61/SUM($K$43:$AK$71),0)</f>
        <v>1.6758582101542459E-3</v>
      </c>
    </row>
    <row r="307" spans="1:8" x14ac:dyDescent="0.25">
      <c r="A307" s="150">
        <v>302</v>
      </c>
      <c r="B307" s="10" t="s">
        <v>732</v>
      </c>
      <c r="C307" s="236">
        <v>1367126.3452982735</v>
      </c>
      <c r="D307" s="233"/>
      <c r="E307" s="232">
        <f t="shared" si="92"/>
        <v>0</v>
      </c>
      <c r="G307" s="10" t="s">
        <v>1632</v>
      </c>
      <c r="H307" s="151">
        <f>IF(ISNUMBER(AG61),AG61/SUM($K$43:$AK$71),0)</f>
        <v>0</v>
      </c>
    </row>
    <row r="308" spans="1:8" x14ac:dyDescent="0.25">
      <c r="A308" s="150">
        <v>303</v>
      </c>
      <c r="B308" s="10" t="s">
        <v>197</v>
      </c>
      <c r="C308" s="236">
        <v>11711957.686606115</v>
      </c>
      <c r="D308" s="233"/>
      <c r="E308" s="232">
        <f t="shared" si="92"/>
        <v>0</v>
      </c>
      <c r="G308" s="10" t="s">
        <v>1633</v>
      </c>
      <c r="H308" s="151">
        <f>IF(ISNUMBER(AH61),AH61/SUM($K$43:$AK$71),0)</f>
        <v>0</v>
      </c>
    </row>
    <row r="309" spans="1:8" x14ac:dyDescent="0.25">
      <c r="A309" s="150">
        <v>304</v>
      </c>
      <c r="B309" s="10" t="s">
        <v>198</v>
      </c>
      <c r="C309" s="236">
        <v>9146779.1899464205</v>
      </c>
      <c r="D309" s="233"/>
      <c r="E309" s="232">
        <f t="shared" si="92"/>
        <v>0</v>
      </c>
      <c r="G309" s="10" t="s">
        <v>1634</v>
      </c>
      <c r="H309" s="151">
        <f>IF(ISNUMBER(AI61),AI61/SUM($K$43:$AK$71),0)</f>
        <v>0</v>
      </c>
    </row>
    <row r="310" spans="1:8" x14ac:dyDescent="0.25">
      <c r="A310" s="150">
        <v>305</v>
      </c>
      <c r="B310" s="10" t="s">
        <v>199</v>
      </c>
      <c r="C310" s="236">
        <v>16395017.209304582</v>
      </c>
      <c r="D310" s="233"/>
      <c r="E310" s="232">
        <f t="shared" si="92"/>
        <v>0</v>
      </c>
      <c r="G310" s="10" t="s">
        <v>552</v>
      </c>
      <c r="H310" s="151">
        <f>IF(ISNUMBER(K62),K62/SUM($K$43:$AK$71),0)</f>
        <v>2.6782105873622173E-4</v>
      </c>
    </row>
    <row r="311" spans="1:8" x14ac:dyDescent="0.25">
      <c r="A311" s="150">
        <v>306</v>
      </c>
      <c r="B311" s="10" t="s">
        <v>200</v>
      </c>
      <c r="C311" s="236">
        <v>15500978.568939328</v>
      </c>
      <c r="D311" s="233"/>
      <c r="E311" s="232">
        <f t="shared" si="92"/>
        <v>0</v>
      </c>
      <c r="G311" s="10" t="s">
        <v>553</v>
      </c>
      <c r="H311" s="151">
        <f>IF(ISNUMBER(L62),L62/SUM($K$43:$AK$71),0)</f>
        <v>1.1547272885507815E-3</v>
      </c>
    </row>
    <row r="312" spans="1:8" x14ac:dyDescent="0.25">
      <c r="A312" s="150">
        <v>307</v>
      </c>
      <c r="B312" s="10" t="s">
        <v>201</v>
      </c>
      <c r="C312" s="236">
        <v>14717868.440430531</v>
      </c>
      <c r="D312" s="233"/>
      <c r="E312" s="232">
        <f t="shared" si="92"/>
        <v>0</v>
      </c>
      <c r="G312" s="10" t="s">
        <v>554</v>
      </c>
      <c r="H312" s="151">
        <f>IF(ISNUMBER(M62),M62/SUM($K$43:$AK$71),0)</f>
        <v>2.9128750785175845E-3</v>
      </c>
    </row>
    <row r="313" spans="1:8" x14ac:dyDescent="0.25">
      <c r="A313" s="150">
        <v>308</v>
      </c>
      <c r="B313" s="10" t="s">
        <v>202</v>
      </c>
      <c r="C313" s="236">
        <v>13051506.70258856</v>
      </c>
      <c r="D313" s="233"/>
      <c r="E313" s="232">
        <f t="shared" si="92"/>
        <v>0</v>
      </c>
      <c r="G313" s="10" t="s">
        <v>555</v>
      </c>
      <c r="H313" s="151">
        <f>IF(ISNUMBER(N62),N62/SUM($K$43:$AK$71),0)</f>
        <v>4.4973812150438316E-3</v>
      </c>
    </row>
    <row r="314" spans="1:8" x14ac:dyDescent="0.25">
      <c r="A314" s="150">
        <v>309</v>
      </c>
      <c r="B314" s="10" t="s">
        <v>203</v>
      </c>
      <c r="C314" s="236">
        <v>5843894.3188384781</v>
      </c>
      <c r="D314" s="233"/>
      <c r="E314" s="232">
        <f t="shared" si="92"/>
        <v>0</v>
      </c>
      <c r="G314" s="10" t="s">
        <v>556</v>
      </c>
      <c r="H314" s="151">
        <f>IF(ISNUMBER(O62),O62/SUM($K$43:$AK$71),0)</f>
        <v>4.3893503403620408E-3</v>
      </c>
    </row>
    <row r="315" spans="1:8" x14ac:dyDescent="0.25">
      <c r="A315" s="150">
        <v>310</v>
      </c>
      <c r="B315" s="10" t="s">
        <v>204</v>
      </c>
      <c r="C315" s="236">
        <v>4266651.5284779677</v>
      </c>
      <c r="D315" s="233"/>
      <c r="E315" s="232">
        <f t="shared" si="92"/>
        <v>0</v>
      </c>
      <c r="G315" s="10" t="s">
        <v>557</v>
      </c>
      <c r="H315" s="151">
        <f>IF(ISNUMBER(P62),P62/SUM($K$43:$AK$71),0)</f>
        <v>2.8007136108848829E-3</v>
      </c>
    </row>
    <row r="316" spans="1:8" x14ac:dyDescent="0.25">
      <c r="A316" s="150">
        <v>311</v>
      </c>
      <c r="B316" s="10" t="s">
        <v>205</v>
      </c>
      <c r="C316" s="236">
        <v>461947.29683113476</v>
      </c>
      <c r="D316" s="233"/>
      <c r="E316" s="232">
        <f t="shared" si="92"/>
        <v>0</v>
      </c>
      <c r="G316" s="10" t="s">
        <v>558</v>
      </c>
      <c r="H316" s="151">
        <f>IF(ISNUMBER(Q62),Q62/SUM($K$43:$AK$71),0)</f>
        <v>1.1840443639391676E-3</v>
      </c>
    </row>
    <row r="317" spans="1:8" x14ac:dyDescent="0.25">
      <c r="A317" s="150">
        <v>312</v>
      </c>
      <c r="B317" s="10" t="s">
        <v>206</v>
      </c>
      <c r="C317" s="236">
        <v>423467.10371110926</v>
      </c>
      <c r="D317" s="233"/>
      <c r="E317" s="232">
        <f t="shared" si="92"/>
        <v>0</v>
      </c>
      <c r="G317" s="10" t="s">
        <v>559</v>
      </c>
      <c r="H317" s="151">
        <f>IF(ISNUMBER(R62),R62/SUM($K$43:$AK$71),0)</f>
        <v>2.9899134161251727E-4</v>
      </c>
    </row>
    <row r="318" spans="1:8" x14ac:dyDescent="0.25">
      <c r="A318" s="150">
        <v>313</v>
      </c>
      <c r="B318" s="10" t="s">
        <v>207</v>
      </c>
      <c r="C318" s="236">
        <v>7412.9171945798525</v>
      </c>
      <c r="D318" s="233"/>
      <c r="E318" s="232">
        <f t="shared" si="92"/>
        <v>0</v>
      </c>
      <c r="G318" s="10" t="s">
        <v>560</v>
      </c>
      <c r="H318" s="151">
        <f>IF(ISNUMBER(S62),S62/SUM($K$43:$AK$71),0)</f>
        <v>4.0902943520368046E-5</v>
      </c>
    </row>
    <row r="319" spans="1:8" x14ac:dyDescent="0.25">
      <c r="A319" s="150">
        <v>314</v>
      </c>
      <c r="B319" s="10" t="s">
        <v>208</v>
      </c>
      <c r="C319" s="236">
        <v>3587.0361362152034</v>
      </c>
      <c r="D319" s="233"/>
      <c r="E319" s="232">
        <f t="shared" si="92"/>
        <v>0</v>
      </c>
      <c r="G319" s="10" t="s">
        <v>561</v>
      </c>
      <c r="H319" s="151">
        <f>IF(ISNUMBER(T62),T62/SUM($K$43:$AK$71),0)</f>
        <v>0</v>
      </c>
    </row>
    <row r="320" spans="1:8" x14ac:dyDescent="0.25">
      <c r="A320" s="150">
        <v>315</v>
      </c>
      <c r="B320" s="10" t="s">
        <v>209</v>
      </c>
      <c r="C320" s="236">
        <v>0</v>
      </c>
      <c r="D320" s="233"/>
      <c r="E320" s="232" t="e">
        <f t="shared" si="92"/>
        <v>#DIV/0!</v>
      </c>
      <c r="G320" s="10" t="s">
        <v>562</v>
      </c>
      <c r="H320" s="151">
        <f>IF(ISNUMBER(U62),U62/SUM($K$43:$AK$71),0)</f>
        <v>0</v>
      </c>
    </row>
    <row r="321" spans="1:8" x14ac:dyDescent="0.25">
      <c r="A321" s="150">
        <v>316</v>
      </c>
      <c r="B321" s="10" t="s">
        <v>210</v>
      </c>
      <c r="C321" s="236">
        <v>1301.3628076170576</v>
      </c>
      <c r="D321" s="233"/>
      <c r="E321" s="232">
        <f t="shared" si="92"/>
        <v>0</v>
      </c>
      <c r="G321" s="10" t="s">
        <v>563</v>
      </c>
      <c r="H321" s="151">
        <f>IF(ISNUMBER(V62),V62/SUM($K$43:$AK$71),0)</f>
        <v>0</v>
      </c>
    </row>
    <row r="322" spans="1:8" x14ac:dyDescent="0.25">
      <c r="A322" s="150">
        <v>317</v>
      </c>
      <c r="B322" s="10" t="s">
        <v>211</v>
      </c>
      <c r="C322" s="236">
        <v>0</v>
      </c>
      <c r="D322" s="233"/>
      <c r="E322" s="232" t="e">
        <f t="shared" si="92"/>
        <v>#DIV/0!</v>
      </c>
      <c r="G322" s="10" t="s">
        <v>564</v>
      </c>
      <c r="H322" s="151">
        <f>IF(ISNUMBER(W62),W62/SUM($K$43:$AK$71),0)</f>
        <v>0</v>
      </c>
    </row>
    <row r="323" spans="1:8" x14ac:dyDescent="0.25">
      <c r="A323" s="150">
        <v>318</v>
      </c>
      <c r="B323" s="10" t="s">
        <v>212</v>
      </c>
      <c r="C323" s="236">
        <v>1161.6786516723801</v>
      </c>
      <c r="D323" s="233"/>
      <c r="E323" s="232">
        <f t="shared" si="92"/>
        <v>0</v>
      </c>
      <c r="G323" s="10" t="s">
        <v>1635</v>
      </c>
      <c r="H323" s="151">
        <f>IF(ISNUMBER(X62),X62/SUM($K$43:$AK$71),0)</f>
        <v>6.8953289836600456E-7</v>
      </c>
    </row>
    <row r="324" spans="1:8" x14ac:dyDescent="0.25">
      <c r="A324" s="150">
        <v>319</v>
      </c>
      <c r="B324" s="10" t="s">
        <v>213</v>
      </c>
      <c r="C324" s="236">
        <v>0</v>
      </c>
      <c r="D324" s="233"/>
      <c r="E324" s="232" t="e">
        <f t="shared" si="92"/>
        <v>#DIV/0!</v>
      </c>
      <c r="G324" s="10" t="s">
        <v>1636</v>
      </c>
      <c r="H324" s="151">
        <f>IF(ISNUMBER(Y62),Y62/SUM($K$43:$AK$71),0)</f>
        <v>0</v>
      </c>
    </row>
    <row r="325" spans="1:8" x14ac:dyDescent="0.25">
      <c r="A325" s="150">
        <v>320</v>
      </c>
      <c r="B325" s="10" t="s">
        <v>214</v>
      </c>
      <c r="C325" s="236">
        <v>0</v>
      </c>
      <c r="D325" s="233"/>
      <c r="E325" s="232" t="e">
        <f t="shared" si="92"/>
        <v>#DIV/0!</v>
      </c>
      <c r="G325" s="10" t="s">
        <v>1637</v>
      </c>
      <c r="H325" s="151">
        <f>IF(ISNUMBER(Z62),Z62/SUM($K$43:$AK$71),0)</f>
        <v>3.4364082073439611E-6</v>
      </c>
    </row>
    <row r="326" spans="1:8" x14ac:dyDescent="0.25">
      <c r="A326" s="150">
        <v>321</v>
      </c>
      <c r="B326" s="10" t="s">
        <v>215</v>
      </c>
      <c r="C326" s="236">
        <v>52031.118657165673</v>
      </c>
      <c r="D326" s="233"/>
      <c r="E326" s="232">
        <f t="shared" si="92"/>
        <v>0</v>
      </c>
      <c r="G326" s="10" t="s">
        <v>1638</v>
      </c>
      <c r="H326" s="151">
        <f>IF(ISNUMBER(AA62),AA62/SUM($K$43:$AK$71),0)</f>
        <v>1.7571301044319934E-4</v>
      </c>
    </row>
    <row r="327" spans="1:8" x14ac:dyDescent="0.25">
      <c r="A327" s="150">
        <v>322</v>
      </c>
      <c r="B327" s="10" t="s">
        <v>216</v>
      </c>
      <c r="C327" s="236">
        <v>29447.913842795675</v>
      </c>
      <c r="D327" s="233"/>
      <c r="E327" s="232">
        <f t="shared" ref="E327:E390" si="93">D327/C327</f>
        <v>0</v>
      </c>
      <c r="G327" s="10" t="s">
        <v>1639</v>
      </c>
      <c r="H327" s="151">
        <f>IF(ISNUMBER(AB62),AB62/SUM($K$43:$AK$71),0)</f>
        <v>9.8066936687004236E-4</v>
      </c>
    </row>
    <row r="328" spans="1:8" x14ac:dyDescent="0.25">
      <c r="A328" s="150">
        <v>323</v>
      </c>
      <c r="B328" s="10" t="s">
        <v>733</v>
      </c>
      <c r="C328" s="236">
        <v>2573535.2174149174</v>
      </c>
      <c r="D328" s="233"/>
      <c r="E328" s="232">
        <f t="shared" si="93"/>
        <v>0</v>
      </c>
      <c r="G328" s="10" t="s">
        <v>1640</v>
      </c>
      <c r="H328" s="151">
        <f>IF(ISNUMBER(AC62),AC62/SUM($K$43:$AK$71),0)</f>
        <v>2.3396501341069989E-3</v>
      </c>
    </row>
    <row r="329" spans="1:8" x14ac:dyDescent="0.25">
      <c r="A329" s="150">
        <v>324</v>
      </c>
      <c r="B329" s="10" t="s">
        <v>734</v>
      </c>
      <c r="C329" s="236">
        <v>2481837.8421244449</v>
      </c>
      <c r="D329" s="233"/>
      <c r="E329" s="232">
        <f t="shared" si="93"/>
        <v>0</v>
      </c>
      <c r="G329" s="10" t="s">
        <v>1641</v>
      </c>
      <c r="H329" s="151">
        <f>IF(ISNUMBER(AD62),AD62/SUM($K$43:$AK$71),0)</f>
        <v>3.4320428372933433E-3</v>
      </c>
    </row>
    <row r="330" spans="1:8" x14ac:dyDescent="0.25">
      <c r="A330" s="150">
        <v>325</v>
      </c>
      <c r="B330" s="10" t="s">
        <v>735</v>
      </c>
      <c r="C330" s="236">
        <v>10600877.635684833</v>
      </c>
      <c r="D330" s="233"/>
      <c r="E330" s="232">
        <f t="shared" si="93"/>
        <v>0</v>
      </c>
      <c r="G330" s="10" t="s">
        <v>1642</v>
      </c>
      <c r="H330" s="151">
        <f>IF(ISNUMBER(AE62),AE62/SUM($K$43:$AK$71),0)</f>
        <v>3.0862955402287144E-3</v>
      </c>
    </row>
    <row r="331" spans="1:8" x14ac:dyDescent="0.25">
      <c r="A331" s="150">
        <v>326</v>
      </c>
      <c r="B331" s="10" t="s">
        <v>736</v>
      </c>
      <c r="C331" s="236">
        <v>9441542.4046209492</v>
      </c>
      <c r="D331" s="233"/>
      <c r="E331" s="232">
        <f t="shared" si="93"/>
        <v>0</v>
      </c>
      <c r="G331" s="10" t="s">
        <v>1643</v>
      </c>
      <c r="H331" s="151">
        <f>IF(ISNUMBER(AF62),AF62/SUM($K$43:$AK$71),0)</f>
        <v>1.7879502259906094E-3</v>
      </c>
    </row>
    <row r="332" spans="1:8" x14ac:dyDescent="0.25">
      <c r="A332" s="150">
        <v>327</v>
      </c>
      <c r="B332" s="10" t="s">
        <v>1033</v>
      </c>
      <c r="C332" s="236">
        <v>19639031.953480225</v>
      </c>
      <c r="D332" s="233"/>
      <c r="E332" s="232">
        <f t="shared" si="93"/>
        <v>0</v>
      </c>
      <c r="G332" s="10" t="s">
        <v>1644</v>
      </c>
      <c r="H332" s="151">
        <f>IF(ISNUMBER(AG62),AG62/SUM($K$43:$AK$71),0)</f>
        <v>5.8320775371056616E-4</v>
      </c>
    </row>
    <row r="333" spans="1:8" x14ac:dyDescent="0.25">
      <c r="A333" s="150">
        <v>328</v>
      </c>
      <c r="B333" s="10" t="s">
        <v>1034</v>
      </c>
      <c r="C333" s="236">
        <v>17284855.438619971</v>
      </c>
      <c r="D333" s="233"/>
      <c r="E333" s="232">
        <f t="shared" si="93"/>
        <v>0</v>
      </c>
      <c r="G333" s="10" t="s">
        <v>1645</v>
      </c>
      <c r="H333" s="151">
        <f>IF(ISNUMBER(AH62),AH62/SUM($K$43:$AK$71),0)</f>
        <v>0</v>
      </c>
    </row>
    <row r="334" spans="1:8" x14ac:dyDescent="0.25">
      <c r="A334" s="150">
        <v>329</v>
      </c>
      <c r="B334" s="10" t="s">
        <v>1035</v>
      </c>
      <c r="C334" s="236">
        <v>18063020.198702838</v>
      </c>
      <c r="D334" s="233"/>
      <c r="E334" s="232">
        <f t="shared" si="93"/>
        <v>0</v>
      </c>
      <c r="G334" s="10" t="s">
        <v>1646</v>
      </c>
      <c r="H334" s="151">
        <f>IF(ISNUMBER(AI62),AI62/SUM($K$43:$AK$71),0)</f>
        <v>0</v>
      </c>
    </row>
    <row r="335" spans="1:8" x14ac:dyDescent="0.25">
      <c r="A335" s="150">
        <v>330</v>
      </c>
      <c r="B335" s="10" t="s">
        <v>1036</v>
      </c>
      <c r="C335" s="236">
        <v>17146328.744185928</v>
      </c>
      <c r="D335" s="233"/>
      <c r="E335" s="232">
        <f t="shared" si="93"/>
        <v>0</v>
      </c>
      <c r="G335" s="10" t="s">
        <v>1647</v>
      </c>
      <c r="H335" s="151">
        <f>IF(ISNUMBER(AJ62),AJ62/SUM($K$43:$AK$71),0)</f>
        <v>0</v>
      </c>
    </row>
    <row r="336" spans="1:8" x14ac:dyDescent="0.25">
      <c r="A336" s="150">
        <v>331</v>
      </c>
      <c r="B336" s="10" t="s">
        <v>1037</v>
      </c>
      <c r="C336" s="236">
        <v>8710411.3503024653</v>
      </c>
      <c r="D336" s="233"/>
      <c r="E336" s="232">
        <f t="shared" si="93"/>
        <v>0</v>
      </c>
      <c r="G336" s="10" t="s">
        <v>565</v>
      </c>
      <c r="H336" s="151">
        <f>IF(ISNUMBER(K63),K63/SUM($K$43:$AK$71),0)</f>
        <v>2.0319073200894479E-4</v>
      </c>
    </row>
    <row r="337" spans="1:8" x14ac:dyDescent="0.25">
      <c r="A337" s="150">
        <v>332</v>
      </c>
      <c r="B337" s="10" t="s">
        <v>1038</v>
      </c>
      <c r="C337" s="236">
        <v>8258140.0649424819</v>
      </c>
      <c r="D337" s="233"/>
      <c r="E337" s="232">
        <f t="shared" si="93"/>
        <v>0</v>
      </c>
      <c r="G337" s="10" t="s">
        <v>566</v>
      </c>
      <c r="H337" s="151">
        <f>IF(ISNUMBER(L63),L63/SUM($K$43:$AK$71),0)</f>
        <v>9.2467279689497912E-4</v>
      </c>
    </row>
    <row r="338" spans="1:8" x14ac:dyDescent="0.25">
      <c r="A338" s="150">
        <v>333</v>
      </c>
      <c r="B338" s="10" t="s">
        <v>1135</v>
      </c>
      <c r="C338" s="236">
        <v>1681582.987934395</v>
      </c>
      <c r="D338" s="233"/>
      <c r="E338" s="232">
        <f t="shared" si="93"/>
        <v>0</v>
      </c>
      <c r="G338" s="10" t="s">
        <v>567</v>
      </c>
      <c r="H338" s="151">
        <f>IF(ISNUMBER(M63),M63/SUM($K$43:$AK$71),0)</f>
        <v>2.1812266172103658E-3</v>
      </c>
    </row>
    <row r="339" spans="1:8" x14ac:dyDescent="0.25">
      <c r="A339" s="150">
        <v>334</v>
      </c>
      <c r="B339" s="10" t="s">
        <v>1136</v>
      </c>
      <c r="C339" s="236">
        <v>1348014.4114437262</v>
      </c>
      <c r="D339" s="233"/>
      <c r="E339" s="232">
        <f t="shared" si="93"/>
        <v>0</v>
      </c>
      <c r="G339" s="10" t="s">
        <v>568</v>
      </c>
      <c r="H339" s="151">
        <f>IF(ISNUMBER(N63),N63/SUM($K$43:$AK$71),0)</f>
        <v>3.2686526185212502E-3</v>
      </c>
    </row>
    <row r="340" spans="1:8" x14ac:dyDescent="0.25">
      <c r="A340" s="150">
        <v>335</v>
      </c>
      <c r="B340" s="10" t="s">
        <v>1137</v>
      </c>
      <c r="C340" s="236">
        <v>35907.457814635702</v>
      </c>
      <c r="D340" s="233"/>
      <c r="E340" s="232">
        <f t="shared" si="93"/>
        <v>0</v>
      </c>
      <c r="G340" s="10" t="s">
        <v>569</v>
      </c>
      <c r="H340" s="151">
        <f>IF(ISNUMBER(O63),O63/SUM($K$43:$AK$71),0)</f>
        <v>3.3443880684858496E-3</v>
      </c>
    </row>
    <row r="341" spans="1:8" x14ac:dyDescent="0.25">
      <c r="A341" s="150">
        <v>336</v>
      </c>
      <c r="B341" s="10" t="s">
        <v>1138</v>
      </c>
      <c r="C341" s="236">
        <v>33215.259851135299</v>
      </c>
      <c r="D341" s="233"/>
      <c r="E341" s="232">
        <f t="shared" si="93"/>
        <v>0</v>
      </c>
      <c r="G341" s="10" t="s">
        <v>570</v>
      </c>
      <c r="H341" s="151">
        <f>IF(ISNUMBER(P63),P63/SUM($K$43:$AK$71),0)</f>
        <v>2.3377423536568753E-3</v>
      </c>
    </row>
    <row r="342" spans="1:8" x14ac:dyDescent="0.25">
      <c r="A342" s="150">
        <v>337</v>
      </c>
      <c r="B342" s="10" t="s">
        <v>1139</v>
      </c>
      <c r="C342" s="236">
        <v>11103.385604004139</v>
      </c>
      <c r="D342" s="233"/>
      <c r="E342" s="232">
        <f t="shared" si="93"/>
        <v>0</v>
      </c>
      <c r="G342" s="10" t="s">
        <v>571</v>
      </c>
      <c r="H342" s="151">
        <f>IF(ISNUMBER(Q63),Q63/SUM($K$43:$AK$71),0)</f>
        <v>1.107293084650538E-3</v>
      </c>
    </row>
    <row r="343" spans="1:8" x14ac:dyDescent="0.25">
      <c r="A343" s="150">
        <v>338</v>
      </c>
      <c r="B343" s="10" t="s">
        <v>1140</v>
      </c>
      <c r="C343" s="236">
        <v>25764.645148498923</v>
      </c>
      <c r="D343" s="233"/>
      <c r="E343" s="232">
        <f t="shared" si="93"/>
        <v>0</v>
      </c>
      <c r="G343" s="164" t="s">
        <v>572</v>
      </c>
      <c r="H343" s="151">
        <f>IF(ISNUMBER(R63),R63/SUM($K$43:$AK$71),0)</f>
        <v>3.292112220269186E-4</v>
      </c>
    </row>
    <row r="344" spans="1:8" x14ac:dyDescent="0.25">
      <c r="A344" s="150">
        <v>339</v>
      </c>
      <c r="B344" s="10" t="s">
        <v>737</v>
      </c>
      <c r="C344" s="236">
        <v>7233089.212045663</v>
      </c>
      <c r="D344" s="233"/>
      <c r="E344" s="232">
        <f t="shared" si="93"/>
        <v>0</v>
      </c>
      <c r="G344" s="164" t="s">
        <v>573</v>
      </c>
      <c r="H344" s="151">
        <f>IF(ISNUMBER(S63),S63/SUM($K$43:$AK$71),0)</f>
        <v>2.8409540656231152E-5</v>
      </c>
    </row>
    <row r="345" spans="1:8" x14ac:dyDescent="0.25">
      <c r="A345" s="150">
        <v>340</v>
      </c>
      <c r="B345" s="10" t="s">
        <v>738</v>
      </c>
      <c r="C345" s="236">
        <v>4399628.8171967696</v>
      </c>
      <c r="D345" s="233"/>
      <c r="E345" s="232">
        <f t="shared" si="93"/>
        <v>0</v>
      </c>
      <c r="G345" s="164" t="s">
        <v>574</v>
      </c>
      <c r="H345" s="151">
        <f>IF(ISNUMBER(T63),T63/SUM($K$43:$AK$71),0)</f>
        <v>0</v>
      </c>
    </row>
    <row r="346" spans="1:8" x14ac:dyDescent="0.25">
      <c r="A346" s="150">
        <v>341</v>
      </c>
      <c r="B346" s="10" t="s">
        <v>217</v>
      </c>
      <c r="C346" s="236">
        <v>31575927.79116834</v>
      </c>
      <c r="D346" s="233"/>
      <c r="E346" s="232">
        <f t="shared" si="93"/>
        <v>0</v>
      </c>
      <c r="G346" s="164" t="s">
        <v>575</v>
      </c>
      <c r="H346" s="151">
        <f>IF(ISNUMBER(U63),U63/SUM($K$43:$AK$71),0)</f>
        <v>0</v>
      </c>
    </row>
    <row r="347" spans="1:8" x14ac:dyDescent="0.25">
      <c r="A347" s="150">
        <v>342</v>
      </c>
      <c r="B347" s="10" t="s">
        <v>218</v>
      </c>
      <c r="C347" s="236">
        <v>25214775.128738791</v>
      </c>
      <c r="D347" s="233"/>
      <c r="E347" s="232">
        <f t="shared" si="93"/>
        <v>0</v>
      </c>
      <c r="G347" s="164" t="s">
        <v>576</v>
      </c>
      <c r="H347" s="151">
        <f>IF(ISNUMBER(V63),V63/SUM($K$43:$AK$71),0)</f>
        <v>0</v>
      </c>
    </row>
    <row r="348" spans="1:8" x14ac:dyDescent="0.25">
      <c r="A348" s="150">
        <v>343</v>
      </c>
      <c r="B348" s="10" t="s">
        <v>219</v>
      </c>
      <c r="C348" s="236">
        <v>54585268.881630898</v>
      </c>
      <c r="D348" s="233"/>
      <c r="E348" s="232">
        <f t="shared" si="93"/>
        <v>0</v>
      </c>
      <c r="G348" s="164" t="s">
        <v>577</v>
      </c>
      <c r="H348" s="151">
        <f>IF(ISNUMBER(W63),W63/SUM($K$43:$AK$71),0)</f>
        <v>1.5058031629799456E-6</v>
      </c>
    </row>
    <row r="349" spans="1:8" x14ac:dyDescent="0.25">
      <c r="A349" s="150">
        <v>344</v>
      </c>
      <c r="B349" s="10" t="s">
        <v>220</v>
      </c>
      <c r="C349" s="236">
        <v>52875029.341005325</v>
      </c>
      <c r="D349" s="233"/>
      <c r="E349" s="232">
        <f t="shared" si="93"/>
        <v>0</v>
      </c>
      <c r="G349" s="10" t="s">
        <v>1648</v>
      </c>
      <c r="H349" s="151">
        <f>IF(ISNUMBER(X63),X63/SUM($K$43:$AK$71),0)</f>
        <v>0</v>
      </c>
    </row>
    <row r="350" spans="1:8" x14ac:dyDescent="0.25">
      <c r="A350" s="150">
        <v>345</v>
      </c>
      <c r="B350" s="10" t="s">
        <v>221</v>
      </c>
      <c r="C350" s="236">
        <v>59670316.242901802</v>
      </c>
      <c r="D350" s="233"/>
      <c r="E350" s="232">
        <f t="shared" si="93"/>
        <v>0</v>
      </c>
      <c r="G350" s="10" t="s">
        <v>1649</v>
      </c>
      <c r="H350" s="151">
        <f>IF(ISNUMBER(Y63),Y63/SUM($K$43:$AK$71),0)</f>
        <v>0</v>
      </c>
    </row>
    <row r="351" spans="1:8" x14ac:dyDescent="0.25">
      <c r="A351" s="150">
        <v>346</v>
      </c>
      <c r="B351" s="10" t="s">
        <v>222</v>
      </c>
      <c r="C351" s="236">
        <v>52674162.979067802</v>
      </c>
      <c r="D351" s="233"/>
      <c r="E351" s="232">
        <f t="shared" si="93"/>
        <v>0</v>
      </c>
      <c r="G351" s="10" t="s">
        <v>1650</v>
      </c>
      <c r="H351" s="151">
        <f>IF(ISNUMBER(Z63),Z63/SUM($K$43:$AK$71),0)</f>
        <v>0</v>
      </c>
    </row>
    <row r="352" spans="1:8" x14ac:dyDescent="0.25">
      <c r="A352" s="150">
        <v>347</v>
      </c>
      <c r="B352" s="10" t="s">
        <v>223</v>
      </c>
      <c r="C352" s="236">
        <v>29016027.580196626</v>
      </c>
      <c r="D352" s="233"/>
      <c r="E352" s="232">
        <f t="shared" si="93"/>
        <v>0</v>
      </c>
      <c r="G352" s="10" t="s">
        <v>1651</v>
      </c>
      <c r="H352" s="151">
        <f>IF(ISNUMBER(AA63),AA63/SUM($K$43:$AK$71),0)</f>
        <v>0</v>
      </c>
    </row>
    <row r="353" spans="1:8" x14ac:dyDescent="0.25">
      <c r="A353" s="150">
        <v>348</v>
      </c>
      <c r="B353" s="10" t="s">
        <v>224</v>
      </c>
      <c r="C353" s="236">
        <v>22613083.971947648</v>
      </c>
      <c r="D353" s="233"/>
      <c r="E353" s="232">
        <f t="shared" si="93"/>
        <v>0</v>
      </c>
      <c r="G353" s="10" t="s">
        <v>1652</v>
      </c>
      <c r="H353" s="151">
        <f>IF(ISNUMBER(AB63),AB63/SUM($K$43:$AK$71),0)</f>
        <v>2.8392098743617341E-4</v>
      </c>
    </row>
    <row r="354" spans="1:8" x14ac:dyDescent="0.25">
      <c r="A354" s="150">
        <v>349</v>
      </c>
      <c r="B354" s="10" t="s">
        <v>225</v>
      </c>
      <c r="C354" s="236">
        <v>6950501.4420062425</v>
      </c>
      <c r="D354" s="233"/>
      <c r="E354" s="232">
        <f t="shared" si="93"/>
        <v>0</v>
      </c>
      <c r="G354" s="10" t="s">
        <v>1653</v>
      </c>
      <c r="H354" s="151">
        <f>IF(ISNUMBER(AC63),AC63/SUM($K$43:$AK$71),0)</f>
        <v>1.2352923936539298E-3</v>
      </c>
    </row>
    <row r="355" spans="1:8" x14ac:dyDescent="0.25">
      <c r="A355" s="150">
        <v>350</v>
      </c>
      <c r="B355" s="10" t="s">
        <v>226</v>
      </c>
      <c r="C355" s="236">
        <v>5839142.1411143579</v>
      </c>
      <c r="D355" s="233"/>
      <c r="E355" s="232">
        <f t="shared" si="93"/>
        <v>0</v>
      </c>
      <c r="G355" s="10" t="s">
        <v>1654</v>
      </c>
      <c r="H355" s="151">
        <f>IF(ISNUMBER(AD63),AD63/SUM($K$43:$AK$71),0)</f>
        <v>2.8314221774449161E-3</v>
      </c>
    </row>
    <row r="356" spans="1:8" x14ac:dyDescent="0.25">
      <c r="A356" s="150">
        <v>351</v>
      </c>
      <c r="B356" s="10" t="s">
        <v>227</v>
      </c>
      <c r="C356" s="236">
        <v>511453.98337397748</v>
      </c>
      <c r="D356" s="233"/>
      <c r="E356" s="232">
        <f t="shared" si="93"/>
        <v>0</v>
      </c>
      <c r="G356" s="10" t="s">
        <v>1655</v>
      </c>
      <c r="H356" s="151">
        <f>IF(ISNUMBER(AE63),AE63/SUM($K$43:$AK$71),0)</f>
        <v>3.8769433888368875E-3</v>
      </c>
    </row>
    <row r="357" spans="1:8" x14ac:dyDescent="0.25">
      <c r="A357" s="150">
        <v>352</v>
      </c>
      <c r="B357" s="10" t="s">
        <v>228</v>
      </c>
      <c r="C357" s="236">
        <v>505251.57101665076</v>
      </c>
      <c r="D357" s="233"/>
      <c r="E357" s="232">
        <f t="shared" si="93"/>
        <v>0</v>
      </c>
      <c r="G357" s="10" t="s">
        <v>1656</v>
      </c>
      <c r="H357" s="151">
        <f>IF(ISNUMBER(AF63),AF63/SUM($K$43:$AK$71),0)</f>
        <v>3.4687168439384063E-3</v>
      </c>
    </row>
    <row r="358" spans="1:8" x14ac:dyDescent="0.25">
      <c r="A358" s="150">
        <v>353</v>
      </c>
      <c r="B358" s="10" t="s">
        <v>229</v>
      </c>
      <c r="C358" s="236">
        <v>2855.6094053953175</v>
      </c>
      <c r="D358" s="233"/>
      <c r="E358" s="232">
        <f t="shared" si="93"/>
        <v>0</v>
      </c>
      <c r="G358" s="10" t="s">
        <v>1657</v>
      </c>
      <c r="H358" s="151">
        <f>IF(ISNUMBER(AG63),AG63/SUM($K$43:$AK$71),0)</f>
        <v>1.9316546398385141E-3</v>
      </c>
    </row>
    <row r="359" spans="1:8" x14ac:dyDescent="0.25">
      <c r="A359" s="150">
        <v>354</v>
      </c>
      <c r="B359" s="10" t="s">
        <v>230</v>
      </c>
      <c r="C359" s="236">
        <v>7719.4221581274851</v>
      </c>
      <c r="D359" s="233"/>
      <c r="E359" s="232">
        <f t="shared" si="93"/>
        <v>0</v>
      </c>
      <c r="G359" s="10" t="s">
        <v>1658</v>
      </c>
      <c r="H359" s="151">
        <f>IF(ISNUMBER(AH63),AH63/SUM($K$43:$AK$71),0)</f>
        <v>7.2563361852182864E-4</v>
      </c>
    </row>
    <row r="360" spans="1:8" x14ac:dyDescent="0.25">
      <c r="A360" s="150">
        <v>355</v>
      </c>
      <c r="B360" s="10" t="s">
        <v>231</v>
      </c>
      <c r="C360" s="236">
        <v>2938.9395920564425</v>
      </c>
      <c r="D360" s="233"/>
      <c r="E360" s="232">
        <f t="shared" si="93"/>
        <v>0</v>
      </c>
      <c r="G360" s="10" t="s">
        <v>1659</v>
      </c>
      <c r="H360" s="151">
        <f>IF(ISNUMBER(AI63),AI63/SUM($K$43:$AK$71),0)</f>
        <v>0</v>
      </c>
    </row>
    <row r="361" spans="1:8" x14ac:dyDescent="0.25">
      <c r="A361" s="150">
        <v>356</v>
      </c>
      <c r="B361" s="10" t="s">
        <v>232</v>
      </c>
      <c r="C361" s="236">
        <v>1019.9300910643809</v>
      </c>
      <c r="D361" s="233"/>
      <c r="E361" s="232">
        <f t="shared" si="93"/>
        <v>0</v>
      </c>
      <c r="G361" s="10" t="s">
        <v>1660</v>
      </c>
      <c r="H361" s="151">
        <f>IF(ISNUMBER(AJ63),AJ63/SUM($K$43:$AK$71),0)</f>
        <v>0</v>
      </c>
    </row>
    <row r="362" spans="1:8" x14ac:dyDescent="0.25">
      <c r="A362" s="150">
        <v>357</v>
      </c>
      <c r="B362" s="10" t="s">
        <v>233</v>
      </c>
      <c r="C362" s="236">
        <v>1389.0166343993023</v>
      </c>
      <c r="D362" s="233"/>
      <c r="E362" s="232">
        <f t="shared" si="93"/>
        <v>0</v>
      </c>
      <c r="G362" s="10" t="s">
        <v>1661</v>
      </c>
      <c r="H362" s="151">
        <f>IF(ISNUMBER(AK63),AK63/SUM($K$43:$AK$71),0)</f>
        <v>0</v>
      </c>
    </row>
    <row r="363" spans="1:8" x14ac:dyDescent="0.25">
      <c r="A363" s="150">
        <v>358</v>
      </c>
      <c r="B363" s="10" t="s">
        <v>234</v>
      </c>
      <c r="C363" s="236">
        <v>5698.8935947262253</v>
      </c>
      <c r="D363" s="233"/>
      <c r="E363" s="232">
        <f t="shared" si="93"/>
        <v>0</v>
      </c>
      <c r="G363" s="10" t="s">
        <v>578</v>
      </c>
      <c r="H363" s="151">
        <f>IF(ISNUMBER(K64),K64/SUM($K$43:$AK$71),0)</f>
        <v>1.5712543838086358E-4</v>
      </c>
    </row>
    <row r="364" spans="1:8" x14ac:dyDescent="0.25">
      <c r="A364" s="150">
        <v>359</v>
      </c>
      <c r="B364" s="10" t="s">
        <v>235</v>
      </c>
      <c r="C364" s="236">
        <v>7705.3007949214725</v>
      </c>
      <c r="D364" s="233"/>
      <c r="E364" s="232">
        <f t="shared" si="93"/>
        <v>0</v>
      </c>
      <c r="G364" s="10" t="s">
        <v>579</v>
      </c>
      <c r="H364" s="151">
        <f>IF(ISNUMBER(L64),L64/SUM($K$43:$AK$71),0)</f>
        <v>7.6916449848480706E-4</v>
      </c>
    </row>
    <row r="365" spans="1:8" x14ac:dyDescent="0.25">
      <c r="A365" s="150">
        <v>360</v>
      </c>
      <c r="B365" s="10" t="s">
        <v>236</v>
      </c>
      <c r="C365" s="236">
        <v>4082.1804743653602</v>
      </c>
      <c r="D365" s="233"/>
      <c r="E365" s="232">
        <f t="shared" si="93"/>
        <v>0</v>
      </c>
      <c r="G365" s="10" t="s">
        <v>580</v>
      </c>
      <c r="H365" s="151">
        <f>IF(ISNUMBER(M64),M64/SUM($K$43:$AK$71),0)</f>
        <v>1.7425599113022807E-3</v>
      </c>
    </row>
    <row r="366" spans="1:8" x14ac:dyDescent="0.25">
      <c r="A366" s="150">
        <v>361</v>
      </c>
      <c r="B366" s="10" t="s">
        <v>739</v>
      </c>
      <c r="C366" s="236">
        <v>248736.32976612251</v>
      </c>
      <c r="D366" s="233"/>
      <c r="E366" s="232">
        <f t="shared" si="93"/>
        <v>0</v>
      </c>
      <c r="G366" s="10" t="s">
        <v>581</v>
      </c>
      <c r="H366" s="151">
        <f>IF(ISNUMBER(N64),N64/SUM($K$43:$AK$71),0)</f>
        <v>2.5057916787937502E-3</v>
      </c>
    </row>
    <row r="367" spans="1:8" x14ac:dyDescent="0.25">
      <c r="A367" s="150">
        <v>362</v>
      </c>
      <c r="B367" s="10" t="s">
        <v>740</v>
      </c>
      <c r="C367" s="236">
        <v>234353.94296568248</v>
      </c>
      <c r="D367" s="233"/>
      <c r="E367" s="232">
        <f t="shared" si="93"/>
        <v>0</v>
      </c>
      <c r="G367" s="10" t="s">
        <v>582</v>
      </c>
      <c r="H367" s="151">
        <f>IF(ISNUMBER(O64),O64/SUM($K$43:$AK$71),0)</f>
        <v>2.6402716160351986E-3</v>
      </c>
    </row>
    <row r="368" spans="1:8" x14ac:dyDescent="0.25">
      <c r="A368" s="150">
        <v>363</v>
      </c>
      <c r="B368" s="10" t="s">
        <v>741</v>
      </c>
      <c r="C368" s="236">
        <v>4697185.5101733822</v>
      </c>
      <c r="D368" s="233"/>
      <c r="E368" s="232">
        <f t="shared" si="93"/>
        <v>0</v>
      </c>
      <c r="G368" s="10" t="s">
        <v>583</v>
      </c>
      <c r="H368" s="151">
        <f>IF(ISNUMBER(P64),P64/SUM($K$43:$AK$71),0)</f>
        <v>1.9837364854735861E-3</v>
      </c>
    </row>
    <row r="369" spans="1:8" x14ac:dyDescent="0.25">
      <c r="A369" s="150">
        <v>364</v>
      </c>
      <c r="B369" s="10" t="s">
        <v>742</v>
      </c>
      <c r="C369" s="236">
        <v>4160116.8136221776</v>
      </c>
      <c r="D369" s="233"/>
      <c r="E369" s="232">
        <f t="shared" si="93"/>
        <v>0</v>
      </c>
      <c r="G369" s="10" t="s">
        <v>584</v>
      </c>
      <c r="H369" s="151">
        <f>IF(ISNUMBER(Q64),Q64/SUM($K$43:$AK$71),0)</f>
        <v>1.024598829094068E-3</v>
      </c>
    </row>
    <row r="370" spans="1:8" x14ac:dyDescent="0.25">
      <c r="A370" s="150">
        <v>365</v>
      </c>
      <c r="B370" s="10" t="s">
        <v>1039</v>
      </c>
      <c r="C370" s="236">
        <v>14658039.811476123</v>
      </c>
      <c r="D370" s="233"/>
      <c r="E370" s="232">
        <f t="shared" si="93"/>
        <v>0</v>
      </c>
      <c r="G370" s="10" t="s">
        <v>585</v>
      </c>
      <c r="H370" s="151">
        <f>IF(ISNUMBER(R64),R64/SUM($K$43:$AK$71),0)</f>
        <v>3.342075074392801E-4</v>
      </c>
    </row>
    <row r="371" spans="1:8" x14ac:dyDescent="0.25">
      <c r="A371" s="150">
        <v>366</v>
      </c>
      <c r="B371" s="10" t="s">
        <v>1040</v>
      </c>
      <c r="C371" s="236">
        <v>13114746.480963809</v>
      </c>
      <c r="D371" s="233"/>
      <c r="E371" s="232">
        <f t="shared" si="93"/>
        <v>0</v>
      </c>
      <c r="G371" s="10" t="s">
        <v>586</v>
      </c>
      <c r="H371" s="151">
        <f>IF(ISNUMBER(S64),S64/SUM($K$43:$AK$71),0)</f>
        <v>4.5811853548971207E-5</v>
      </c>
    </row>
    <row r="372" spans="1:8" x14ac:dyDescent="0.25">
      <c r="A372" s="150">
        <v>367</v>
      </c>
      <c r="B372" s="10" t="s">
        <v>1041</v>
      </c>
      <c r="C372" s="236">
        <v>22113089.853388302</v>
      </c>
      <c r="D372" s="233"/>
      <c r="E372" s="232">
        <f t="shared" si="93"/>
        <v>0</v>
      </c>
      <c r="G372" s="10" t="s">
        <v>587</v>
      </c>
      <c r="H372" s="151">
        <f>IF(ISNUMBER(T64),T64/SUM($K$43:$AK$71),0)</f>
        <v>0</v>
      </c>
    </row>
    <row r="373" spans="1:8" x14ac:dyDescent="0.25">
      <c r="A373" s="150">
        <v>368</v>
      </c>
      <c r="B373" s="10" t="s">
        <v>1042</v>
      </c>
      <c r="C373" s="236">
        <v>21372848.9496722</v>
      </c>
      <c r="D373" s="233"/>
      <c r="E373" s="232">
        <f t="shared" si="93"/>
        <v>0</v>
      </c>
      <c r="G373" s="10" t="s">
        <v>588</v>
      </c>
      <c r="H373" s="151">
        <f>IF(ISNUMBER(U64),U64/SUM($K$43:$AK$71),0)</f>
        <v>0</v>
      </c>
    </row>
    <row r="374" spans="1:8" x14ac:dyDescent="0.25">
      <c r="A374" s="150">
        <v>369</v>
      </c>
      <c r="B374" s="10" t="s">
        <v>1141</v>
      </c>
      <c r="C374" s="236">
        <v>18614308.21446979</v>
      </c>
      <c r="D374" s="233"/>
      <c r="E374" s="232">
        <f t="shared" si="93"/>
        <v>0</v>
      </c>
      <c r="G374" s="10" t="s">
        <v>589</v>
      </c>
      <c r="H374" s="151">
        <f>IF(ISNUMBER(V64),V64/SUM($K$43:$AK$71),0)</f>
        <v>1.6261631896586795E-6</v>
      </c>
    </row>
    <row r="375" spans="1:8" x14ac:dyDescent="0.25">
      <c r="A375" s="150">
        <v>370</v>
      </c>
      <c r="B375" s="10" t="s">
        <v>1142</v>
      </c>
      <c r="C375" s="236">
        <v>17688787.796576165</v>
      </c>
      <c r="D375" s="233"/>
      <c r="E375" s="232">
        <f t="shared" si="93"/>
        <v>0</v>
      </c>
      <c r="G375" s="10" t="s">
        <v>1662</v>
      </c>
      <c r="H375" s="151">
        <f>IF(ISNUMBER(W64),W64/SUM($K$43:$AK$71),0)</f>
        <v>0</v>
      </c>
    </row>
    <row r="376" spans="1:8" x14ac:dyDescent="0.25">
      <c r="A376" s="150">
        <v>371</v>
      </c>
      <c r="B376" s="10" t="s">
        <v>1143</v>
      </c>
      <c r="C376" s="236">
        <v>8507821.5033444855</v>
      </c>
      <c r="D376" s="233"/>
      <c r="E376" s="232">
        <f t="shared" si="93"/>
        <v>0</v>
      </c>
      <c r="G376" s="10" t="s">
        <v>1663</v>
      </c>
      <c r="H376" s="151">
        <f>IF(ISNUMBER(X64),X64/SUM($K$43:$AK$71),0)</f>
        <v>0</v>
      </c>
    </row>
    <row r="377" spans="1:8" x14ac:dyDescent="0.25">
      <c r="A377" s="150">
        <v>372</v>
      </c>
      <c r="B377" s="10" t="s">
        <v>1144</v>
      </c>
      <c r="C377" s="236">
        <v>7797380.2442009412</v>
      </c>
      <c r="D377" s="233"/>
      <c r="E377" s="232">
        <f t="shared" si="93"/>
        <v>0</v>
      </c>
      <c r="G377" s="10" t="s">
        <v>1664</v>
      </c>
      <c r="H377" s="151">
        <f>IF(ISNUMBER(Y64),Y64/SUM($K$43:$AK$71),0)</f>
        <v>0</v>
      </c>
    </row>
    <row r="378" spans="1:8" x14ac:dyDescent="0.25">
      <c r="A378" s="150">
        <v>373</v>
      </c>
      <c r="B378" s="10" t="s">
        <v>1145</v>
      </c>
      <c r="C378" s="236">
        <v>1587023.3897843359</v>
      </c>
      <c r="D378" s="233"/>
      <c r="E378" s="232">
        <f t="shared" si="93"/>
        <v>0</v>
      </c>
      <c r="G378" s="10" t="s">
        <v>1665</v>
      </c>
      <c r="H378" s="151">
        <f>IF(ISNUMBER(Z64),Z64/SUM($K$43:$AK$71),0)</f>
        <v>0</v>
      </c>
    </row>
    <row r="379" spans="1:8" x14ac:dyDescent="0.25">
      <c r="A379" s="150">
        <v>374</v>
      </c>
      <c r="B379" s="10" t="s">
        <v>1146</v>
      </c>
      <c r="C379" s="236">
        <v>1396020.3189353801</v>
      </c>
      <c r="D379" s="233"/>
      <c r="E379" s="232">
        <f t="shared" si="93"/>
        <v>0</v>
      </c>
      <c r="G379" s="10" t="s">
        <v>1666</v>
      </c>
      <c r="H379" s="151">
        <f>IF(ISNUMBER(AA64),AA64/SUM($K$43:$AK$71),0)</f>
        <v>0</v>
      </c>
    </row>
    <row r="380" spans="1:8" x14ac:dyDescent="0.25">
      <c r="A380" s="150">
        <v>375</v>
      </c>
      <c r="B380" s="10" t="s">
        <v>1147</v>
      </c>
      <c r="C380" s="236">
        <v>46171.563524260884</v>
      </c>
      <c r="D380" s="233"/>
      <c r="E380" s="232">
        <f t="shared" si="93"/>
        <v>0</v>
      </c>
      <c r="G380" s="10" t="s">
        <v>1667</v>
      </c>
      <c r="H380" s="151">
        <f>IF(ISNUMBER(AB64),AB64/SUM($K$43:$AK$71),0)</f>
        <v>0</v>
      </c>
    </row>
    <row r="381" spans="1:8" x14ac:dyDescent="0.25">
      <c r="A381" s="150">
        <v>376</v>
      </c>
      <c r="B381" s="10" t="s">
        <v>1148</v>
      </c>
      <c r="C381" s="236">
        <v>28425.539671554223</v>
      </c>
      <c r="D381" s="233"/>
      <c r="E381" s="232">
        <f t="shared" si="93"/>
        <v>0</v>
      </c>
      <c r="G381" s="10" t="s">
        <v>1668</v>
      </c>
      <c r="H381" s="151">
        <f>IF(ISNUMBER(AC64),AC64/SUM($K$43:$AK$71),0)</f>
        <v>1.574205283212941E-4</v>
      </c>
    </row>
    <row r="382" spans="1:8" x14ac:dyDescent="0.25">
      <c r="A382" s="150">
        <v>377</v>
      </c>
      <c r="B382" s="10" t="s">
        <v>1149</v>
      </c>
      <c r="C382" s="236">
        <v>11440.754250213979</v>
      </c>
      <c r="D382" s="233"/>
      <c r="E382" s="232">
        <f t="shared" si="93"/>
        <v>0</v>
      </c>
      <c r="G382" s="10" t="s">
        <v>1669</v>
      </c>
      <c r="H382" s="151">
        <f>IF(ISNUMBER(AD64),AD64/SUM($K$43:$AK$71),0)</f>
        <v>7.063519753393319E-4</v>
      </c>
    </row>
    <row r="383" spans="1:8" x14ac:dyDescent="0.25">
      <c r="A383" s="150">
        <v>378</v>
      </c>
      <c r="B383" s="10" t="s">
        <v>1150</v>
      </c>
      <c r="C383" s="236">
        <v>21334.862873290902</v>
      </c>
      <c r="D383" s="233"/>
      <c r="E383" s="232">
        <f t="shared" si="93"/>
        <v>0</v>
      </c>
      <c r="G383" s="10" t="s">
        <v>1670</v>
      </c>
      <c r="H383" s="151">
        <f>IF(ISNUMBER(AE64),AE64/SUM($K$43:$AK$71),0)</f>
        <v>1.4071705492195853E-3</v>
      </c>
    </row>
    <row r="384" spans="1:8" x14ac:dyDescent="0.25">
      <c r="A384" s="150">
        <v>379</v>
      </c>
      <c r="B384" s="10" t="s">
        <v>743</v>
      </c>
      <c r="C384" s="236">
        <v>9849663.2154216468</v>
      </c>
      <c r="D384" s="233"/>
      <c r="E384" s="232">
        <f t="shared" si="93"/>
        <v>0</v>
      </c>
      <c r="G384" s="10" t="s">
        <v>1671</v>
      </c>
      <c r="H384" s="151">
        <f>IF(ISNUMBER(AF64),AF64/SUM($K$43:$AK$71),0)</f>
        <v>1.7285361784773494E-3</v>
      </c>
    </row>
    <row r="385" spans="1:8" x14ac:dyDescent="0.25">
      <c r="A385" s="150">
        <v>380</v>
      </c>
      <c r="B385" s="10" t="s">
        <v>744</v>
      </c>
      <c r="C385" s="236">
        <v>6030633.298252793</v>
      </c>
      <c r="D385" s="233"/>
      <c r="E385" s="232">
        <f t="shared" si="93"/>
        <v>0</v>
      </c>
      <c r="G385" s="10" t="s">
        <v>1672</v>
      </c>
      <c r="H385" s="151">
        <f>IF(ISNUMBER(AG64),AG64/SUM($K$43:$AK$71),0)</f>
        <v>1.3435404443651359E-3</v>
      </c>
    </row>
    <row r="386" spans="1:8" x14ac:dyDescent="0.25">
      <c r="A386" s="150">
        <v>381</v>
      </c>
      <c r="B386" s="10" t="s">
        <v>237</v>
      </c>
      <c r="C386" s="236">
        <v>42248423.764339224</v>
      </c>
      <c r="D386" s="233"/>
      <c r="E386" s="232">
        <f t="shared" si="93"/>
        <v>0</v>
      </c>
      <c r="G386" s="10" t="s">
        <v>1673</v>
      </c>
      <c r="H386" s="151">
        <f>IF(ISNUMBER(AH64),AH64/SUM($K$43:$AK$71),0)</f>
        <v>7.6671981441236851E-4</v>
      </c>
    </row>
    <row r="387" spans="1:8" x14ac:dyDescent="0.25">
      <c r="A387" s="150">
        <v>382</v>
      </c>
      <c r="B387" s="10" t="s">
        <v>238</v>
      </c>
      <c r="C387" s="236">
        <v>33916833.07311713</v>
      </c>
      <c r="D387" s="233"/>
      <c r="E387" s="232">
        <f t="shared" si="93"/>
        <v>0</v>
      </c>
      <c r="G387" s="10" t="s">
        <v>1674</v>
      </c>
      <c r="H387" s="151">
        <f>IF(ISNUMBER(AI64),AI64/SUM($K$43:$AK$71),0)</f>
        <v>2.0822758101753306E-4</v>
      </c>
    </row>
    <row r="388" spans="1:8" x14ac:dyDescent="0.25">
      <c r="A388" s="150">
        <v>383</v>
      </c>
      <c r="B388" s="10" t="s">
        <v>239</v>
      </c>
      <c r="C388" s="236">
        <v>86306764.898755848</v>
      </c>
      <c r="D388" s="233"/>
      <c r="E388" s="232">
        <f t="shared" si="93"/>
        <v>0</v>
      </c>
      <c r="G388" s="10" t="s">
        <v>1675</v>
      </c>
      <c r="H388" s="151">
        <f>IF(ISNUMBER(AJ64),AJ64/SUM($K$43:$AK$71),0)</f>
        <v>0</v>
      </c>
    </row>
    <row r="389" spans="1:8" x14ac:dyDescent="0.25">
      <c r="A389" s="150">
        <v>384</v>
      </c>
      <c r="B389" s="10" t="s">
        <v>240</v>
      </c>
      <c r="C389" s="236">
        <v>83787155.25311622</v>
      </c>
      <c r="D389" s="233"/>
      <c r="E389" s="232">
        <f t="shared" si="93"/>
        <v>0</v>
      </c>
      <c r="G389" s="10" t="s">
        <v>1676</v>
      </c>
      <c r="H389" s="151">
        <f>IF(ISNUMBER(AK64),AK64/SUM($K$43:$AK$71),0)</f>
        <v>0</v>
      </c>
    </row>
    <row r="390" spans="1:8" x14ac:dyDescent="0.25">
      <c r="A390" s="150">
        <v>385</v>
      </c>
      <c r="B390" s="10" t="s">
        <v>241</v>
      </c>
      <c r="C390" s="236">
        <v>106860944.20186035</v>
      </c>
      <c r="D390" s="233"/>
      <c r="E390" s="232">
        <f t="shared" si="93"/>
        <v>0</v>
      </c>
      <c r="G390" s="10" t="s">
        <v>590</v>
      </c>
      <c r="H390" s="151">
        <f>IF(ISNUMBER(K65),K65/SUM($K$43:$AK$71),0)</f>
        <v>1.0291831437669478E-4</v>
      </c>
    </row>
    <row r="391" spans="1:8" x14ac:dyDescent="0.25">
      <c r="A391" s="150">
        <v>386</v>
      </c>
      <c r="B391" s="10" t="s">
        <v>242</v>
      </c>
      <c r="C391" s="236">
        <v>95523529.645354152</v>
      </c>
      <c r="D391" s="233"/>
      <c r="E391" s="232">
        <f t="shared" ref="E391:E454" si="94">D391/C391</f>
        <v>0</v>
      </c>
      <c r="G391" s="10" t="s">
        <v>591</v>
      </c>
      <c r="H391" s="151">
        <f>IF(ISNUMBER(L65),L65/SUM($K$43:$AK$71),0)</f>
        <v>5.5499650403739752E-4</v>
      </c>
    </row>
    <row r="392" spans="1:8" x14ac:dyDescent="0.25">
      <c r="A392" s="150">
        <v>387</v>
      </c>
      <c r="B392" s="10" t="s">
        <v>243</v>
      </c>
      <c r="C392" s="236">
        <v>61065965.096827015</v>
      </c>
      <c r="D392" s="233"/>
      <c r="E392" s="232">
        <f t="shared" si="94"/>
        <v>0</v>
      </c>
      <c r="G392" s="10" t="s">
        <v>592</v>
      </c>
      <c r="H392" s="151">
        <f>IF(ISNUMBER(M65),M65/SUM($K$43:$AK$71),0)</f>
        <v>1.254688053920815E-3</v>
      </c>
    </row>
    <row r="393" spans="1:8" x14ac:dyDescent="0.25">
      <c r="A393" s="150">
        <v>388</v>
      </c>
      <c r="B393" s="10" t="s">
        <v>244</v>
      </c>
      <c r="C393" s="236">
        <v>47891428.808590896</v>
      </c>
      <c r="D393" s="233"/>
      <c r="E393" s="232">
        <f t="shared" si="94"/>
        <v>0</v>
      </c>
      <c r="G393" s="10" t="s">
        <v>593</v>
      </c>
      <c r="H393" s="151">
        <f>IF(ISNUMBER(N65),N65/SUM($K$43:$AK$71),0)</f>
        <v>1.7892537236788453E-3</v>
      </c>
    </row>
    <row r="394" spans="1:8" x14ac:dyDescent="0.25">
      <c r="A394" s="150">
        <v>389</v>
      </c>
      <c r="B394" s="10" t="s">
        <v>245</v>
      </c>
      <c r="C394" s="236">
        <v>18518205.166724578</v>
      </c>
      <c r="D394" s="233"/>
      <c r="E394" s="232">
        <f t="shared" si="94"/>
        <v>0</v>
      </c>
      <c r="G394" s="10" t="s">
        <v>594</v>
      </c>
      <c r="H394" s="151">
        <f>IF(ISNUMBER(O65),O65/SUM($K$43:$AK$71),0)</f>
        <v>1.8774777913441538E-3</v>
      </c>
    </row>
    <row r="395" spans="1:8" x14ac:dyDescent="0.25">
      <c r="A395" s="150">
        <v>390</v>
      </c>
      <c r="B395" s="10" t="s">
        <v>246</v>
      </c>
      <c r="C395" s="236">
        <v>15494636.769032236</v>
      </c>
      <c r="D395" s="233"/>
      <c r="E395" s="232">
        <f t="shared" si="94"/>
        <v>0</v>
      </c>
      <c r="G395" s="10" t="s">
        <v>595</v>
      </c>
      <c r="H395" s="151">
        <f>IF(ISNUMBER(P65),P65/SUM($K$43:$AK$71),0)</f>
        <v>1.4560824965931551E-3</v>
      </c>
    </row>
    <row r="396" spans="1:8" x14ac:dyDescent="0.25">
      <c r="A396" s="150">
        <v>391</v>
      </c>
      <c r="B396" s="10" t="s">
        <v>247</v>
      </c>
      <c r="C396" s="236">
        <v>3088974.5756973322</v>
      </c>
      <c r="D396" s="233"/>
      <c r="E396" s="232">
        <f t="shared" si="94"/>
        <v>0</v>
      </c>
      <c r="G396" s="10" t="s">
        <v>596</v>
      </c>
      <c r="H396" s="151">
        <f>IF(ISNUMBER(Q65),Q65/SUM($K$43:$AK$71),0)</f>
        <v>7.9953489979631468E-4</v>
      </c>
    </row>
    <row r="397" spans="1:8" x14ac:dyDescent="0.25">
      <c r="A397" s="150">
        <v>392</v>
      </c>
      <c r="B397" s="10" t="s">
        <v>248</v>
      </c>
      <c r="C397" s="236">
        <v>2796936.0161541123</v>
      </c>
      <c r="D397" s="233"/>
      <c r="E397" s="232">
        <f t="shared" si="94"/>
        <v>0</v>
      </c>
      <c r="G397" s="10" t="s">
        <v>597</v>
      </c>
      <c r="H397" s="151">
        <f>IF(ISNUMBER(R65),R65/SUM($K$43:$AK$71),0)</f>
        <v>2.9246177899410429E-4</v>
      </c>
    </row>
    <row r="398" spans="1:8" x14ac:dyDescent="0.25">
      <c r="A398" s="150">
        <v>393</v>
      </c>
      <c r="B398" s="10" t="s">
        <v>249</v>
      </c>
      <c r="C398" s="236">
        <v>105934.11775729638</v>
      </c>
      <c r="D398" s="233"/>
      <c r="E398" s="232">
        <f t="shared" si="94"/>
        <v>0</v>
      </c>
      <c r="G398" s="10" t="s">
        <v>598</v>
      </c>
      <c r="H398" s="151">
        <f>IF(ISNUMBER(S65),S65/SUM($K$43:$AK$71),0)</f>
        <v>3.7595220121083621E-5</v>
      </c>
    </row>
    <row r="399" spans="1:8" x14ac:dyDescent="0.25">
      <c r="A399" s="150">
        <v>394</v>
      </c>
      <c r="B399" s="10" t="s">
        <v>250</v>
      </c>
      <c r="C399" s="236">
        <v>80272.194444039007</v>
      </c>
      <c r="D399" s="233"/>
      <c r="E399" s="232">
        <f t="shared" si="94"/>
        <v>0</v>
      </c>
      <c r="G399" s="10" t="s">
        <v>599</v>
      </c>
      <c r="H399" s="151">
        <f>IF(ISNUMBER(T65),T65/SUM($K$43:$AK$71),0)</f>
        <v>0</v>
      </c>
    </row>
    <row r="400" spans="1:8" x14ac:dyDescent="0.25">
      <c r="A400" s="150">
        <v>395</v>
      </c>
      <c r="B400" s="10" t="s">
        <v>251</v>
      </c>
      <c r="C400" s="236">
        <v>6512.4593723146854</v>
      </c>
      <c r="D400" s="233"/>
      <c r="E400" s="232">
        <f t="shared" si="94"/>
        <v>0</v>
      </c>
      <c r="G400" s="10" t="s">
        <v>600</v>
      </c>
      <c r="H400" s="151">
        <f>IF(ISNUMBER(U65),U65/SUM($K$43:$AK$71),0)</f>
        <v>0</v>
      </c>
    </row>
    <row r="401" spans="1:8" x14ac:dyDescent="0.25">
      <c r="A401" s="150">
        <v>396</v>
      </c>
      <c r="B401" s="10" t="s">
        <v>252</v>
      </c>
      <c r="C401" s="236">
        <v>6855.4049627684999</v>
      </c>
      <c r="D401" s="233"/>
      <c r="E401" s="232">
        <f t="shared" si="94"/>
        <v>0</v>
      </c>
      <c r="G401" s="10" t="s">
        <v>601</v>
      </c>
      <c r="H401" s="151">
        <f>IF(ISNUMBER(V65),V65/SUM($K$43:$AK$71),0)</f>
        <v>0</v>
      </c>
    </row>
    <row r="402" spans="1:8" x14ac:dyDescent="0.25">
      <c r="A402" s="150">
        <v>397</v>
      </c>
      <c r="B402" s="10" t="s">
        <v>253</v>
      </c>
      <c r="C402" s="236">
        <v>5054.634567627033</v>
      </c>
      <c r="D402" s="233"/>
      <c r="E402" s="232">
        <f t="shared" si="94"/>
        <v>0</v>
      </c>
      <c r="G402" s="10" t="s">
        <v>1677</v>
      </c>
      <c r="H402" s="151">
        <f>IF(ISNUMBER(W65),W65/SUM($K$43:$AK$71),0)</f>
        <v>0</v>
      </c>
    </row>
    <row r="403" spans="1:8" x14ac:dyDescent="0.25">
      <c r="A403" s="150">
        <v>398</v>
      </c>
      <c r="B403" s="10" t="s">
        <v>254</v>
      </c>
      <c r="C403" s="236">
        <v>4214.4876174315523</v>
      </c>
      <c r="D403" s="233"/>
      <c r="E403" s="232">
        <f t="shared" si="94"/>
        <v>0</v>
      </c>
      <c r="G403" s="10" t="s">
        <v>1678</v>
      </c>
      <c r="H403" s="151">
        <f>IF(ISNUMBER(X65),X65/SUM($K$43:$AK$71),0)</f>
        <v>1.5761155898124396E-6</v>
      </c>
    </row>
    <row r="404" spans="1:8" x14ac:dyDescent="0.25">
      <c r="A404" s="150">
        <v>399</v>
      </c>
      <c r="B404" s="10" t="s">
        <v>255</v>
      </c>
      <c r="C404" s="236">
        <v>7099.0977705080222</v>
      </c>
      <c r="D404" s="233"/>
      <c r="E404" s="232">
        <f t="shared" si="94"/>
        <v>0</v>
      </c>
      <c r="G404" s="10" t="s">
        <v>1679</v>
      </c>
      <c r="H404" s="151">
        <f>IF(ISNUMBER(Y65),Y65/SUM($K$43:$AK$71),0)</f>
        <v>2.2669621810820106E-6</v>
      </c>
    </row>
    <row r="405" spans="1:8" x14ac:dyDescent="0.25">
      <c r="A405" s="150">
        <v>400</v>
      </c>
      <c r="B405" s="10" t="s">
        <v>256</v>
      </c>
      <c r="C405" s="236">
        <v>10738.33087012463</v>
      </c>
      <c r="D405" s="233"/>
      <c r="E405" s="232">
        <f t="shared" si="94"/>
        <v>0</v>
      </c>
      <c r="G405" s="10" t="s">
        <v>1680</v>
      </c>
      <c r="H405" s="151">
        <f>IF(ISNUMBER(Z65),Z65/SUM($K$43:$AK$71),0)</f>
        <v>0</v>
      </c>
    </row>
    <row r="406" spans="1:8" x14ac:dyDescent="0.25">
      <c r="A406" s="150">
        <v>401</v>
      </c>
      <c r="B406" s="10" t="s">
        <v>257</v>
      </c>
      <c r="C406" s="236">
        <v>13632.288772888001</v>
      </c>
      <c r="D406" s="233"/>
      <c r="E406" s="232">
        <f t="shared" si="94"/>
        <v>0</v>
      </c>
      <c r="G406" s="10" t="s">
        <v>1681</v>
      </c>
      <c r="H406" s="151">
        <f>IF(ISNUMBER(AA65),AA65/SUM($K$43:$AK$71),0)</f>
        <v>0</v>
      </c>
    </row>
    <row r="407" spans="1:8" x14ac:dyDescent="0.25">
      <c r="A407" s="150">
        <v>402</v>
      </c>
      <c r="B407" s="10" t="s">
        <v>258</v>
      </c>
      <c r="C407" s="236">
        <v>14001.693677063351</v>
      </c>
      <c r="D407" s="233"/>
      <c r="E407" s="232">
        <f t="shared" si="94"/>
        <v>0</v>
      </c>
      <c r="G407" s="10" t="s">
        <v>1682</v>
      </c>
      <c r="H407" s="151">
        <f>IF(ISNUMBER(AB65),AB65/SUM($K$43:$AK$71),0)</f>
        <v>0</v>
      </c>
    </row>
    <row r="408" spans="1:8" x14ac:dyDescent="0.25">
      <c r="A408" s="150">
        <v>403</v>
      </c>
      <c r="B408" s="10" t="s">
        <v>745</v>
      </c>
      <c r="C408" s="236">
        <v>1318841.3685780473</v>
      </c>
      <c r="D408" s="233"/>
      <c r="E408" s="232">
        <f t="shared" si="94"/>
        <v>0</v>
      </c>
      <c r="G408" s="10" t="s">
        <v>1683</v>
      </c>
      <c r="H408" s="151">
        <f>IF(ISNUMBER(AC65),AC65/SUM($K$43:$AK$71),0)</f>
        <v>4.4108404040712598E-6</v>
      </c>
    </row>
    <row r="409" spans="1:8" x14ac:dyDescent="0.25">
      <c r="A409" s="150">
        <v>404</v>
      </c>
      <c r="B409" s="10" t="s">
        <v>746</v>
      </c>
      <c r="C409" s="236">
        <v>1132811.7372868203</v>
      </c>
      <c r="D409" s="233"/>
      <c r="E409" s="232">
        <f t="shared" si="94"/>
        <v>0</v>
      </c>
      <c r="G409" s="10" t="s">
        <v>1684</v>
      </c>
      <c r="H409" s="151">
        <f>IF(ISNUMBER(AD65),AD65/SUM($K$43:$AK$71),0)</f>
        <v>1.4532514179493972E-4</v>
      </c>
    </row>
    <row r="410" spans="1:8" x14ac:dyDescent="0.25">
      <c r="A410" s="150">
        <v>405</v>
      </c>
      <c r="B410" s="10" t="s">
        <v>1043</v>
      </c>
      <c r="C410" s="236">
        <v>9845823.4107771069</v>
      </c>
      <c r="D410" s="233"/>
      <c r="E410" s="232">
        <f t="shared" si="94"/>
        <v>0</v>
      </c>
      <c r="G410" s="10" t="s">
        <v>1685</v>
      </c>
      <c r="H410" s="151">
        <f>IF(ISNUMBER(AE65),AE65/SUM($K$43:$AK$71),0)</f>
        <v>5.763431759789159E-4</v>
      </c>
    </row>
    <row r="411" spans="1:8" x14ac:dyDescent="0.25">
      <c r="A411" s="150">
        <v>406</v>
      </c>
      <c r="B411" s="10" t="s">
        <v>1044</v>
      </c>
      <c r="C411" s="236">
        <v>8829213.1511197221</v>
      </c>
      <c r="D411" s="233"/>
      <c r="E411" s="232">
        <f t="shared" si="94"/>
        <v>0</v>
      </c>
      <c r="G411" s="10" t="s">
        <v>1686</v>
      </c>
      <c r="H411" s="151">
        <f>IF(ISNUMBER(AF65),AF65/SUM($K$43:$AK$71),0)</f>
        <v>1.0233133811840716E-3</v>
      </c>
    </row>
    <row r="412" spans="1:8" x14ac:dyDescent="0.25">
      <c r="A412" s="150">
        <v>407</v>
      </c>
      <c r="B412" s="10" t="s">
        <v>1045</v>
      </c>
      <c r="C412" s="236">
        <v>25626571.444469925</v>
      </c>
      <c r="D412" s="233"/>
      <c r="E412" s="232">
        <f t="shared" si="94"/>
        <v>0</v>
      </c>
      <c r="G412" s="10" t="s">
        <v>1687</v>
      </c>
      <c r="H412" s="151">
        <f>IF(ISNUMBER(AG65),AG65/SUM($K$43:$AK$71),0)</f>
        <v>1.2076931299038964E-3</v>
      </c>
    </row>
    <row r="413" spans="1:8" x14ac:dyDescent="0.25">
      <c r="A413" s="150">
        <v>408</v>
      </c>
      <c r="B413" s="10" t="s">
        <v>1046</v>
      </c>
      <c r="C413" s="236">
        <v>25062513.668711398</v>
      </c>
      <c r="D413" s="233"/>
      <c r="E413" s="232">
        <f t="shared" si="94"/>
        <v>0</v>
      </c>
      <c r="G413" s="10" t="s">
        <v>1688</v>
      </c>
      <c r="H413" s="151">
        <f>IF(ISNUMBER(AH65),AH65/SUM($K$43:$AK$71),0)</f>
        <v>9.8598107687361764E-4</v>
      </c>
    </row>
    <row r="414" spans="1:8" x14ac:dyDescent="0.25">
      <c r="A414" s="150">
        <v>409</v>
      </c>
      <c r="B414" s="10" t="s">
        <v>1151</v>
      </c>
      <c r="C414" s="236">
        <v>35370217.569045052</v>
      </c>
      <c r="D414" s="233"/>
      <c r="E414" s="232">
        <f t="shared" si="94"/>
        <v>0</v>
      </c>
      <c r="G414" s="10" t="s">
        <v>1689</v>
      </c>
      <c r="H414" s="151">
        <f>IF(ISNUMBER(AI65),AI65/SUM($K$43:$AK$71),0)</f>
        <v>4.5889531087832765E-4</v>
      </c>
    </row>
    <row r="415" spans="1:8" x14ac:dyDescent="0.25">
      <c r="A415" s="150">
        <v>410</v>
      </c>
      <c r="B415" s="10" t="s">
        <v>1152</v>
      </c>
      <c r="C415" s="236">
        <v>34274824.442642227</v>
      </c>
      <c r="D415" s="233"/>
      <c r="E415" s="232">
        <f t="shared" si="94"/>
        <v>0</v>
      </c>
      <c r="G415" s="10" t="s">
        <v>1690</v>
      </c>
      <c r="H415" s="151">
        <f>IF(ISNUMBER(AJ65),AJ65/SUM($K$43:$AK$71),0)</f>
        <v>0</v>
      </c>
    </row>
    <row r="416" spans="1:8" x14ac:dyDescent="0.25">
      <c r="A416" s="150">
        <v>411</v>
      </c>
      <c r="B416" s="10" t="s">
        <v>1153</v>
      </c>
      <c r="C416" s="236">
        <v>27821148.321320299</v>
      </c>
      <c r="D416" s="233"/>
      <c r="E416" s="232">
        <f t="shared" si="94"/>
        <v>0</v>
      </c>
      <c r="G416" s="10" t="s">
        <v>1691</v>
      </c>
      <c r="H416" s="151">
        <f>IF(ISNUMBER(AK65),AK65/SUM($K$43:$AK$71),0)</f>
        <v>0</v>
      </c>
    </row>
    <row r="417" spans="1:8" x14ac:dyDescent="0.25">
      <c r="A417" s="150">
        <v>412</v>
      </c>
      <c r="B417" s="10" t="s">
        <v>1154</v>
      </c>
      <c r="C417" s="236">
        <v>25227056.99335482</v>
      </c>
      <c r="D417" s="233"/>
      <c r="E417" s="232">
        <f t="shared" si="94"/>
        <v>0</v>
      </c>
      <c r="G417" s="10" t="s">
        <v>602</v>
      </c>
      <c r="H417" s="151">
        <f>IF(ISNUMBER(K66),K66/SUM($K$43:$AK$71),0)</f>
        <v>7.0729073459583028E-5</v>
      </c>
    </row>
    <row r="418" spans="1:8" x14ac:dyDescent="0.25">
      <c r="A418" s="150">
        <v>413</v>
      </c>
      <c r="B418" s="10" t="s">
        <v>1155</v>
      </c>
      <c r="C418" s="236">
        <v>12428241.782340659</v>
      </c>
      <c r="D418" s="233"/>
      <c r="E418" s="232">
        <f t="shared" si="94"/>
        <v>0</v>
      </c>
      <c r="G418" s="10" t="s">
        <v>603</v>
      </c>
      <c r="H418" s="151">
        <f>IF(ISNUMBER(L66),L66/SUM($K$43:$AK$71),0)</f>
        <v>3.9780458782261938E-4</v>
      </c>
    </row>
    <row r="419" spans="1:8" x14ac:dyDescent="0.25">
      <c r="A419" s="150">
        <v>414</v>
      </c>
      <c r="B419" s="10" t="s">
        <v>1156</v>
      </c>
      <c r="C419" s="236">
        <v>11532142.609847303</v>
      </c>
      <c r="D419" s="233"/>
      <c r="E419" s="232">
        <f t="shared" si="94"/>
        <v>0</v>
      </c>
      <c r="G419" s="10" t="s">
        <v>604</v>
      </c>
      <c r="H419" s="151">
        <f>IF(ISNUMBER(M66),M66/SUM($K$43:$AK$71),0)</f>
        <v>9.4807280500227892E-4</v>
      </c>
    </row>
    <row r="420" spans="1:8" x14ac:dyDescent="0.25">
      <c r="A420" s="150">
        <v>415</v>
      </c>
      <c r="B420" s="10" t="s">
        <v>1157</v>
      </c>
      <c r="C420" s="236">
        <v>2481253.5100784004</v>
      </c>
      <c r="D420" s="233"/>
      <c r="E420" s="232">
        <f t="shared" si="94"/>
        <v>0</v>
      </c>
      <c r="G420" s="10" t="s">
        <v>605</v>
      </c>
      <c r="H420" s="151">
        <f>IF(ISNUMBER(N66),N66/SUM($K$43:$AK$71),0)</f>
        <v>1.3618296970222719E-3</v>
      </c>
    </row>
    <row r="421" spans="1:8" x14ac:dyDescent="0.25">
      <c r="A421" s="150">
        <v>416</v>
      </c>
      <c r="B421" s="10" t="s">
        <v>1158</v>
      </c>
      <c r="C421" s="236">
        <v>2531932.6301397672</v>
      </c>
      <c r="D421" s="233"/>
      <c r="E421" s="232">
        <f t="shared" si="94"/>
        <v>0</v>
      </c>
      <c r="G421" s="10" t="s">
        <v>606</v>
      </c>
      <c r="H421" s="151">
        <f>IF(ISNUMBER(O66),O66/SUM($K$43:$AK$71),0)</f>
        <v>1.4251855024417994E-3</v>
      </c>
    </row>
    <row r="422" spans="1:8" x14ac:dyDescent="0.25">
      <c r="A422" s="150">
        <v>417</v>
      </c>
      <c r="B422" s="10" t="s">
        <v>1159</v>
      </c>
      <c r="C422" s="236">
        <v>75419.09283427347</v>
      </c>
      <c r="D422" s="233"/>
      <c r="E422" s="232">
        <f t="shared" si="94"/>
        <v>0</v>
      </c>
      <c r="G422" s="10" t="s">
        <v>607</v>
      </c>
      <c r="H422" s="151">
        <f>IF(ISNUMBER(P66),P66/SUM($K$43:$AK$71),0)</f>
        <v>1.171925012451526E-3</v>
      </c>
    </row>
    <row r="423" spans="1:8" x14ac:dyDescent="0.25">
      <c r="A423" s="150">
        <v>418</v>
      </c>
      <c r="B423" s="10" t="s">
        <v>1160</v>
      </c>
      <c r="C423" s="236">
        <v>42124.579987304278</v>
      </c>
      <c r="D423" s="233"/>
      <c r="E423" s="232">
        <f t="shared" si="94"/>
        <v>0</v>
      </c>
      <c r="G423" s="10" t="s">
        <v>608</v>
      </c>
      <c r="H423" s="151">
        <f>IF(ISNUMBER(Q66),Q66/SUM($K$43:$AK$71),0)</f>
        <v>6.871415269401373E-4</v>
      </c>
    </row>
    <row r="424" spans="1:8" x14ac:dyDescent="0.25">
      <c r="A424" s="150">
        <v>419</v>
      </c>
      <c r="B424" s="10" t="s">
        <v>1161</v>
      </c>
      <c r="C424" s="236">
        <v>12637.37140991195</v>
      </c>
      <c r="D424" s="233"/>
      <c r="E424" s="232">
        <f t="shared" si="94"/>
        <v>0</v>
      </c>
      <c r="G424" s="10" t="s">
        <v>609</v>
      </c>
      <c r="H424" s="151">
        <f>IF(ISNUMBER(R66),R66/SUM($K$43:$AK$71),0)</f>
        <v>2.629980651955624E-4</v>
      </c>
    </row>
    <row r="425" spans="1:8" x14ac:dyDescent="0.25">
      <c r="A425" s="150">
        <v>420</v>
      </c>
      <c r="B425" s="10" t="s">
        <v>1162</v>
      </c>
      <c r="C425" s="236">
        <v>4051.9365819320151</v>
      </c>
      <c r="D425" s="233"/>
      <c r="E425" s="232">
        <f t="shared" si="94"/>
        <v>0</v>
      </c>
      <c r="G425" s="10" t="s">
        <v>610</v>
      </c>
      <c r="H425" s="151">
        <f>IF(ISNUMBER(S66),S66/SUM($K$43:$AK$71),0)</f>
        <v>0</v>
      </c>
    </row>
    <row r="426" spans="1:8" x14ac:dyDescent="0.25">
      <c r="A426" s="150">
        <v>421</v>
      </c>
      <c r="B426" s="10" t="s">
        <v>259</v>
      </c>
      <c r="C426" s="236">
        <v>9431956.0436785333</v>
      </c>
      <c r="D426" s="233"/>
      <c r="E426" s="232">
        <f t="shared" si="94"/>
        <v>0</v>
      </c>
      <c r="G426" s="10" t="s">
        <v>611</v>
      </c>
      <c r="H426" s="151">
        <f>IF(ISNUMBER(T66),T66/SUM($K$43:$AK$71),0)</f>
        <v>0</v>
      </c>
    </row>
    <row r="427" spans="1:8" x14ac:dyDescent="0.25">
      <c r="A427" s="150">
        <v>422</v>
      </c>
      <c r="B427" s="10" t="s">
        <v>260</v>
      </c>
      <c r="C427" s="236">
        <v>5954434.0725059081</v>
      </c>
      <c r="D427" s="233"/>
      <c r="E427" s="232">
        <f t="shared" si="94"/>
        <v>0</v>
      </c>
      <c r="G427" s="10" t="s">
        <v>612</v>
      </c>
      <c r="H427" s="151">
        <f>IF(ISNUMBER(U66),U66/SUM($K$43:$AK$71),0)</f>
        <v>3.3000103481940231E-6</v>
      </c>
    </row>
    <row r="428" spans="1:8" x14ac:dyDescent="0.25">
      <c r="A428" s="150">
        <v>423</v>
      </c>
      <c r="B428" s="10" t="s">
        <v>261</v>
      </c>
      <c r="C428" s="236">
        <v>40978856.997756951</v>
      </c>
      <c r="D428" s="233"/>
      <c r="E428" s="232">
        <f t="shared" si="94"/>
        <v>0</v>
      </c>
      <c r="G428" s="10" t="s">
        <v>1692</v>
      </c>
      <c r="H428" s="151">
        <f>IF(ISNUMBER(V66),V66/SUM($K$43:$AK$71),0)</f>
        <v>0</v>
      </c>
    </row>
    <row r="429" spans="1:8" x14ac:dyDescent="0.25">
      <c r="A429" s="150">
        <v>424</v>
      </c>
      <c r="B429" s="10" t="s">
        <v>262</v>
      </c>
      <c r="C429" s="236">
        <v>32773676.398582954</v>
      </c>
      <c r="D429" s="233"/>
      <c r="E429" s="232">
        <f t="shared" si="94"/>
        <v>0</v>
      </c>
      <c r="G429" s="10" t="s">
        <v>1693</v>
      </c>
      <c r="H429" s="151">
        <f>IF(ISNUMBER(W66),W66/SUM($K$43:$AK$71),0)</f>
        <v>0</v>
      </c>
    </row>
    <row r="430" spans="1:8" x14ac:dyDescent="0.25">
      <c r="A430" s="150">
        <v>425</v>
      </c>
      <c r="B430" s="10" t="s">
        <v>263</v>
      </c>
      <c r="C430" s="236">
        <v>95146439.005619928</v>
      </c>
      <c r="D430" s="233"/>
      <c r="E430" s="232">
        <f t="shared" si="94"/>
        <v>0</v>
      </c>
      <c r="G430" s="10" t="s">
        <v>1694</v>
      </c>
      <c r="H430" s="151">
        <f>IF(ISNUMBER(X66),X66/SUM($K$43:$AK$71),0)</f>
        <v>0</v>
      </c>
    </row>
    <row r="431" spans="1:8" x14ac:dyDescent="0.25">
      <c r="A431" s="150">
        <v>426</v>
      </c>
      <c r="B431" s="10" t="s">
        <v>264</v>
      </c>
      <c r="C431" s="236">
        <v>90946033.078715026</v>
      </c>
      <c r="D431" s="233"/>
      <c r="E431" s="232">
        <f t="shared" si="94"/>
        <v>0</v>
      </c>
      <c r="G431" s="10" t="s">
        <v>1695</v>
      </c>
      <c r="H431" s="151">
        <f>IF(ISNUMBER(Y66),Y66/SUM($K$43:$AK$71),0)</f>
        <v>0</v>
      </c>
    </row>
    <row r="432" spans="1:8" x14ac:dyDescent="0.25">
      <c r="A432" s="150">
        <v>427</v>
      </c>
      <c r="B432" s="10" t="s">
        <v>265</v>
      </c>
      <c r="C432" s="236">
        <v>126911109.24610603</v>
      </c>
      <c r="D432" s="233"/>
      <c r="E432" s="232">
        <f t="shared" si="94"/>
        <v>0</v>
      </c>
      <c r="G432" s="10" t="s">
        <v>1696</v>
      </c>
      <c r="H432" s="151">
        <f>IF(ISNUMBER(Z66),Z66/SUM($K$43:$AK$71),0)</f>
        <v>0</v>
      </c>
    </row>
    <row r="433" spans="1:8" x14ac:dyDescent="0.25">
      <c r="A433" s="150">
        <v>428</v>
      </c>
      <c r="B433" s="10" t="s">
        <v>266</v>
      </c>
      <c r="C433" s="236">
        <v>113608268.53689362</v>
      </c>
      <c r="D433" s="233"/>
      <c r="E433" s="232">
        <f t="shared" si="94"/>
        <v>0</v>
      </c>
      <c r="G433" s="10" t="s">
        <v>1697</v>
      </c>
      <c r="H433" s="151">
        <f>IF(ISNUMBER(AA66),AA66/SUM($K$43:$AK$71),0)</f>
        <v>0</v>
      </c>
    </row>
    <row r="434" spans="1:8" x14ac:dyDescent="0.25">
      <c r="A434" s="150">
        <v>429</v>
      </c>
      <c r="B434" s="10" t="s">
        <v>267</v>
      </c>
      <c r="C434" s="236">
        <v>83001231.909368068</v>
      </c>
      <c r="D434" s="233"/>
      <c r="E434" s="232">
        <f t="shared" si="94"/>
        <v>0</v>
      </c>
      <c r="G434" s="10" t="s">
        <v>1698</v>
      </c>
      <c r="H434" s="151">
        <f>IF(ISNUMBER(AB66),AB66/SUM($K$43:$AK$71),0)</f>
        <v>0</v>
      </c>
    </row>
    <row r="435" spans="1:8" x14ac:dyDescent="0.25">
      <c r="A435" s="150">
        <v>430</v>
      </c>
      <c r="B435" s="10" t="s">
        <v>268</v>
      </c>
      <c r="C435" s="236">
        <v>65340624.764440551</v>
      </c>
      <c r="D435" s="233"/>
      <c r="E435" s="232">
        <f t="shared" si="94"/>
        <v>0</v>
      </c>
      <c r="G435" s="10" t="s">
        <v>1699</v>
      </c>
      <c r="H435" s="151">
        <f>IF(ISNUMBER(AC66),AC66/SUM($K$43:$AK$71),0)</f>
        <v>0</v>
      </c>
    </row>
    <row r="436" spans="1:8" x14ac:dyDescent="0.25">
      <c r="A436" s="150">
        <v>431</v>
      </c>
      <c r="B436" s="10" t="s">
        <v>269</v>
      </c>
      <c r="C436" s="236">
        <v>30302122.060875654</v>
      </c>
      <c r="D436" s="233"/>
      <c r="E436" s="232">
        <f t="shared" si="94"/>
        <v>0</v>
      </c>
      <c r="G436" s="10" t="s">
        <v>1700</v>
      </c>
      <c r="H436" s="151">
        <f>IF(ISNUMBER(AD66),AD66/SUM($K$43:$AK$71),0)</f>
        <v>0</v>
      </c>
    </row>
    <row r="437" spans="1:8" x14ac:dyDescent="0.25">
      <c r="A437" s="150">
        <v>432</v>
      </c>
      <c r="B437" s="10" t="s">
        <v>270</v>
      </c>
      <c r="C437" s="236">
        <v>25332945.405370925</v>
      </c>
      <c r="D437" s="233"/>
      <c r="E437" s="232">
        <f t="shared" si="94"/>
        <v>0</v>
      </c>
      <c r="G437" s="10" t="s">
        <v>1701</v>
      </c>
      <c r="H437" s="151">
        <f>IF(ISNUMBER(AE66),AE66/SUM($K$43:$AK$71),0)</f>
        <v>8.8699318918826947E-5</v>
      </c>
    </row>
    <row r="438" spans="1:8" x14ac:dyDescent="0.25">
      <c r="A438" s="150">
        <v>433</v>
      </c>
      <c r="B438" s="10" t="s">
        <v>271</v>
      </c>
      <c r="C438" s="236">
        <v>6427403.91417694</v>
      </c>
      <c r="D438" s="233"/>
      <c r="E438" s="232">
        <f t="shared" si="94"/>
        <v>0</v>
      </c>
      <c r="G438" s="10" t="s">
        <v>1702</v>
      </c>
      <c r="H438" s="151">
        <f>IF(ISNUMBER(AF66),AF66/SUM($K$43:$AK$71),0)</f>
        <v>3.5107724180133193E-4</v>
      </c>
    </row>
    <row r="439" spans="1:8" x14ac:dyDescent="0.25">
      <c r="A439" s="150">
        <v>434</v>
      </c>
      <c r="B439" s="10" t="s">
        <v>272</v>
      </c>
      <c r="C439" s="236">
        <v>5965484.1998166423</v>
      </c>
      <c r="D439" s="233"/>
      <c r="E439" s="232">
        <f t="shared" si="94"/>
        <v>0</v>
      </c>
      <c r="G439" s="10" t="s">
        <v>1703</v>
      </c>
      <c r="H439" s="151">
        <f>IF(ISNUMBER(AG66),AG66/SUM($K$43:$AK$71),0)</f>
        <v>5.7754130558941563E-4</v>
      </c>
    </row>
    <row r="440" spans="1:8" x14ac:dyDescent="0.25">
      <c r="A440" s="150">
        <v>435</v>
      </c>
      <c r="B440" s="10" t="s">
        <v>273</v>
      </c>
      <c r="C440" s="236">
        <v>544134.58580153075</v>
      </c>
      <c r="D440" s="233"/>
      <c r="E440" s="232">
        <f t="shared" si="94"/>
        <v>0</v>
      </c>
      <c r="G440" s="10" t="s">
        <v>1704</v>
      </c>
      <c r="H440" s="151">
        <f>IF(ISNUMBER(AH66),AH66/SUM($K$43:$AK$71),0)</f>
        <v>7.0365426912763463E-4</v>
      </c>
    </row>
    <row r="441" spans="1:8" x14ac:dyDescent="0.25">
      <c r="A441" s="150">
        <v>436</v>
      </c>
      <c r="B441" s="10" t="s">
        <v>274</v>
      </c>
      <c r="C441" s="236">
        <v>520881.76283355831</v>
      </c>
      <c r="D441" s="233"/>
      <c r="E441" s="232">
        <f t="shared" si="94"/>
        <v>0</v>
      </c>
      <c r="G441" s="10" t="s">
        <v>1705</v>
      </c>
      <c r="H441" s="151">
        <f>IF(ISNUMBER(AI66),AI66/SUM($K$43:$AK$71),0)</f>
        <v>0</v>
      </c>
    </row>
    <row r="442" spans="1:8" x14ac:dyDescent="0.25">
      <c r="A442" s="150">
        <v>437</v>
      </c>
      <c r="B442" s="10" t="s">
        <v>275</v>
      </c>
      <c r="C442" s="236">
        <v>22649.139012195636</v>
      </c>
      <c r="D442" s="233"/>
      <c r="E442" s="232">
        <f t="shared" si="94"/>
        <v>0</v>
      </c>
      <c r="G442" s="10" t="s">
        <v>1706</v>
      </c>
      <c r="H442" s="151">
        <f>IF(ISNUMBER(AJ66),AJ66/SUM($K$43:$AK$71),0)</f>
        <v>0</v>
      </c>
    </row>
    <row r="443" spans="1:8" x14ac:dyDescent="0.25">
      <c r="A443" s="150">
        <v>438</v>
      </c>
      <c r="B443" s="10" t="s">
        <v>276</v>
      </c>
      <c r="C443" s="236">
        <v>14383.248427551487</v>
      </c>
      <c r="D443" s="233"/>
      <c r="E443" s="232">
        <f t="shared" si="94"/>
        <v>0</v>
      </c>
      <c r="G443" s="10" t="s">
        <v>1707</v>
      </c>
      <c r="H443" s="151">
        <f>IF(ISNUMBER(AK66),AK66/SUM($K$43:$AK$71),0)</f>
        <v>0</v>
      </c>
    </row>
    <row r="444" spans="1:8" x14ac:dyDescent="0.25">
      <c r="A444" s="150">
        <v>439</v>
      </c>
      <c r="B444" s="10" t="s">
        <v>277</v>
      </c>
      <c r="C444" s="236">
        <v>3613.60552906047</v>
      </c>
      <c r="D444" s="233"/>
      <c r="E444" s="232">
        <f t="shared" si="94"/>
        <v>0</v>
      </c>
      <c r="G444" s="10" t="s">
        <v>613</v>
      </c>
      <c r="H444" s="151">
        <f>IF(ISNUMBER(K67),K67/SUM($K$43:$AK$71),0)</f>
        <v>4.1494671812680857E-5</v>
      </c>
    </row>
    <row r="445" spans="1:8" x14ac:dyDescent="0.25">
      <c r="A445" s="150">
        <v>440</v>
      </c>
      <c r="B445" s="10" t="s">
        <v>278</v>
      </c>
      <c r="C445" s="236">
        <v>13112.976033065755</v>
      </c>
      <c r="D445" s="233"/>
      <c r="E445" s="232">
        <f t="shared" si="94"/>
        <v>0</v>
      </c>
      <c r="G445" s="10" t="s">
        <v>614</v>
      </c>
      <c r="H445" s="151">
        <f>IF(ISNUMBER(L67),L67/SUM($K$43:$AK$71),0)</f>
        <v>2.4663066943630355E-4</v>
      </c>
    </row>
    <row r="446" spans="1:8" x14ac:dyDescent="0.25">
      <c r="A446" s="150">
        <v>441</v>
      </c>
      <c r="B446" s="10" t="s">
        <v>279</v>
      </c>
      <c r="C446" s="236">
        <v>3081.8687834469501</v>
      </c>
      <c r="D446" s="233"/>
      <c r="E446" s="232">
        <f t="shared" si="94"/>
        <v>0</v>
      </c>
      <c r="G446" s="10" t="s">
        <v>615</v>
      </c>
      <c r="H446" s="151">
        <f>IF(ISNUMBER(M67),M67/SUM($K$43:$AK$71),0)</f>
        <v>6.2367076910755379E-4</v>
      </c>
    </row>
    <row r="447" spans="1:8" x14ac:dyDescent="0.25">
      <c r="A447" s="150">
        <v>442</v>
      </c>
      <c r="B447" s="10" t="s">
        <v>280</v>
      </c>
      <c r="C447" s="236">
        <v>1183.318454223685</v>
      </c>
      <c r="D447" s="233"/>
      <c r="E447" s="232">
        <f t="shared" si="94"/>
        <v>0</v>
      </c>
      <c r="G447" s="10" t="s">
        <v>616</v>
      </c>
      <c r="H447" s="151">
        <f>IF(ISNUMBER(N67),N67/SUM($K$43:$AK$71),0)</f>
        <v>9.2787546601798851E-4</v>
      </c>
    </row>
    <row r="448" spans="1:8" x14ac:dyDescent="0.25">
      <c r="A448" s="150">
        <v>443</v>
      </c>
      <c r="B448" s="10" t="s">
        <v>747</v>
      </c>
      <c r="C448" s="236">
        <v>7974.8296329957748</v>
      </c>
      <c r="D448" s="233"/>
      <c r="E448" s="232">
        <f t="shared" si="94"/>
        <v>0</v>
      </c>
      <c r="G448" s="10" t="s">
        <v>617</v>
      </c>
      <c r="H448" s="151">
        <f>IF(ISNUMBER(O67),O67/SUM($K$43:$AK$71),0)</f>
        <v>9.9379258425802658E-4</v>
      </c>
    </row>
    <row r="449" spans="1:8" x14ac:dyDescent="0.25">
      <c r="A449" s="150">
        <v>444</v>
      </c>
      <c r="B449" s="10" t="s">
        <v>748</v>
      </c>
      <c r="C449" s="236">
        <v>939.60802011110241</v>
      </c>
      <c r="D449" s="233"/>
      <c r="E449" s="232">
        <f t="shared" si="94"/>
        <v>0</v>
      </c>
      <c r="G449" s="10" t="s">
        <v>618</v>
      </c>
      <c r="H449" s="151">
        <f>IF(ISNUMBER(P67),P67/SUM($K$43:$AK$71),0)</f>
        <v>8.0298745788174295E-4</v>
      </c>
    </row>
    <row r="450" spans="1:8" x14ac:dyDescent="0.25">
      <c r="A450" s="150">
        <v>445</v>
      </c>
      <c r="B450" s="10" t="s">
        <v>749</v>
      </c>
      <c r="C450" s="236">
        <v>76880.79456151044</v>
      </c>
      <c r="D450" s="233"/>
      <c r="E450" s="232">
        <f t="shared" si="94"/>
        <v>0</v>
      </c>
      <c r="G450" s="10" t="s">
        <v>619</v>
      </c>
      <c r="H450" s="151">
        <f>IF(ISNUMBER(Q67),Q67/SUM($K$43:$AK$71),0)</f>
        <v>4.9712308657788736E-4</v>
      </c>
    </row>
    <row r="451" spans="1:8" x14ac:dyDescent="0.25">
      <c r="A451" s="150">
        <v>446</v>
      </c>
      <c r="B451" s="10" t="s">
        <v>750</v>
      </c>
      <c r="C451" s="236">
        <v>92410.212672382549</v>
      </c>
      <c r="D451" s="233"/>
      <c r="E451" s="232">
        <f t="shared" si="94"/>
        <v>0</v>
      </c>
      <c r="G451" s="10" t="s">
        <v>620</v>
      </c>
      <c r="H451" s="151">
        <f>IF(ISNUMBER(R67),R67/SUM($K$43:$AK$71),0)</f>
        <v>1.9243105118379439E-4</v>
      </c>
    </row>
    <row r="452" spans="1:8" x14ac:dyDescent="0.25">
      <c r="A452" s="150">
        <v>447</v>
      </c>
      <c r="B452" s="10" t="s">
        <v>1047</v>
      </c>
      <c r="C452" s="236">
        <v>3787691.8227995625</v>
      </c>
      <c r="D452" s="233"/>
      <c r="E452" s="232">
        <f t="shared" si="94"/>
        <v>0</v>
      </c>
      <c r="G452" s="10" t="s">
        <v>621</v>
      </c>
      <c r="H452" s="151">
        <f>IF(ISNUMBER(S67),S67/SUM($K$43:$AK$71),0)</f>
        <v>3.3593614187501241E-5</v>
      </c>
    </row>
    <row r="453" spans="1:8" x14ac:dyDescent="0.25">
      <c r="A453" s="150">
        <v>448</v>
      </c>
      <c r="B453" s="10" t="s">
        <v>1048</v>
      </c>
      <c r="C453" s="236">
        <v>3469446.4874367397</v>
      </c>
      <c r="D453" s="233"/>
      <c r="E453" s="232">
        <f t="shared" si="94"/>
        <v>0</v>
      </c>
      <c r="G453" s="10" t="s">
        <v>622</v>
      </c>
      <c r="H453" s="151">
        <f>IF(ISNUMBER(T67),T67/SUM($K$43:$AK$71),0)</f>
        <v>0</v>
      </c>
    </row>
    <row r="454" spans="1:8" x14ac:dyDescent="0.25">
      <c r="A454" s="150">
        <v>449</v>
      </c>
      <c r="B454" s="10" t="s">
        <v>1163</v>
      </c>
      <c r="C454" s="236">
        <v>17423181.683346264</v>
      </c>
      <c r="D454" s="233"/>
      <c r="E454" s="232">
        <f t="shared" si="94"/>
        <v>0</v>
      </c>
      <c r="G454" s="10" t="s">
        <v>623</v>
      </c>
      <c r="H454" s="151">
        <f>IF(ISNUMBER(U67),U67/SUM($K$43:$AK$71),0)</f>
        <v>0</v>
      </c>
    </row>
    <row r="455" spans="1:8" x14ac:dyDescent="0.25">
      <c r="A455" s="150">
        <v>450</v>
      </c>
      <c r="B455" s="10" t="s">
        <v>1164</v>
      </c>
      <c r="C455" s="236">
        <v>16791187.038945053</v>
      </c>
      <c r="D455" s="233"/>
      <c r="E455" s="232">
        <f t="shared" ref="E455:E518" si="95">D455/C455</f>
        <v>0</v>
      </c>
      <c r="G455" s="10" t="s">
        <v>1708</v>
      </c>
      <c r="H455" s="151">
        <f>IF(ISNUMBER(V67),V67/SUM($K$43:$AK$71),0)</f>
        <v>0</v>
      </c>
    </row>
    <row r="456" spans="1:8" x14ac:dyDescent="0.25">
      <c r="A456" s="150">
        <v>451</v>
      </c>
      <c r="B456" s="10" t="s">
        <v>1165</v>
      </c>
      <c r="C456" s="236">
        <v>38201390.102643952</v>
      </c>
      <c r="D456" s="233"/>
      <c r="E456" s="232">
        <f t="shared" si="95"/>
        <v>0</v>
      </c>
      <c r="G456" s="10" t="s">
        <v>1709</v>
      </c>
      <c r="H456" s="151">
        <f>IF(ISNUMBER(W67),W67/SUM($K$43:$AK$71),0)</f>
        <v>0</v>
      </c>
    </row>
    <row r="457" spans="1:8" x14ac:dyDescent="0.25">
      <c r="A457" s="150">
        <v>452</v>
      </c>
      <c r="B457" s="10" t="s">
        <v>1166</v>
      </c>
      <c r="C457" s="236">
        <v>36774822.823757172</v>
      </c>
      <c r="D457" s="233"/>
      <c r="E457" s="232">
        <f t="shared" si="95"/>
        <v>0</v>
      </c>
      <c r="G457" s="10" t="s">
        <v>1710</v>
      </c>
      <c r="H457" s="151">
        <f>IF(ISNUMBER(X67),X67/SUM($K$43:$AK$71),0)</f>
        <v>0</v>
      </c>
    </row>
    <row r="458" spans="1:8" x14ac:dyDescent="0.25">
      <c r="A458" s="150">
        <v>453</v>
      </c>
      <c r="B458" s="10" t="s">
        <v>1167</v>
      </c>
      <c r="C458" s="236">
        <v>47821210.186589696</v>
      </c>
      <c r="D458" s="233"/>
      <c r="E458" s="232">
        <f t="shared" si="95"/>
        <v>0</v>
      </c>
      <c r="G458" s="10" t="s">
        <v>1711</v>
      </c>
      <c r="H458" s="151">
        <f>IF(ISNUMBER(Y67),Y67/SUM($K$43:$AK$71),0)</f>
        <v>3.0790094866819238E-6</v>
      </c>
    </row>
    <row r="459" spans="1:8" x14ac:dyDescent="0.25">
      <c r="A459" s="150">
        <v>454</v>
      </c>
      <c r="B459" s="10" t="s">
        <v>1168</v>
      </c>
      <c r="C459" s="236">
        <v>43785422.36463213</v>
      </c>
      <c r="D459" s="233"/>
      <c r="E459" s="232">
        <f t="shared" si="95"/>
        <v>0</v>
      </c>
      <c r="G459" s="10" t="s">
        <v>1712</v>
      </c>
      <c r="H459" s="151">
        <f>IF(ISNUMBER(Z67),Z67/SUM($K$43:$AK$71),0)</f>
        <v>0</v>
      </c>
    </row>
    <row r="460" spans="1:8" x14ac:dyDescent="0.25">
      <c r="A460" s="150">
        <v>455</v>
      </c>
      <c r="B460" s="10" t="s">
        <v>1169</v>
      </c>
      <c r="C460" s="236">
        <v>34828074.980628029</v>
      </c>
      <c r="D460" s="233"/>
      <c r="E460" s="232">
        <f t="shared" si="95"/>
        <v>0</v>
      </c>
      <c r="G460" s="10" t="s">
        <v>1713</v>
      </c>
      <c r="H460" s="151">
        <f>IF(ISNUMBER(AA67),AA67/SUM($K$43:$AK$71),0)</f>
        <v>0</v>
      </c>
    </row>
    <row r="461" spans="1:8" x14ac:dyDescent="0.25">
      <c r="A461" s="150">
        <v>456</v>
      </c>
      <c r="B461" s="10" t="s">
        <v>1170</v>
      </c>
      <c r="C461" s="236">
        <v>32061673.256512176</v>
      </c>
      <c r="D461" s="233"/>
      <c r="E461" s="232">
        <f t="shared" si="95"/>
        <v>0</v>
      </c>
      <c r="G461" s="10" t="s">
        <v>1714</v>
      </c>
      <c r="H461" s="151">
        <f>IF(ISNUMBER(AB67),AB67/SUM($K$43:$AK$71),0)</f>
        <v>0</v>
      </c>
    </row>
    <row r="462" spans="1:8" x14ac:dyDescent="0.25">
      <c r="A462" s="150">
        <v>457</v>
      </c>
      <c r="B462" s="10" t="s">
        <v>1171</v>
      </c>
      <c r="C462" s="236">
        <v>14371437.987961791</v>
      </c>
      <c r="D462" s="233"/>
      <c r="E462" s="232">
        <f t="shared" si="95"/>
        <v>0</v>
      </c>
      <c r="G462" s="10" t="s">
        <v>1715</v>
      </c>
      <c r="H462" s="151">
        <f>IF(ISNUMBER(AC67),AC67/SUM($K$43:$AK$71),0)</f>
        <v>0</v>
      </c>
    </row>
    <row r="463" spans="1:8" x14ac:dyDescent="0.25">
      <c r="A463" s="150">
        <v>458</v>
      </c>
      <c r="B463" s="10" t="s">
        <v>1172</v>
      </c>
      <c r="C463" s="236">
        <v>14219789.205549836</v>
      </c>
      <c r="D463" s="233"/>
      <c r="E463" s="232">
        <f t="shared" si="95"/>
        <v>0</v>
      </c>
      <c r="G463" s="10" t="s">
        <v>1716</v>
      </c>
      <c r="H463" s="151">
        <f>IF(ISNUMBER(AD67),AD67/SUM($K$43:$AK$71),0)</f>
        <v>0</v>
      </c>
    </row>
    <row r="464" spans="1:8" x14ac:dyDescent="0.25">
      <c r="A464" s="150">
        <v>459</v>
      </c>
      <c r="B464" s="10" t="s">
        <v>1173</v>
      </c>
      <c r="C464" s="236">
        <v>3230103.22415647</v>
      </c>
      <c r="D464" s="233"/>
      <c r="E464" s="232">
        <f t="shared" si="95"/>
        <v>0</v>
      </c>
      <c r="G464" s="10" t="s">
        <v>1717</v>
      </c>
      <c r="H464" s="151">
        <f>IF(ISNUMBER(AE67),AE67/SUM($K$43:$AK$71),0)</f>
        <v>3.599349369582767E-6</v>
      </c>
    </row>
    <row r="465" spans="1:8" x14ac:dyDescent="0.25">
      <c r="A465" s="150">
        <v>460</v>
      </c>
      <c r="B465" s="10" t="s">
        <v>1174</v>
      </c>
      <c r="C465" s="236">
        <v>3014810.275665225</v>
      </c>
      <c r="D465" s="233"/>
      <c r="E465" s="232">
        <f t="shared" si="95"/>
        <v>0</v>
      </c>
      <c r="G465" s="10" t="s">
        <v>1718</v>
      </c>
      <c r="H465" s="151">
        <f>IF(ISNUMBER(AF67),AF67/SUM($K$43:$AK$71),0)</f>
        <v>0</v>
      </c>
    </row>
    <row r="466" spans="1:8" x14ac:dyDescent="0.25">
      <c r="A466" s="150">
        <v>461</v>
      </c>
      <c r="B466" s="10" t="s">
        <v>1175</v>
      </c>
      <c r="C466" s="236">
        <v>114071.96836981167</v>
      </c>
      <c r="D466" s="233"/>
      <c r="E466" s="232">
        <f t="shared" si="95"/>
        <v>0</v>
      </c>
      <c r="G466" s="10" t="s">
        <v>1719</v>
      </c>
      <c r="H466" s="151">
        <f>IF(ISNUMBER(AG67),AG67/SUM($K$43:$AK$71),0)</f>
        <v>2.0931555443581229E-4</v>
      </c>
    </row>
    <row r="467" spans="1:8" x14ac:dyDescent="0.25">
      <c r="A467" s="150">
        <v>462</v>
      </c>
      <c r="B467" s="10" t="s">
        <v>1176</v>
      </c>
      <c r="C467" s="236">
        <v>89802.662906380399</v>
      </c>
      <c r="D467" s="233"/>
      <c r="E467" s="232">
        <f t="shared" si="95"/>
        <v>0</v>
      </c>
      <c r="G467" s="10" t="s">
        <v>1720</v>
      </c>
      <c r="H467" s="151">
        <f>IF(ISNUMBER(AH67),AH67/SUM($K$43:$AK$71),0)</f>
        <v>3.3589987557418143E-4</v>
      </c>
    </row>
    <row r="468" spans="1:8" x14ac:dyDescent="0.25">
      <c r="A468" s="150">
        <v>463</v>
      </c>
      <c r="B468" s="10" t="s">
        <v>1177</v>
      </c>
      <c r="C468" s="236">
        <v>4246.8161778869071</v>
      </c>
      <c r="D468" s="233"/>
      <c r="E468" s="232">
        <f t="shared" si="95"/>
        <v>0</v>
      </c>
      <c r="G468" s="10" t="s">
        <v>1721</v>
      </c>
      <c r="H468" s="151">
        <f>IF(ISNUMBER(AI67),AI67/SUM($K$43:$AK$71),0)</f>
        <v>0</v>
      </c>
    </row>
    <row r="469" spans="1:8" x14ac:dyDescent="0.25">
      <c r="A469" s="150">
        <v>464</v>
      </c>
      <c r="B469" s="10" t="s">
        <v>1178</v>
      </c>
      <c r="C469" s="236">
        <v>9061.1970849608133</v>
      </c>
      <c r="D469" s="233"/>
      <c r="E469" s="232">
        <f t="shared" si="95"/>
        <v>0</v>
      </c>
      <c r="G469" s="10" t="s">
        <v>1722</v>
      </c>
      <c r="H469" s="151">
        <f>IF(ISNUMBER(AJ67),AJ67/SUM($K$43:$AK$71),0)</f>
        <v>0</v>
      </c>
    </row>
    <row r="470" spans="1:8" x14ac:dyDescent="0.25">
      <c r="A470" s="150">
        <v>465</v>
      </c>
      <c r="B470" s="10" t="s">
        <v>751</v>
      </c>
      <c r="C470" s="236">
        <v>8168648.2964046309</v>
      </c>
      <c r="D470" s="233"/>
      <c r="E470" s="232">
        <f t="shared" si="95"/>
        <v>0</v>
      </c>
      <c r="G470" s="10" t="s">
        <v>1723</v>
      </c>
      <c r="H470" s="151">
        <f>IF(ISNUMBER(AK67),AK67/SUM($K$43:$AK$71),0)</f>
        <v>0</v>
      </c>
    </row>
    <row r="471" spans="1:8" x14ac:dyDescent="0.25">
      <c r="A471" s="150">
        <v>466</v>
      </c>
      <c r="B471" s="10" t="s">
        <v>752</v>
      </c>
      <c r="C471" s="236">
        <v>5206063.6811890602</v>
      </c>
      <c r="D471" s="233"/>
      <c r="E471" s="232">
        <f t="shared" si="95"/>
        <v>0</v>
      </c>
      <c r="G471" s="10" t="s">
        <v>624</v>
      </c>
      <c r="H471" s="151">
        <f>IF(ISNUMBER(K68),K68/SUM($K$43:$AK$71),0)</f>
        <v>1.794034349761334E-5</v>
      </c>
    </row>
    <row r="472" spans="1:8" x14ac:dyDescent="0.25">
      <c r="A472" s="150">
        <v>467</v>
      </c>
      <c r="B472" s="10" t="s">
        <v>281</v>
      </c>
      <c r="C472" s="236">
        <v>35165930.880146973</v>
      </c>
      <c r="D472" s="233"/>
      <c r="E472" s="232">
        <f t="shared" si="95"/>
        <v>0</v>
      </c>
      <c r="G472" s="10" t="s">
        <v>625</v>
      </c>
      <c r="H472" s="151">
        <f>IF(ISNUMBER(L68),L68/SUM($K$43:$AK$71),0)</f>
        <v>1.4736536776830235E-4</v>
      </c>
    </row>
    <row r="473" spans="1:8" x14ac:dyDescent="0.25">
      <c r="A473" s="150">
        <v>468</v>
      </c>
      <c r="B473" s="10" t="s">
        <v>282</v>
      </c>
      <c r="C473" s="236">
        <v>27744868.976467028</v>
      </c>
      <c r="D473" s="233"/>
      <c r="E473" s="232">
        <f t="shared" si="95"/>
        <v>0</v>
      </c>
      <c r="G473" s="10" t="s">
        <v>626</v>
      </c>
      <c r="H473" s="151">
        <f>IF(ISNUMBER(M68),M68/SUM($K$43:$AK$71),0)</f>
        <v>3.9759108265196544E-4</v>
      </c>
    </row>
    <row r="474" spans="1:8" x14ac:dyDescent="0.25">
      <c r="A474" s="150">
        <v>469</v>
      </c>
      <c r="B474" s="10" t="s">
        <v>283</v>
      </c>
      <c r="C474" s="236">
        <v>84929054.802349597</v>
      </c>
      <c r="D474" s="233"/>
      <c r="E474" s="232">
        <f t="shared" si="95"/>
        <v>0</v>
      </c>
      <c r="G474" s="10" t="s">
        <v>627</v>
      </c>
      <c r="H474" s="151">
        <f>IF(ISNUMBER(N68),N68/SUM($K$43:$AK$71),0)</f>
        <v>6.3211533959406244E-4</v>
      </c>
    </row>
    <row r="475" spans="1:8" x14ac:dyDescent="0.25">
      <c r="A475" s="150">
        <v>470</v>
      </c>
      <c r="B475" s="10" t="s">
        <v>284</v>
      </c>
      <c r="C475" s="236">
        <v>81736269.101652622</v>
      </c>
      <c r="D475" s="233"/>
      <c r="E475" s="232">
        <f t="shared" si="95"/>
        <v>0</v>
      </c>
      <c r="G475" s="10" t="s">
        <v>628</v>
      </c>
      <c r="H475" s="151">
        <f>IF(ISNUMBER(O68),O68/SUM($K$43:$AK$71),0)</f>
        <v>6.9268697181443174E-4</v>
      </c>
    </row>
    <row r="476" spans="1:8" x14ac:dyDescent="0.25">
      <c r="A476" s="150">
        <v>471</v>
      </c>
      <c r="B476" s="10" t="s">
        <v>285</v>
      </c>
      <c r="C476" s="236">
        <v>122213041.95087367</v>
      </c>
      <c r="D476" s="233"/>
      <c r="E476" s="232">
        <f t="shared" si="95"/>
        <v>0</v>
      </c>
      <c r="G476" s="10" t="s">
        <v>629</v>
      </c>
      <c r="H476" s="151">
        <f>IF(ISNUMBER(P68),P68/SUM($K$43:$AK$71),0)</f>
        <v>5.7593271576020374E-4</v>
      </c>
    </row>
    <row r="477" spans="1:8" x14ac:dyDescent="0.25">
      <c r="A477" s="150">
        <v>472</v>
      </c>
      <c r="B477" s="10" t="s">
        <v>286</v>
      </c>
      <c r="C477" s="236">
        <v>109573154.54254873</v>
      </c>
      <c r="D477" s="233"/>
      <c r="E477" s="232">
        <f t="shared" si="95"/>
        <v>0</v>
      </c>
      <c r="G477" s="10" t="s">
        <v>630</v>
      </c>
      <c r="H477" s="151">
        <f>IF(ISNUMBER(Q68),Q68/SUM($K$43:$AK$71),0)</f>
        <v>3.4845053648703691E-4</v>
      </c>
    </row>
    <row r="478" spans="1:8" x14ac:dyDescent="0.25">
      <c r="A478" s="150">
        <v>473</v>
      </c>
      <c r="B478" s="10" t="s">
        <v>287</v>
      </c>
      <c r="C478" s="236">
        <v>90176983.539658591</v>
      </c>
      <c r="D478" s="233"/>
      <c r="E478" s="232">
        <f t="shared" si="95"/>
        <v>0</v>
      </c>
      <c r="G478" s="10" t="s">
        <v>631</v>
      </c>
      <c r="H478" s="151">
        <f>IF(ISNUMBER(R68),R68/SUM($K$43:$AK$71),0)</f>
        <v>1.30734613529465E-4</v>
      </c>
    </row>
    <row r="479" spans="1:8" x14ac:dyDescent="0.25">
      <c r="A479" s="150">
        <v>474</v>
      </c>
      <c r="B479" s="10" t="s">
        <v>288</v>
      </c>
      <c r="C479" s="236">
        <v>70710308.480713949</v>
      </c>
      <c r="D479" s="233"/>
      <c r="E479" s="232">
        <f t="shared" si="95"/>
        <v>0</v>
      </c>
      <c r="G479" s="10" t="s">
        <v>632</v>
      </c>
      <c r="H479" s="151">
        <f>IF(ISNUMBER(S68),S68/SUM($K$43:$AK$71),0)</f>
        <v>0</v>
      </c>
    </row>
    <row r="480" spans="1:8" x14ac:dyDescent="0.25">
      <c r="A480" s="150">
        <v>475</v>
      </c>
      <c r="B480" s="10" t="s">
        <v>289</v>
      </c>
      <c r="C480" s="236">
        <v>37605497.065129295</v>
      </c>
      <c r="D480" s="233"/>
      <c r="E480" s="232">
        <f t="shared" si="95"/>
        <v>0</v>
      </c>
      <c r="G480" s="10" t="s">
        <v>633</v>
      </c>
      <c r="H480" s="151">
        <f>IF(ISNUMBER(T68),T68/SUM($K$43:$AK$71),0)</f>
        <v>0</v>
      </c>
    </row>
    <row r="481" spans="1:8" x14ac:dyDescent="0.25">
      <c r="A481" s="150">
        <v>476</v>
      </c>
      <c r="B481" s="10" t="s">
        <v>290</v>
      </c>
      <c r="C481" s="236">
        <v>32053005.588803746</v>
      </c>
      <c r="D481" s="233"/>
      <c r="E481" s="232">
        <f t="shared" si="95"/>
        <v>0</v>
      </c>
      <c r="G481" s="10" t="s">
        <v>1724</v>
      </c>
      <c r="H481" s="151">
        <f>IF(ISNUMBER(U68),U68/SUM($K$43:$AK$71),0)</f>
        <v>0</v>
      </c>
    </row>
    <row r="482" spans="1:8" x14ac:dyDescent="0.25">
      <c r="A482" s="150">
        <v>477</v>
      </c>
      <c r="B482" s="10" t="s">
        <v>291</v>
      </c>
      <c r="C482" s="236">
        <v>9583350.7892209403</v>
      </c>
      <c r="D482" s="233"/>
      <c r="E482" s="232">
        <f t="shared" si="95"/>
        <v>0</v>
      </c>
      <c r="G482" s="10" t="s">
        <v>1725</v>
      </c>
      <c r="H482" s="151">
        <f>IF(ISNUMBER(V68),V68/SUM($K$43:$AK$71),0)</f>
        <v>0</v>
      </c>
    </row>
    <row r="483" spans="1:8" x14ac:dyDescent="0.25">
      <c r="A483" s="150">
        <v>478</v>
      </c>
      <c r="B483" s="10" t="s">
        <v>292</v>
      </c>
      <c r="C483" s="236">
        <v>9127482.6982400939</v>
      </c>
      <c r="D483" s="233"/>
      <c r="E483" s="232">
        <f t="shared" si="95"/>
        <v>0</v>
      </c>
      <c r="G483" s="10" t="s">
        <v>1726</v>
      </c>
      <c r="H483" s="151">
        <f>IF(ISNUMBER(W68),W68/SUM($K$43:$AK$71),0)</f>
        <v>0</v>
      </c>
    </row>
    <row r="484" spans="1:8" x14ac:dyDescent="0.25">
      <c r="A484" s="150">
        <v>479</v>
      </c>
      <c r="B484" s="10" t="s">
        <v>293</v>
      </c>
      <c r="C484" s="236">
        <v>1296563.331013514</v>
      </c>
      <c r="D484" s="233"/>
      <c r="E484" s="232">
        <f t="shared" si="95"/>
        <v>0</v>
      </c>
      <c r="G484" s="10" t="s">
        <v>1727</v>
      </c>
      <c r="H484" s="151">
        <f>IF(ISNUMBER(X68),X68/SUM($K$43:$AK$71),0)</f>
        <v>1.6020549958837395E-6</v>
      </c>
    </row>
    <row r="485" spans="1:8" x14ac:dyDescent="0.25">
      <c r="A485" s="150">
        <v>480</v>
      </c>
      <c r="B485" s="10" t="s">
        <v>294</v>
      </c>
      <c r="C485" s="236">
        <v>1154971.3163466142</v>
      </c>
      <c r="D485" s="233"/>
      <c r="E485" s="232">
        <f t="shared" si="95"/>
        <v>0</v>
      </c>
      <c r="G485" s="10" t="s">
        <v>1728</v>
      </c>
      <c r="H485" s="151">
        <f>IF(ISNUMBER(Y68),Y68/SUM($K$43:$AK$71),0)</f>
        <v>0</v>
      </c>
    </row>
    <row r="486" spans="1:8" x14ac:dyDescent="0.25">
      <c r="A486" s="150">
        <v>481</v>
      </c>
      <c r="B486" s="10" t="s">
        <v>295</v>
      </c>
      <c r="C486" s="236">
        <v>48723.344008514898</v>
      </c>
      <c r="D486" s="233"/>
      <c r="E486" s="232">
        <f t="shared" si="95"/>
        <v>0</v>
      </c>
      <c r="G486" s="10" t="s">
        <v>1729</v>
      </c>
      <c r="H486" s="151">
        <f>IF(ISNUMBER(Z68),Z68/SUM($K$43:$AK$71),0)</f>
        <v>0</v>
      </c>
    </row>
    <row r="487" spans="1:8" x14ac:dyDescent="0.25">
      <c r="A487" s="150">
        <v>482</v>
      </c>
      <c r="B487" s="10" t="s">
        <v>296</v>
      </c>
      <c r="C487" s="236">
        <v>26631.985771682572</v>
      </c>
      <c r="D487" s="233"/>
      <c r="E487" s="232">
        <f t="shared" si="95"/>
        <v>0</v>
      </c>
      <c r="G487" s="10" t="s">
        <v>1730</v>
      </c>
      <c r="H487" s="151">
        <f>IF(ISNUMBER(AA68),AA68/SUM($K$43:$AK$71),0)</f>
        <v>0</v>
      </c>
    </row>
    <row r="488" spans="1:8" x14ac:dyDescent="0.25">
      <c r="A488" s="150">
        <v>483</v>
      </c>
      <c r="B488" s="10" t="s">
        <v>297</v>
      </c>
      <c r="C488" s="236">
        <v>17170.119705009754</v>
      </c>
      <c r="D488" s="233"/>
      <c r="E488" s="232">
        <f t="shared" si="95"/>
        <v>0</v>
      </c>
      <c r="G488" s="10" t="s">
        <v>1731</v>
      </c>
      <c r="H488" s="151">
        <f>IF(ISNUMBER(AB68),AB68/SUM($K$43:$AK$71),0)</f>
        <v>1.5251387688714451E-6</v>
      </c>
    </row>
    <row r="489" spans="1:8" x14ac:dyDescent="0.25">
      <c r="A489" s="150">
        <v>484</v>
      </c>
      <c r="B489" s="10" t="s">
        <v>298</v>
      </c>
      <c r="C489" s="236">
        <v>6891.0431387633944</v>
      </c>
      <c r="D489" s="233"/>
      <c r="E489" s="232">
        <f t="shared" si="95"/>
        <v>0</v>
      </c>
      <c r="G489" s="10" t="s">
        <v>1732</v>
      </c>
      <c r="H489" s="151">
        <f>IF(ISNUMBER(AC68),AC68/SUM($K$43:$AK$71),0)</f>
        <v>0</v>
      </c>
    </row>
    <row r="490" spans="1:8" x14ac:dyDescent="0.25">
      <c r="A490" s="150">
        <v>485</v>
      </c>
      <c r="B490" s="10" t="s">
        <v>299</v>
      </c>
      <c r="C490" s="236">
        <v>3703.9394706573803</v>
      </c>
      <c r="D490" s="233"/>
      <c r="E490" s="232">
        <f t="shared" si="95"/>
        <v>0</v>
      </c>
      <c r="G490" s="10" t="s">
        <v>1733</v>
      </c>
      <c r="H490" s="151">
        <f>IF(ISNUMBER(AD68),AD68/SUM($K$43:$AK$71),0)</f>
        <v>0</v>
      </c>
    </row>
    <row r="491" spans="1:8" x14ac:dyDescent="0.25">
      <c r="A491" s="150">
        <v>486</v>
      </c>
      <c r="B491" s="10" t="s">
        <v>300</v>
      </c>
      <c r="C491" s="236">
        <v>1580.083238159204</v>
      </c>
      <c r="D491" s="233"/>
      <c r="E491" s="232">
        <f t="shared" si="95"/>
        <v>0</v>
      </c>
      <c r="G491" s="10" t="s">
        <v>1734</v>
      </c>
      <c r="H491" s="151">
        <f>IF(ISNUMBER(AE68),AE68/SUM($K$43:$AK$71),0)</f>
        <v>0</v>
      </c>
    </row>
    <row r="492" spans="1:8" x14ac:dyDescent="0.25">
      <c r="A492" s="150">
        <v>487</v>
      </c>
      <c r="B492" s="10" t="s">
        <v>753</v>
      </c>
      <c r="C492" s="236">
        <v>1413.9662628936062</v>
      </c>
      <c r="D492" s="233"/>
      <c r="E492" s="232">
        <f t="shared" si="95"/>
        <v>0</v>
      </c>
      <c r="G492" s="10" t="s">
        <v>1735</v>
      </c>
      <c r="H492" s="151">
        <f>IF(ISNUMBER(AF68),AF68/SUM($K$43:$AK$71),0)</f>
        <v>0</v>
      </c>
    </row>
    <row r="493" spans="1:8" x14ac:dyDescent="0.25">
      <c r="A493" s="150">
        <v>488</v>
      </c>
      <c r="B493" s="10" t="s">
        <v>754</v>
      </c>
      <c r="C493" s="236">
        <v>16696.482871948028</v>
      </c>
      <c r="D493" s="233"/>
      <c r="E493" s="232">
        <f t="shared" si="95"/>
        <v>0</v>
      </c>
      <c r="G493" s="10" t="s">
        <v>1736</v>
      </c>
      <c r="H493" s="151">
        <f>IF(ISNUMBER(AG68),AG68/SUM($K$43:$AK$71),0)</f>
        <v>1.826401025904663E-5</v>
      </c>
    </row>
    <row r="494" spans="1:8" x14ac:dyDescent="0.25">
      <c r="A494" s="150">
        <v>489</v>
      </c>
      <c r="B494" s="10" t="s">
        <v>755</v>
      </c>
      <c r="C494" s="236">
        <v>10996.886115723049</v>
      </c>
      <c r="D494" s="233"/>
      <c r="E494" s="232">
        <f t="shared" si="95"/>
        <v>0</v>
      </c>
      <c r="G494" s="10" t="s">
        <v>1737</v>
      </c>
      <c r="H494" s="151">
        <f>IF(ISNUMBER(AH68),AH68/SUM($K$43:$AK$71),0)</f>
        <v>9.1115727630287184E-5</v>
      </c>
    </row>
    <row r="495" spans="1:8" x14ac:dyDescent="0.25">
      <c r="A495" s="150">
        <v>490</v>
      </c>
      <c r="B495" s="10" t="s">
        <v>756</v>
      </c>
      <c r="C495" s="236">
        <v>4317.9144711534072</v>
      </c>
      <c r="D495" s="233"/>
      <c r="E495" s="232">
        <f t="shared" si="95"/>
        <v>0</v>
      </c>
      <c r="G495" s="10" t="s">
        <v>1738</v>
      </c>
      <c r="H495" s="151">
        <f>IF(ISNUMBER(AI68),AI68/SUM($K$43:$AK$71),0)</f>
        <v>0</v>
      </c>
    </row>
    <row r="496" spans="1:8" x14ac:dyDescent="0.25">
      <c r="A496" s="150">
        <v>491</v>
      </c>
      <c r="B496" s="10" t="s">
        <v>1049</v>
      </c>
      <c r="C496" s="236">
        <v>363452.45718429226</v>
      </c>
      <c r="D496" s="233"/>
      <c r="E496" s="232">
        <f t="shared" si="95"/>
        <v>0</v>
      </c>
      <c r="G496" s="10" t="s">
        <v>1739</v>
      </c>
      <c r="H496" s="151">
        <f>IF(ISNUMBER(AJ68),AJ68/SUM($K$43:$AK$71),0)</f>
        <v>0</v>
      </c>
    </row>
    <row r="497" spans="1:8" x14ac:dyDescent="0.25">
      <c r="A497" s="150">
        <v>492</v>
      </c>
      <c r="B497" s="10" t="s">
        <v>1050</v>
      </c>
      <c r="C497" s="236">
        <v>251787.68706643576</v>
      </c>
      <c r="D497" s="233"/>
      <c r="E497" s="232">
        <f t="shared" si="95"/>
        <v>0</v>
      </c>
      <c r="G497" s="10" t="s">
        <v>1740</v>
      </c>
      <c r="H497" s="151">
        <f>IF(ISNUMBER(AK68),AK68/SUM($K$43:$AK$71),0)</f>
        <v>0</v>
      </c>
    </row>
    <row r="498" spans="1:8" x14ac:dyDescent="0.25">
      <c r="A498" s="150">
        <v>493</v>
      </c>
      <c r="B498" s="10" t="s">
        <v>1179</v>
      </c>
      <c r="C498" s="236">
        <v>6449717.4437408475</v>
      </c>
      <c r="D498" s="233"/>
      <c r="E498" s="232">
        <f t="shared" si="95"/>
        <v>0</v>
      </c>
      <c r="G498" s="10" t="s">
        <v>634</v>
      </c>
      <c r="H498" s="151">
        <f>IF(ISNUMBER(K69),K69/SUM($K$43:$AK$71),0)</f>
        <v>0</v>
      </c>
    </row>
    <row r="499" spans="1:8" x14ac:dyDescent="0.25">
      <c r="A499" s="150">
        <v>494</v>
      </c>
      <c r="B499" s="10" t="s">
        <v>1180</v>
      </c>
      <c r="C499" s="236">
        <v>6489555.2913389802</v>
      </c>
      <c r="D499" s="233"/>
      <c r="E499" s="232">
        <f t="shared" si="95"/>
        <v>0</v>
      </c>
      <c r="G499" s="10" t="s">
        <v>635</v>
      </c>
      <c r="H499" s="151">
        <f>IF(ISNUMBER(L69),L69/SUM($K$43:$AK$71),0)</f>
        <v>7.5748884490562911E-5</v>
      </c>
    </row>
    <row r="500" spans="1:8" x14ac:dyDescent="0.25">
      <c r="A500" s="150">
        <v>495</v>
      </c>
      <c r="B500" s="10" t="s">
        <v>1181</v>
      </c>
      <c r="C500" s="236">
        <v>24392259.854433052</v>
      </c>
      <c r="D500" s="233"/>
      <c r="E500" s="232">
        <f t="shared" si="95"/>
        <v>0</v>
      </c>
      <c r="G500" s="10" t="s">
        <v>636</v>
      </c>
      <c r="H500" s="151">
        <f>IF(ISNUMBER(M69),M69/SUM($K$43:$AK$71),0)</f>
        <v>2.2163089886343725E-4</v>
      </c>
    </row>
    <row r="501" spans="1:8" x14ac:dyDescent="0.25">
      <c r="A501" s="150">
        <v>496</v>
      </c>
      <c r="B501" s="10" t="s">
        <v>1182</v>
      </c>
      <c r="C501" s="236">
        <v>23072603.770037901</v>
      </c>
      <c r="D501" s="233"/>
      <c r="E501" s="232">
        <f t="shared" si="95"/>
        <v>0</v>
      </c>
      <c r="G501" s="10" t="s">
        <v>637</v>
      </c>
      <c r="H501" s="151">
        <f>IF(ISNUMBER(N69),N69/SUM($K$43:$AK$71),0)</f>
        <v>3.859315211945207E-4</v>
      </c>
    </row>
    <row r="502" spans="1:8" x14ac:dyDescent="0.25">
      <c r="A502" s="150">
        <v>497</v>
      </c>
      <c r="B502" s="10" t="s">
        <v>1183</v>
      </c>
      <c r="C502" s="236">
        <v>48069212.8772645</v>
      </c>
      <c r="D502" s="233"/>
      <c r="E502" s="232">
        <f t="shared" si="95"/>
        <v>0</v>
      </c>
      <c r="G502" s="10" t="s">
        <v>638</v>
      </c>
      <c r="H502" s="151">
        <f>IF(ISNUMBER(O69),O69/SUM($K$43:$AK$71),0)</f>
        <v>4.4640086335533146E-4</v>
      </c>
    </row>
    <row r="503" spans="1:8" x14ac:dyDescent="0.25">
      <c r="A503" s="150">
        <v>498</v>
      </c>
      <c r="B503" s="10" t="s">
        <v>1184</v>
      </c>
      <c r="C503" s="236">
        <v>42806184.405604377</v>
      </c>
      <c r="D503" s="233"/>
      <c r="E503" s="232">
        <f t="shared" si="95"/>
        <v>0</v>
      </c>
      <c r="G503" s="10" t="s">
        <v>639</v>
      </c>
      <c r="H503" s="151">
        <f>IF(ISNUMBER(P69),P69/SUM($K$43:$AK$71),0)</f>
        <v>3.7043676675030623E-4</v>
      </c>
    </row>
    <row r="504" spans="1:8" x14ac:dyDescent="0.25">
      <c r="A504" s="150">
        <v>499</v>
      </c>
      <c r="B504" s="10" t="s">
        <v>1185</v>
      </c>
      <c r="C504" s="236">
        <v>54234366.867114082</v>
      </c>
      <c r="D504" s="233"/>
      <c r="E504" s="232">
        <f t="shared" si="95"/>
        <v>0</v>
      </c>
      <c r="G504" s="10" t="s">
        <v>640</v>
      </c>
      <c r="H504" s="151">
        <f>IF(ISNUMBER(Q69),Q69/SUM($K$43:$AK$71),0)</f>
        <v>2.3436493134988486E-4</v>
      </c>
    </row>
    <row r="505" spans="1:8" x14ac:dyDescent="0.25">
      <c r="A505" s="150">
        <v>500</v>
      </c>
      <c r="B505" s="10" t="s">
        <v>1186</v>
      </c>
      <c r="C505" s="236">
        <v>49784386.268838897</v>
      </c>
      <c r="D505" s="233"/>
      <c r="E505" s="232">
        <f t="shared" si="95"/>
        <v>0</v>
      </c>
      <c r="G505" s="10" t="s">
        <v>641</v>
      </c>
      <c r="H505" s="151">
        <f>IF(ISNUMBER(R69),R69/SUM($K$43:$AK$71),0)</f>
        <v>8.0824002471953913E-5</v>
      </c>
    </row>
    <row r="506" spans="1:8" x14ac:dyDescent="0.25">
      <c r="A506" s="150">
        <v>501</v>
      </c>
      <c r="B506" s="10" t="s">
        <v>1187</v>
      </c>
      <c r="C506" s="236">
        <v>35764149.776073426</v>
      </c>
      <c r="D506" s="233"/>
      <c r="E506" s="232">
        <f t="shared" si="95"/>
        <v>0</v>
      </c>
      <c r="G506" s="10" t="s">
        <v>642</v>
      </c>
      <c r="H506" s="151">
        <f>IF(ISNUMBER(S69),S69/SUM($K$43:$AK$71),0)</f>
        <v>8.7101239415909835E-6</v>
      </c>
    </row>
    <row r="507" spans="1:8" x14ac:dyDescent="0.25">
      <c r="A507" s="150">
        <v>502</v>
      </c>
      <c r="B507" s="10" t="s">
        <v>1188</v>
      </c>
      <c r="C507" s="236">
        <v>35413108.09167435</v>
      </c>
      <c r="D507" s="233"/>
      <c r="E507" s="232">
        <f t="shared" si="95"/>
        <v>0</v>
      </c>
      <c r="G507" s="10" t="s">
        <v>643</v>
      </c>
      <c r="H507" s="151">
        <f>IF(ISNUMBER(T69),T69/SUM($K$43:$AK$71),0)</f>
        <v>0</v>
      </c>
    </row>
    <row r="508" spans="1:8" x14ac:dyDescent="0.25">
      <c r="A508" s="150">
        <v>503</v>
      </c>
      <c r="B508" s="10" t="s">
        <v>1189</v>
      </c>
      <c r="C508" s="236">
        <v>14641099.785682563</v>
      </c>
      <c r="D508" s="233"/>
      <c r="E508" s="232">
        <f t="shared" si="95"/>
        <v>0</v>
      </c>
      <c r="G508" s="10" t="s">
        <v>1741</v>
      </c>
      <c r="H508" s="151">
        <f>IF(ISNUMBER(U69),U69/SUM($K$43:$AK$71),0)</f>
        <v>0</v>
      </c>
    </row>
    <row r="509" spans="1:8" x14ac:dyDescent="0.25">
      <c r="A509" s="150">
        <v>504</v>
      </c>
      <c r="B509" s="10" t="s">
        <v>1190</v>
      </c>
      <c r="C509" s="236">
        <v>13708228.699925663</v>
      </c>
      <c r="D509" s="233"/>
      <c r="E509" s="232">
        <f t="shared" si="95"/>
        <v>0</v>
      </c>
      <c r="G509" s="10" t="s">
        <v>1742</v>
      </c>
      <c r="H509" s="151">
        <f>IF(ISNUMBER(V69),V69/SUM($K$43:$AK$71),0)</f>
        <v>0</v>
      </c>
    </row>
    <row r="510" spans="1:8" x14ac:dyDescent="0.25">
      <c r="A510" s="150">
        <v>505</v>
      </c>
      <c r="B510" s="10" t="s">
        <v>1191</v>
      </c>
      <c r="C510" s="236">
        <v>3062988.8916815827</v>
      </c>
      <c r="D510" s="233"/>
      <c r="E510" s="232">
        <f t="shared" si="95"/>
        <v>0</v>
      </c>
      <c r="G510" s="10" t="s">
        <v>1743</v>
      </c>
      <c r="H510" s="151">
        <f>IF(ISNUMBER(W69),W69/SUM($K$43:$AK$71),0)</f>
        <v>0</v>
      </c>
    </row>
    <row r="511" spans="1:8" x14ac:dyDescent="0.25">
      <c r="A511" s="150">
        <v>506</v>
      </c>
      <c r="B511" s="10" t="s">
        <v>1192</v>
      </c>
      <c r="C511" s="236">
        <v>2471303.8392674923</v>
      </c>
      <c r="D511" s="233"/>
      <c r="E511" s="232">
        <f t="shared" si="95"/>
        <v>0</v>
      </c>
      <c r="G511" s="10" t="s">
        <v>1744</v>
      </c>
      <c r="H511" s="151">
        <f>IF(ISNUMBER(X69),X69/SUM($K$43:$AK$71),0)</f>
        <v>2.9075738844848849E-6</v>
      </c>
    </row>
    <row r="512" spans="1:8" x14ac:dyDescent="0.25">
      <c r="A512" s="150">
        <v>507</v>
      </c>
      <c r="B512" s="10" t="s">
        <v>1193</v>
      </c>
      <c r="C512" s="236">
        <v>180068.53976720199</v>
      </c>
      <c r="D512" s="233"/>
      <c r="E512" s="232">
        <f t="shared" si="95"/>
        <v>0</v>
      </c>
      <c r="G512" s="10" t="s">
        <v>1745</v>
      </c>
      <c r="H512" s="151">
        <f>IF(ISNUMBER(Y69),Y69/SUM($K$43:$AK$71),0)</f>
        <v>0</v>
      </c>
    </row>
    <row r="513" spans="1:8" x14ac:dyDescent="0.25">
      <c r="A513" s="150">
        <v>508</v>
      </c>
      <c r="B513" s="10" t="s">
        <v>1194</v>
      </c>
      <c r="C513" s="236">
        <v>198044.10226413625</v>
      </c>
      <c r="D513" s="233"/>
      <c r="E513" s="232">
        <f t="shared" si="95"/>
        <v>0</v>
      </c>
      <c r="G513" s="10" t="s">
        <v>1746</v>
      </c>
      <c r="H513" s="151">
        <f>IF(ISNUMBER(Z69),Z69/SUM($K$43:$AK$71),0)</f>
        <v>0</v>
      </c>
    </row>
    <row r="514" spans="1:8" x14ac:dyDescent="0.25">
      <c r="A514" s="150">
        <v>509</v>
      </c>
      <c r="B514" s="10" t="s">
        <v>1195</v>
      </c>
      <c r="C514" s="236">
        <v>19164.216236023814</v>
      </c>
      <c r="D514" s="233"/>
      <c r="E514" s="232">
        <f t="shared" si="95"/>
        <v>0</v>
      </c>
      <c r="G514" s="10" t="s">
        <v>1747</v>
      </c>
      <c r="H514" s="151">
        <f>IF(ISNUMBER(AA69),AA69/SUM($K$43:$AK$71),0)</f>
        <v>0</v>
      </c>
    </row>
    <row r="515" spans="1:8" x14ac:dyDescent="0.25">
      <c r="A515" s="150">
        <v>510</v>
      </c>
      <c r="B515" s="10" t="s">
        <v>1196</v>
      </c>
      <c r="C515" s="236">
        <v>8513.3370058658129</v>
      </c>
      <c r="D515" s="233"/>
      <c r="E515" s="232">
        <f t="shared" si="95"/>
        <v>0</v>
      </c>
      <c r="G515" s="10" t="s">
        <v>1748</v>
      </c>
      <c r="H515" s="151">
        <f>IF(ISNUMBER(AB69),AB69/SUM($K$43:$AK$71),0)</f>
        <v>0</v>
      </c>
    </row>
    <row r="516" spans="1:8" x14ac:dyDescent="0.25">
      <c r="A516" s="150">
        <v>511</v>
      </c>
      <c r="B516" s="10" t="s">
        <v>757</v>
      </c>
      <c r="C516" s="236">
        <v>6911757.2360465471</v>
      </c>
      <c r="D516" s="233"/>
      <c r="E516" s="232">
        <f t="shared" si="95"/>
        <v>0</v>
      </c>
      <c r="G516" s="10" t="s">
        <v>1749</v>
      </c>
      <c r="H516" s="151">
        <f>IF(ISNUMBER(AC69),AC69/SUM($K$43:$AK$71),0)</f>
        <v>0</v>
      </c>
    </row>
    <row r="517" spans="1:8" x14ac:dyDescent="0.25">
      <c r="A517" s="150">
        <v>512</v>
      </c>
      <c r="B517" s="10" t="s">
        <v>758</v>
      </c>
      <c r="C517" s="236">
        <v>4311486.4173950423</v>
      </c>
      <c r="D517" s="233"/>
      <c r="E517" s="232">
        <f t="shared" si="95"/>
        <v>0</v>
      </c>
      <c r="G517" s="10" t="s">
        <v>1750</v>
      </c>
      <c r="H517" s="151">
        <f>IF(ISNUMBER(AD69),AD69/SUM($K$43:$AK$71),0)</f>
        <v>2.7687266110585735E-6</v>
      </c>
    </row>
    <row r="518" spans="1:8" x14ac:dyDescent="0.25">
      <c r="A518" s="150">
        <v>513</v>
      </c>
      <c r="B518" s="10" t="s">
        <v>301</v>
      </c>
      <c r="C518" s="236">
        <v>28341501.56639028</v>
      </c>
      <c r="D518" s="233"/>
      <c r="E518" s="232">
        <f t="shared" si="95"/>
        <v>0</v>
      </c>
      <c r="G518" s="10" t="s">
        <v>1751</v>
      </c>
      <c r="H518" s="151">
        <f>IF(ISNUMBER(AE69),AE69/SUM($K$43:$AK$71),0)</f>
        <v>0</v>
      </c>
    </row>
    <row r="519" spans="1:8" x14ac:dyDescent="0.25">
      <c r="A519" s="150">
        <v>514</v>
      </c>
      <c r="B519" s="10" t="s">
        <v>302</v>
      </c>
      <c r="C519" s="236">
        <v>22385024.016784161</v>
      </c>
      <c r="D519" s="233"/>
      <c r="E519" s="232">
        <f t="shared" ref="E519:E582" si="96">D519/C519</f>
        <v>0</v>
      </c>
      <c r="G519" s="10" t="s">
        <v>1752</v>
      </c>
      <c r="H519" s="151">
        <f>IF(ISNUMBER(AF69),AF69/SUM($K$43:$AK$71),0)</f>
        <v>0</v>
      </c>
    </row>
    <row r="520" spans="1:8" x14ac:dyDescent="0.25">
      <c r="A520" s="150">
        <v>515</v>
      </c>
      <c r="B520" s="10" t="s">
        <v>303</v>
      </c>
      <c r="C520" s="236">
        <v>69299548.428970844</v>
      </c>
      <c r="D520" s="233"/>
      <c r="E520" s="232">
        <f t="shared" si="96"/>
        <v>0</v>
      </c>
      <c r="G520" s="10" t="s">
        <v>1753</v>
      </c>
      <c r="H520" s="151">
        <f>IF(ISNUMBER(AG69),AG69/SUM($K$43:$AK$71),0)</f>
        <v>0</v>
      </c>
    </row>
    <row r="521" spans="1:8" x14ac:dyDescent="0.25">
      <c r="A521" s="150">
        <v>516</v>
      </c>
      <c r="B521" s="10" t="s">
        <v>304</v>
      </c>
      <c r="C521" s="236">
        <v>67001282.572551221</v>
      </c>
      <c r="D521" s="233"/>
      <c r="E521" s="232">
        <f t="shared" si="96"/>
        <v>0</v>
      </c>
      <c r="G521" s="10" t="s">
        <v>1754</v>
      </c>
      <c r="H521" s="151">
        <f>IF(ISNUMBER(AH69),AH69/SUM($K$43:$AK$71),0)</f>
        <v>8.1253092845504132E-6</v>
      </c>
    </row>
    <row r="522" spans="1:8" x14ac:dyDescent="0.25">
      <c r="A522" s="150">
        <v>517</v>
      </c>
      <c r="B522" s="10" t="s">
        <v>305</v>
      </c>
      <c r="C522" s="236">
        <v>104328076.38369283</v>
      </c>
      <c r="D522" s="233"/>
      <c r="E522" s="232">
        <f t="shared" si="96"/>
        <v>0</v>
      </c>
      <c r="G522" s="10" t="s">
        <v>1755</v>
      </c>
      <c r="H522" s="151">
        <f>IF(ISNUMBER(AI69),AI69/SUM($K$43:$AK$71),0)</f>
        <v>0</v>
      </c>
    </row>
    <row r="523" spans="1:8" x14ac:dyDescent="0.25">
      <c r="A523" s="150">
        <v>518</v>
      </c>
      <c r="B523" s="10" t="s">
        <v>306</v>
      </c>
      <c r="C523" s="236">
        <v>92967533.132315174</v>
      </c>
      <c r="D523" s="233"/>
      <c r="E523" s="232">
        <f t="shared" si="96"/>
        <v>0</v>
      </c>
      <c r="G523" s="10" t="s">
        <v>1756</v>
      </c>
      <c r="H523" s="151">
        <f>IF(ISNUMBER(AJ69),AJ69/SUM($K$43:$AK$71),0)</f>
        <v>0</v>
      </c>
    </row>
    <row r="524" spans="1:8" x14ac:dyDescent="0.25">
      <c r="A524" s="150">
        <v>519</v>
      </c>
      <c r="B524" s="10" t="s">
        <v>307</v>
      </c>
      <c r="C524" s="236">
        <v>86338458.216324508</v>
      </c>
      <c r="D524" s="233"/>
      <c r="E524" s="232">
        <f t="shared" si="96"/>
        <v>0</v>
      </c>
      <c r="G524" s="10" t="s">
        <v>1757</v>
      </c>
      <c r="H524" s="151">
        <f>IF(ISNUMBER(AK69),AK69/SUM($K$43:$AK$71),0)</f>
        <v>0</v>
      </c>
    </row>
    <row r="525" spans="1:8" x14ac:dyDescent="0.25">
      <c r="A525" s="150">
        <v>520</v>
      </c>
      <c r="B525" s="10" t="s">
        <v>308</v>
      </c>
      <c r="C525" s="236">
        <v>71105384.199447677</v>
      </c>
      <c r="D525" s="233"/>
      <c r="E525" s="232">
        <f t="shared" si="96"/>
        <v>0</v>
      </c>
      <c r="G525" s="10" t="s">
        <v>644</v>
      </c>
      <c r="H525" s="151">
        <f>IF(ISNUMBER(K70),K70/SUM($K$43:$AK$71),0)</f>
        <v>0</v>
      </c>
    </row>
    <row r="526" spans="1:8" x14ac:dyDescent="0.25">
      <c r="A526" s="150">
        <v>521</v>
      </c>
      <c r="B526" s="10" t="s">
        <v>309</v>
      </c>
      <c r="C526" s="236">
        <v>40880458.64026165</v>
      </c>
      <c r="D526" s="233"/>
      <c r="E526" s="232">
        <f t="shared" si="96"/>
        <v>0</v>
      </c>
      <c r="G526" s="10" t="s">
        <v>645</v>
      </c>
      <c r="H526" s="151">
        <f>IF(ISNUMBER(L70),L70/SUM($K$43:$AK$71),0)</f>
        <v>3.483123829000278E-5</v>
      </c>
    </row>
    <row r="527" spans="1:8" x14ac:dyDescent="0.25">
      <c r="A527" s="150">
        <v>522</v>
      </c>
      <c r="B527" s="10" t="s">
        <v>310</v>
      </c>
      <c r="C527" s="236">
        <v>34664499.936318874</v>
      </c>
      <c r="D527" s="233"/>
      <c r="E527" s="232">
        <f t="shared" si="96"/>
        <v>0</v>
      </c>
      <c r="G527" s="10" t="s">
        <v>646</v>
      </c>
      <c r="H527" s="151">
        <f>IF(ISNUMBER(M70),M70/SUM($K$43:$AK$71),0)</f>
        <v>1.1555125411579658E-4</v>
      </c>
    </row>
    <row r="528" spans="1:8" x14ac:dyDescent="0.25">
      <c r="A528" s="150">
        <v>523</v>
      </c>
      <c r="B528" s="10" t="s">
        <v>311</v>
      </c>
      <c r="C528" s="236">
        <v>12156861.812779674</v>
      </c>
      <c r="D528" s="233"/>
      <c r="E528" s="232">
        <f t="shared" si="96"/>
        <v>0</v>
      </c>
      <c r="G528" s="10" t="s">
        <v>647</v>
      </c>
      <c r="H528" s="151">
        <f>IF(ISNUMBER(N70),N70/SUM($K$43:$AK$71),0)</f>
        <v>2.1986713834125596E-4</v>
      </c>
    </row>
    <row r="529" spans="1:8" x14ac:dyDescent="0.25">
      <c r="A529" s="150">
        <v>524</v>
      </c>
      <c r="B529" s="10" t="s">
        <v>312</v>
      </c>
      <c r="C529" s="236">
        <v>11451616.509623636</v>
      </c>
      <c r="D529" s="233"/>
      <c r="E529" s="232">
        <f t="shared" si="96"/>
        <v>0</v>
      </c>
      <c r="G529" s="10" t="s">
        <v>648</v>
      </c>
      <c r="H529" s="151">
        <f>IF(ISNUMBER(O70),O70/SUM($K$43:$AK$71),0)</f>
        <v>2.7297139243002299E-4</v>
      </c>
    </row>
    <row r="530" spans="1:8" x14ac:dyDescent="0.25">
      <c r="A530" s="150">
        <v>525</v>
      </c>
      <c r="B530" s="10" t="s">
        <v>313</v>
      </c>
      <c r="C530" s="236">
        <v>2134122.815348207</v>
      </c>
      <c r="D530" s="233"/>
      <c r="E530" s="232">
        <f t="shared" si="96"/>
        <v>0</v>
      </c>
      <c r="G530" s="10" t="s">
        <v>649</v>
      </c>
      <c r="H530" s="151">
        <f>IF(ISNUMBER(P70),P70/SUM($K$43:$AK$71),0)</f>
        <v>2.396298612149064E-4</v>
      </c>
    </row>
    <row r="531" spans="1:8" x14ac:dyDescent="0.25">
      <c r="A531" s="150">
        <v>526</v>
      </c>
      <c r="B531" s="10" t="s">
        <v>314</v>
      </c>
      <c r="C531" s="236">
        <v>2072731.2156790365</v>
      </c>
      <c r="D531" s="233"/>
      <c r="E531" s="232">
        <f t="shared" si="96"/>
        <v>0</v>
      </c>
      <c r="G531" s="10" t="s">
        <v>650</v>
      </c>
      <c r="H531" s="151">
        <f>IF(ISNUMBER(Q70),Q70/SUM($K$43:$AK$71),0)</f>
        <v>1.4300106514585363E-4</v>
      </c>
    </row>
    <row r="532" spans="1:8" x14ac:dyDescent="0.25">
      <c r="A532" s="150">
        <v>527</v>
      </c>
      <c r="B532" s="10" t="s">
        <v>315</v>
      </c>
      <c r="C532" s="236">
        <v>98046.851425872199</v>
      </c>
      <c r="D532" s="233"/>
      <c r="E532" s="232">
        <f t="shared" si="96"/>
        <v>0</v>
      </c>
      <c r="G532" s="10" t="s">
        <v>651</v>
      </c>
      <c r="H532" s="151">
        <f>IF(ISNUMBER(R70),R70/SUM($K$43:$AK$71),0)</f>
        <v>0</v>
      </c>
    </row>
    <row r="533" spans="1:8" x14ac:dyDescent="0.25">
      <c r="A533" s="150">
        <v>528</v>
      </c>
      <c r="B533" s="10" t="s">
        <v>316</v>
      </c>
      <c r="C533" s="236">
        <v>40731.249485304572</v>
      </c>
      <c r="D533" s="233"/>
      <c r="E533" s="232">
        <f t="shared" si="96"/>
        <v>0</v>
      </c>
      <c r="G533" s="10" t="s">
        <v>652</v>
      </c>
      <c r="H533" s="151">
        <f>IF(ISNUMBER(S70),S70/SUM($K$43:$AK$71),0)</f>
        <v>4.085683115283526E-6</v>
      </c>
    </row>
    <row r="534" spans="1:8" x14ac:dyDescent="0.25">
      <c r="A534" s="150">
        <v>529</v>
      </c>
      <c r="B534" s="10" t="s">
        <v>317</v>
      </c>
      <c r="C534" s="236">
        <v>11583.088971007986</v>
      </c>
      <c r="D534" s="233"/>
      <c r="E534" s="232">
        <f t="shared" si="96"/>
        <v>0</v>
      </c>
      <c r="G534" s="10" t="s">
        <v>653</v>
      </c>
      <c r="H534" s="151">
        <f>IF(ISNUMBER(T70),T70/SUM($K$43:$AK$71),0)</f>
        <v>0</v>
      </c>
    </row>
    <row r="535" spans="1:8" x14ac:dyDescent="0.25">
      <c r="A535" s="150">
        <v>530</v>
      </c>
      <c r="B535" s="10" t="s">
        <v>318</v>
      </c>
      <c r="C535" s="236">
        <v>8515.8608407590218</v>
      </c>
      <c r="D535" s="233"/>
      <c r="E535" s="232">
        <f t="shared" si="96"/>
        <v>0</v>
      </c>
      <c r="G535" s="10" t="s">
        <v>1758</v>
      </c>
      <c r="H535" s="151">
        <f>IF(ISNUMBER(U70),U70/SUM($K$43:$AK$71),0)</f>
        <v>0</v>
      </c>
    </row>
    <row r="536" spans="1:8" x14ac:dyDescent="0.25">
      <c r="A536" s="150">
        <v>531</v>
      </c>
      <c r="B536" s="10" t="s">
        <v>319</v>
      </c>
      <c r="C536" s="236">
        <v>9893.9458574217388</v>
      </c>
      <c r="D536" s="233"/>
      <c r="E536" s="232">
        <f t="shared" si="96"/>
        <v>0</v>
      </c>
      <c r="G536" s="10" t="s">
        <v>1759</v>
      </c>
      <c r="H536" s="151">
        <f>IF(ISNUMBER(V70),V70/SUM($K$43:$AK$71),0)</f>
        <v>1.6608698410547118E-6</v>
      </c>
    </row>
    <row r="537" spans="1:8" x14ac:dyDescent="0.25">
      <c r="A537" s="150">
        <v>532</v>
      </c>
      <c r="B537" s="10" t="s">
        <v>320</v>
      </c>
      <c r="C537" s="236">
        <v>9722.1011283567623</v>
      </c>
      <c r="D537" s="233"/>
      <c r="E537" s="232">
        <f t="shared" si="96"/>
        <v>0</v>
      </c>
      <c r="G537" s="10" t="s">
        <v>1760</v>
      </c>
      <c r="H537" s="151">
        <f>IF(ISNUMBER(W70),W70/SUM($K$43:$AK$71),0)</f>
        <v>0</v>
      </c>
    </row>
    <row r="538" spans="1:8" x14ac:dyDescent="0.25">
      <c r="A538" s="150">
        <v>533</v>
      </c>
      <c r="B538" s="10" t="s">
        <v>759</v>
      </c>
      <c r="C538" s="236">
        <v>1423.2682559813852</v>
      </c>
      <c r="D538" s="233"/>
      <c r="E538" s="232">
        <f t="shared" si="96"/>
        <v>0</v>
      </c>
      <c r="G538" s="10" t="s">
        <v>1761</v>
      </c>
      <c r="H538" s="151">
        <f>IF(ISNUMBER(X70),X70/SUM($K$43:$AK$71),0)</f>
        <v>0</v>
      </c>
    </row>
    <row r="539" spans="1:8" x14ac:dyDescent="0.25">
      <c r="A539" s="150">
        <v>534</v>
      </c>
      <c r="B539" s="10" t="s">
        <v>760</v>
      </c>
      <c r="C539" s="236">
        <v>10268.115287109735</v>
      </c>
      <c r="D539" s="233"/>
      <c r="E539" s="232">
        <f t="shared" si="96"/>
        <v>0</v>
      </c>
      <c r="G539" s="10" t="s">
        <v>1762</v>
      </c>
      <c r="H539" s="151">
        <f>IF(ISNUMBER(Y70),Y70/SUM($K$43:$AK$71),0)</f>
        <v>0</v>
      </c>
    </row>
    <row r="540" spans="1:8" x14ac:dyDescent="0.25">
      <c r="A540" s="150">
        <v>535</v>
      </c>
      <c r="B540" s="10" t="s">
        <v>761</v>
      </c>
      <c r="C540" s="236">
        <v>10998.829513733499</v>
      </c>
      <c r="D540" s="233"/>
      <c r="E540" s="232">
        <f t="shared" si="96"/>
        <v>0</v>
      </c>
      <c r="G540" s="10" t="s">
        <v>1763</v>
      </c>
      <c r="H540" s="151">
        <f>IF(ISNUMBER(Z70),Z70/SUM($K$43:$AK$71),0)</f>
        <v>0</v>
      </c>
    </row>
    <row r="541" spans="1:8" x14ac:dyDescent="0.25">
      <c r="A541" s="150">
        <v>536</v>
      </c>
      <c r="B541" s="10" t="s">
        <v>762</v>
      </c>
      <c r="C541" s="236">
        <v>0</v>
      </c>
      <c r="D541" s="233"/>
      <c r="E541" s="232" t="e">
        <f t="shared" si="96"/>
        <v>#DIV/0!</v>
      </c>
      <c r="G541" s="10" t="s">
        <v>1764</v>
      </c>
      <c r="H541" s="151">
        <f>IF(ISNUMBER(AA70),AA70/SUM($K$43:$AK$71),0)</f>
        <v>0</v>
      </c>
    </row>
    <row r="542" spans="1:8" x14ac:dyDescent="0.25">
      <c r="A542" s="150">
        <v>537</v>
      </c>
      <c r="B542" s="10" t="s">
        <v>1051</v>
      </c>
      <c r="C542" s="236">
        <v>5509.2670419656197</v>
      </c>
      <c r="D542" s="233"/>
      <c r="E542" s="232">
        <f t="shared" si="96"/>
        <v>0</v>
      </c>
      <c r="G542" s="10" t="s">
        <v>1765</v>
      </c>
      <c r="H542" s="151">
        <f>IF(ISNUMBER(AB70),AB70/SUM($K$43:$AK$71),0)</f>
        <v>0</v>
      </c>
    </row>
    <row r="543" spans="1:8" x14ac:dyDescent="0.25">
      <c r="A543" s="150">
        <v>538</v>
      </c>
      <c r="B543" s="10" t="s">
        <v>1052</v>
      </c>
      <c r="C543" s="236">
        <v>5821.2020876041734</v>
      </c>
      <c r="D543" s="233"/>
      <c r="E543" s="232">
        <f t="shared" si="96"/>
        <v>0</v>
      </c>
      <c r="G543" s="10" t="s">
        <v>1766</v>
      </c>
      <c r="H543" s="151">
        <f>IF(ISNUMBER(AC70),AC70/SUM($K$43:$AK$71),0)</f>
        <v>0</v>
      </c>
    </row>
    <row r="544" spans="1:8" x14ac:dyDescent="0.25">
      <c r="A544" s="150">
        <v>539</v>
      </c>
      <c r="B544" s="10" t="s">
        <v>1197</v>
      </c>
      <c r="C544" s="236">
        <v>748001.35630995792</v>
      </c>
      <c r="D544" s="233"/>
      <c r="E544" s="232">
        <f t="shared" si="96"/>
        <v>0</v>
      </c>
      <c r="G544" s="10" t="s">
        <v>1767</v>
      </c>
      <c r="H544" s="151">
        <f>IF(ISNUMBER(AD70),AD70/SUM($K$43:$AK$71),0)</f>
        <v>1.1116381540825362E-6</v>
      </c>
    </row>
    <row r="545" spans="1:8" x14ac:dyDescent="0.25">
      <c r="A545" s="150">
        <v>540</v>
      </c>
      <c r="B545" s="10" t="s">
        <v>1198</v>
      </c>
      <c r="C545" s="236">
        <v>674992.3480660019</v>
      </c>
      <c r="D545" s="233"/>
      <c r="E545" s="232">
        <f t="shared" si="96"/>
        <v>0</v>
      </c>
      <c r="G545" s="10" t="s">
        <v>1768</v>
      </c>
      <c r="H545" s="151">
        <f>IF(ISNUMBER(AE70),AE70/SUM($K$43:$AK$71),0)</f>
        <v>1.4730593707746357E-6</v>
      </c>
    </row>
    <row r="546" spans="1:8" x14ac:dyDescent="0.25">
      <c r="A546" s="150">
        <v>541</v>
      </c>
      <c r="B546" s="10" t="s">
        <v>1199</v>
      </c>
      <c r="C546" s="236">
        <v>8201557.3628426045</v>
      </c>
      <c r="D546" s="233"/>
      <c r="E546" s="232">
        <f t="shared" si="96"/>
        <v>0</v>
      </c>
      <c r="G546" s="10" t="s">
        <v>1769</v>
      </c>
      <c r="H546" s="151">
        <f>IF(ISNUMBER(AF70),AF70/SUM($K$43:$AK$71),0)</f>
        <v>0</v>
      </c>
    </row>
    <row r="547" spans="1:8" x14ac:dyDescent="0.25">
      <c r="A547" s="150">
        <v>542</v>
      </c>
      <c r="B547" s="10" t="s">
        <v>1200</v>
      </c>
      <c r="C547" s="236">
        <v>7979270.3621382751</v>
      </c>
      <c r="D547" s="233"/>
      <c r="E547" s="232">
        <f t="shared" si="96"/>
        <v>0</v>
      </c>
      <c r="G547" s="10" t="s">
        <v>1770</v>
      </c>
      <c r="H547" s="151">
        <f>IF(ISNUMBER(AG70),AG70/SUM($K$43:$AK$71),0)</f>
        <v>2.1873661615059383E-6</v>
      </c>
    </row>
    <row r="548" spans="1:8" x14ac:dyDescent="0.25">
      <c r="A548" s="150">
        <v>543</v>
      </c>
      <c r="B548" s="10" t="s">
        <v>1201</v>
      </c>
      <c r="C548" s="236">
        <v>26251290.996666651</v>
      </c>
      <c r="D548" s="233"/>
      <c r="E548" s="232">
        <f t="shared" si="96"/>
        <v>0</v>
      </c>
      <c r="G548" s="10" t="s">
        <v>1771</v>
      </c>
      <c r="H548" s="151">
        <f>IF(ISNUMBER(AH70),AH70/SUM($K$43:$AK$71),0)</f>
        <v>0</v>
      </c>
    </row>
    <row r="549" spans="1:8" x14ac:dyDescent="0.25">
      <c r="A549" s="150">
        <v>544</v>
      </c>
      <c r="B549" s="10" t="s">
        <v>1202</v>
      </c>
      <c r="C549" s="236">
        <v>23758273.540835626</v>
      </c>
      <c r="D549" s="233"/>
      <c r="E549" s="232">
        <f t="shared" si="96"/>
        <v>0</v>
      </c>
      <c r="G549" s="10" t="s">
        <v>1772</v>
      </c>
      <c r="H549" s="151">
        <f>IF(ISNUMBER(AI70),AI70/SUM($K$43:$AK$71),0)</f>
        <v>0</v>
      </c>
    </row>
    <row r="550" spans="1:8" x14ac:dyDescent="0.25">
      <c r="A550" s="150">
        <v>545</v>
      </c>
      <c r="B550" s="10" t="s">
        <v>1203</v>
      </c>
      <c r="C550" s="236">
        <v>45439178.765840523</v>
      </c>
      <c r="D550" s="233"/>
      <c r="E550" s="232">
        <f t="shared" si="96"/>
        <v>0</v>
      </c>
      <c r="G550" s="10" t="s">
        <v>1773</v>
      </c>
      <c r="H550" s="151">
        <f>IF(ISNUMBER(AJ70),AJ70/SUM($K$43:$AK$71),0)</f>
        <v>0</v>
      </c>
    </row>
    <row r="551" spans="1:8" x14ac:dyDescent="0.25">
      <c r="A551" s="150">
        <v>546</v>
      </c>
      <c r="B551" s="10" t="s">
        <v>1204</v>
      </c>
      <c r="C551" s="236">
        <v>42200866.993365303</v>
      </c>
      <c r="D551" s="233"/>
      <c r="E551" s="232">
        <f t="shared" si="96"/>
        <v>0</v>
      </c>
      <c r="G551" s="10" t="s">
        <v>1774</v>
      </c>
      <c r="H551" s="151">
        <f>IF(ISNUMBER(AK70),AK70/SUM($K$43:$AK$71),0)</f>
        <v>0</v>
      </c>
    </row>
    <row r="552" spans="1:8" x14ac:dyDescent="0.25">
      <c r="A552" s="150">
        <v>547</v>
      </c>
      <c r="B552" s="10" t="s">
        <v>1205</v>
      </c>
      <c r="C552" s="236">
        <v>45714236.075831927</v>
      </c>
      <c r="D552" s="233"/>
      <c r="E552" s="232">
        <f t="shared" si="96"/>
        <v>0</v>
      </c>
      <c r="G552" s="10" t="s">
        <v>654</v>
      </c>
      <c r="H552" s="151">
        <f>IF(ISNUMBER(K71),K71/SUM($K$43:$AK$71),0)</f>
        <v>0</v>
      </c>
    </row>
    <row r="553" spans="1:8" x14ac:dyDescent="0.25">
      <c r="A553" s="150">
        <v>548</v>
      </c>
      <c r="B553" s="10" t="s">
        <v>1206</v>
      </c>
      <c r="C553" s="236">
        <v>45113170.432514206</v>
      </c>
      <c r="D553" s="233"/>
      <c r="E553" s="232">
        <f t="shared" si="96"/>
        <v>0</v>
      </c>
      <c r="G553" s="10" t="s">
        <v>655</v>
      </c>
      <c r="H553" s="151">
        <f>IF(ISNUMBER(L71),L71/SUM($K$43:$AK$71),0)</f>
        <v>8.6079301880432571E-6</v>
      </c>
    </row>
    <row r="554" spans="1:8" x14ac:dyDescent="0.25">
      <c r="A554" s="150">
        <v>549</v>
      </c>
      <c r="B554" s="10" t="s">
        <v>1207</v>
      </c>
      <c r="C554" s="236">
        <v>29301888.66203285</v>
      </c>
      <c r="D554" s="233"/>
      <c r="E554" s="232">
        <f t="shared" si="96"/>
        <v>0</v>
      </c>
      <c r="G554" s="10" t="s">
        <v>656</v>
      </c>
      <c r="H554" s="151">
        <f>IF(ISNUMBER(M71),M71/SUM($K$43:$AK$71),0)</f>
        <v>5.866676407164076E-5</v>
      </c>
    </row>
    <row r="555" spans="1:8" x14ac:dyDescent="0.25">
      <c r="A555" s="150">
        <v>550</v>
      </c>
      <c r="B555" s="10" t="s">
        <v>1208</v>
      </c>
      <c r="C555" s="236">
        <v>27988956.162698977</v>
      </c>
      <c r="D555" s="233"/>
      <c r="E555" s="232">
        <f t="shared" si="96"/>
        <v>0</v>
      </c>
      <c r="G555" s="10" t="s">
        <v>657</v>
      </c>
      <c r="H555" s="151">
        <f>IF(ISNUMBER(N71),N71/SUM($K$43:$AK$71),0)</f>
        <v>1.1973741011522503E-4</v>
      </c>
    </row>
    <row r="556" spans="1:8" x14ac:dyDescent="0.25">
      <c r="A556" s="150">
        <v>551</v>
      </c>
      <c r="B556" s="10" t="s">
        <v>1209</v>
      </c>
      <c r="C556" s="236">
        <v>11394604.866461052</v>
      </c>
      <c r="D556" s="233"/>
      <c r="E556" s="232">
        <f t="shared" si="96"/>
        <v>0</v>
      </c>
      <c r="G556" s="10" t="s">
        <v>658</v>
      </c>
      <c r="H556" s="151">
        <f>IF(ISNUMBER(O71),O71/SUM($K$43:$AK$71),0)</f>
        <v>1.6241974593551349E-4</v>
      </c>
    </row>
    <row r="557" spans="1:8" x14ac:dyDescent="0.25">
      <c r="A557" s="150">
        <v>552</v>
      </c>
      <c r="B557" s="10" t="s">
        <v>1210</v>
      </c>
      <c r="C557" s="236">
        <v>10027462.451345928</v>
      </c>
      <c r="D557" s="233"/>
      <c r="E557" s="232">
        <f t="shared" si="96"/>
        <v>0</v>
      </c>
      <c r="G557" s="10" t="s">
        <v>659</v>
      </c>
      <c r="H557" s="151">
        <f>IF(ISNUMBER(P71),P71/SUM($K$43:$AK$71),0)</f>
        <v>1.4952083367125908E-4</v>
      </c>
    </row>
    <row r="558" spans="1:8" x14ac:dyDescent="0.25">
      <c r="A558" s="150">
        <v>553</v>
      </c>
      <c r="B558" s="10" t="s">
        <v>1211</v>
      </c>
      <c r="C558" s="236">
        <v>2219225.9407268176</v>
      </c>
      <c r="D558" s="233"/>
      <c r="E558" s="232">
        <f t="shared" si="96"/>
        <v>0</v>
      </c>
      <c r="G558" s="10" t="s">
        <v>660</v>
      </c>
      <c r="H558" s="151">
        <f>IF(ISNUMBER(Q71),Q71/SUM($K$43:$AK$71),0)</f>
        <v>8.7463839829715102E-5</v>
      </c>
    </row>
    <row r="559" spans="1:8" x14ac:dyDescent="0.25">
      <c r="A559" s="150">
        <v>554</v>
      </c>
      <c r="B559" s="10" t="s">
        <v>1212</v>
      </c>
      <c r="C559" s="236">
        <v>2383744.8814005572</v>
      </c>
      <c r="D559" s="233"/>
      <c r="E559" s="232">
        <f t="shared" si="96"/>
        <v>0</v>
      </c>
      <c r="G559" s="10" t="s">
        <v>661</v>
      </c>
      <c r="H559" s="151">
        <f>IF(ISNUMBER(R71),R71/SUM($K$43:$AK$71),0)</f>
        <v>2.2357594872569352E-5</v>
      </c>
    </row>
    <row r="560" spans="1:8" x14ac:dyDescent="0.25">
      <c r="A560" s="150">
        <v>555</v>
      </c>
      <c r="B560" s="10" t="s">
        <v>1213</v>
      </c>
      <c r="C560" s="236">
        <v>107948.77879922844</v>
      </c>
      <c r="D560" s="233"/>
      <c r="E560" s="232">
        <f t="shared" si="96"/>
        <v>0</v>
      </c>
      <c r="G560" s="10" t="s">
        <v>662</v>
      </c>
      <c r="H560" s="151">
        <f>IF(ISNUMBER(S71),S71/SUM($K$43:$AK$71),0)</f>
        <v>0</v>
      </c>
    </row>
    <row r="561" spans="1:8" x14ac:dyDescent="0.25">
      <c r="A561" s="150">
        <v>556</v>
      </c>
      <c r="B561" s="10" t="s">
        <v>1214</v>
      </c>
      <c r="C561" s="236">
        <v>177170.73872389077</v>
      </c>
      <c r="D561" s="233"/>
      <c r="E561" s="232">
        <f t="shared" si="96"/>
        <v>0</v>
      </c>
      <c r="G561" s="10" t="s">
        <v>1775</v>
      </c>
      <c r="H561" s="151">
        <f>IF(ISNUMBER(T71),T71/SUM($K$43:$AK$71),0)</f>
        <v>0</v>
      </c>
    </row>
    <row r="562" spans="1:8" x14ac:dyDescent="0.25">
      <c r="A562" s="150">
        <v>557</v>
      </c>
      <c r="B562" s="10" t="s">
        <v>1215</v>
      </c>
      <c r="C562" s="236">
        <v>51692.841536034</v>
      </c>
      <c r="D562" s="233"/>
      <c r="E562" s="232">
        <f t="shared" si="96"/>
        <v>0</v>
      </c>
      <c r="G562" s="10" t="s">
        <v>1776</v>
      </c>
      <c r="H562" s="151">
        <f>IF(ISNUMBER(U71),U71/SUM($K$43:$AK$71),0)</f>
        <v>0</v>
      </c>
    </row>
    <row r="563" spans="1:8" x14ac:dyDescent="0.25">
      <c r="A563" s="150">
        <v>558</v>
      </c>
      <c r="B563" s="10" t="s">
        <v>1216</v>
      </c>
      <c r="C563" s="236">
        <v>74734.40844542117</v>
      </c>
      <c r="D563" s="233"/>
      <c r="E563" s="232">
        <f t="shared" si="96"/>
        <v>0</v>
      </c>
      <c r="G563" s="10" t="s">
        <v>1777</v>
      </c>
      <c r="H563" s="151">
        <f>IF(ISNUMBER(V71),V71/SUM($K$43:$AK$71),0)</f>
        <v>0</v>
      </c>
    </row>
    <row r="564" spans="1:8" x14ac:dyDescent="0.25">
      <c r="A564" s="150">
        <v>559</v>
      </c>
      <c r="B564" s="10" t="s">
        <v>763</v>
      </c>
      <c r="C564" s="236">
        <v>5908378.1690449696</v>
      </c>
      <c r="D564" s="233"/>
      <c r="E564" s="232">
        <f t="shared" si="96"/>
        <v>0</v>
      </c>
      <c r="G564" s="10" t="s">
        <v>1778</v>
      </c>
      <c r="H564" s="151">
        <f>IF(ISNUMBER(W71),W71/SUM($K$43:$AK$71),0)</f>
        <v>0</v>
      </c>
    </row>
    <row r="565" spans="1:8" x14ac:dyDescent="0.25">
      <c r="A565" s="150">
        <v>560</v>
      </c>
      <c r="B565" s="10" t="s">
        <v>764</v>
      </c>
      <c r="C565" s="236">
        <v>3759523.0234851381</v>
      </c>
      <c r="D565" s="233"/>
      <c r="E565" s="232">
        <f t="shared" si="96"/>
        <v>0</v>
      </c>
      <c r="G565" s="10" t="s">
        <v>1779</v>
      </c>
      <c r="H565" s="151">
        <f>IF(ISNUMBER(X71),X71/SUM($K$43:$AK$71),0)</f>
        <v>0</v>
      </c>
    </row>
    <row r="566" spans="1:8" x14ac:dyDescent="0.25">
      <c r="A566" s="150">
        <v>561</v>
      </c>
      <c r="B566" s="10" t="s">
        <v>765</v>
      </c>
      <c r="C566" s="236">
        <v>23328774.30115924</v>
      </c>
      <c r="D566" s="233"/>
      <c r="E566" s="232">
        <f t="shared" si="96"/>
        <v>0</v>
      </c>
      <c r="G566" s="10" t="s">
        <v>1780</v>
      </c>
      <c r="H566" s="151">
        <f>IF(ISNUMBER(Y71),Y71/SUM($K$43:$AK$71),0)</f>
        <v>2.2788020759881017E-6</v>
      </c>
    </row>
    <row r="567" spans="1:8" x14ac:dyDescent="0.25">
      <c r="A567" s="150">
        <v>562</v>
      </c>
      <c r="B567" s="10" t="s">
        <v>766</v>
      </c>
      <c r="C567" s="236">
        <v>18622783.033526547</v>
      </c>
      <c r="D567" s="233"/>
      <c r="E567" s="232">
        <f t="shared" si="96"/>
        <v>0</v>
      </c>
      <c r="G567" s="10" t="s">
        <v>1781</v>
      </c>
      <c r="H567" s="151">
        <f>IF(ISNUMBER(Z71),Z71/SUM($K$43:$AK$71),0)</f>
        <v>0</v>
      </c>
    </row>
    <row r="568" spans="1:8" x14ac:dyDescent="0.25">
      <c r="A568" s="150">
        <v>563</v>
      </c>
      <c r="B568" s="10" t="s">
        <v>767</v>
      </c>
      <c r="C568" s="236">
        <v>55340440.535396829</v>
      </c>
      <c r="D568" s="233"/>
      <c r="E568" s="232">
        <f t="shared" si="96"/>
        <v>0</v>
      </c>
      <c r="G568" s="10" t="s">
        <v>1782</v>
      </c>
      <c r="H568" s="151">
        <f>IF(ISNUMBER(AA71),AA71/SUM($K$43:$AK$71),0)</f>
        <v>0</v>
      </c>
    </row>
    <row r="569" spans="1:8" x14ac:dyDescent="0.25">
      <c r="A569" s="150">
        <v>564</v>
      </c>
      <c r="B569" s="10" t="s">
        <v>768</v>
      </c>
      <c r="C569" s="236">
        <v>53003877.517284855</v>
      </c>
      <c r="D569" s="233"/>
      <c r="E569" s="232">
        <f t="shared" si="96"/>
        <v>0</v>
      </c>
      <c r="G569" s="10" t="s">
        <v>1783</v>
      </c>
      <c r="H569" s="151">
        <f>IF(ISNUMBER(AB71),AB71/SUM($K$43:$AK$71),0)</f>
        <v>0</v>
      </c>
    </row>
    <row r="570" spans="1:8" x14ac:dyDescent="0.25">
      <c r="A570" s="150">
        <v>565</v>
      </c>
      <c r="B570" s="10" t="s">
        <v>769</v>
      </c>
      <c r="C570" s="236">
        <v>83369537.767228499</v>
      </c>
      <c r="D570" s="233"/>
      <c r="E570" s="232">
        <f t="shared" si="96"/>
        <v>0</v>
      </c>
      <c r="G570" s="10" t="s">
        <v>1784</v>
      </c>
      <c r="H570" s="151">
        <f>IF(ISNUMBER(AC71),AC71/SUM($K$43:$AK$71),0)</f>
        <v>0</v>
      </c>
    </row>
    <row r="571" spans="1:8" x14ac:dyDescent="0.25">
      <c r="A571" s="150">
        <v>566</v>
      </c>
      <c r="B571" s="10" t="s">
        <v>770</v>
      </c>
      <c r="C571" s="236">
        <v>74670267.168935224</v>
      </c>
      <c r="D571" s="233"/>
      <c r="E571" s="232">
        <f t="shared" si="96"/>
        <v>0</v>
      </c>
      <c r="G571" s="10" t="s">
        <v>1785</v>
      </c>
      <c r="H571" s="151">
        <f>IF(ISNUMBER(AD71),AD71/SUM($K$43:$AK$71),0)</f>
        <v>0</v>
      </c>
    </row>
    <row r="572" spans="1:8" x14ac:dyDescent="0.25">
      <c r="A572" s="150">
        <v>567</v>
      </c>
      <c r="B572" s="10" t="s">
        <v>771</v>
      </c>
      <c r="C572" s="236">
        <v>74477206.513387263</v>
      </c>
      <c r="D572" s="233"/>
      <c r="E572" s="232">
        <f t="shared" si="96"/>
        <v>0</v>
      </c>
      <c r="G572" s="10" t="s">
        <v>1786</v>
      </c>
      <c r="H572" s="151">
        <f>IF(ISNUMBER(AE71),AE71/SUM($K$43:$AK$71),0)</f>
        <v>0</v>
      </c>
    </row>
    <row r="573" spans="1:8" x14ac:dyDescent="0.25">
      <c r="A573" s="150">
        <v>568</v>
      </c>
      <c r="B573" s="10" t="s">
        <v>772</v>
      </c>
      <c r="C573" s="236">
        <v>58349918.618067741</v>
      </c>
      <c r="D573" s="233"/>
      <c r="E573" s="232">
        <f t="shared" si="96"/>
        <v>0</v>
      </c>
      <c r="G573" s="10" t="s">
        <v>1787</v>
      </c>
      <c r="H573" s="151">
        <f>IF(ISNUMBER(AF71),AF71/SUM($K$43:$AK$71),0)</f>
        <v>0</v>
      </c>
    </row>
    <row r="574" spans="1:8" x14ac:dyDescent="0.25">
      <c r="A574" s="150">
        <v>569</v>
      </c>
      <c r="B574" s="10" t="s">
        <v>773</v>
      </c>
      <c r="C574" s="236">
        <v>40709340.145854473</v>
      </c>
      <c r="D574" s="233"/>
      <c r="E574" s="232">
        <f t="shared" si="96"/>
        <v>0</v>
      </c>
      <c r="G574" s="10" t="s">
        <v>1788</v>
      </c>
      <c r="H574" s="151">
        <f>IF(ISNUMBER(AG71),AG71/SUM($K$43:$AK$71),0)</f>
        <v>0</v>
      </c>
    </row>
    <row r="575" spans="1:8" x14ac:dyDescent="0.25">
      <c r="A575" s="150">
        <v>570</v>
      </c>
      <c r="B575" s="10" t="s">
        <v>774</v>
      </c>
      <c r="C575" s="236">
        <v>34201394.494842775</v>
      </c>
      <c r="D575" s="233"/>
      <c r="E575" s="232">
        <f t="shared" si="96"/>
        <v>0</v>
      </c>
      <c r="G575" s="10" t="s">
        <v>1789</v>
      </c>
      <c r="H575" s="151">
        <f>IF(ISNUMBER(AH71),AH71/SUM($K$43:$AK$71),0)</f>
        <v>0</v>
      </c>
    </row>
    <row r="576" spans="1:8" x14ac:dyDescent="0.25">
      <c r="A576" s="150">
        <v>571</v>
      </c>
      <c r="B576" s="10" t="s">
        <v>775</v>
      </c>
      <c r="C576" s="236">
        <v>13984383.378328346</v>
      </c>
      <c r="D576" s="233"/>
      <c r="E576" s="232">
        <f t="shared" si="96"/>
        <v>0</v>
      </c>
      <c r="G576" s="10" t="s">
        <v>1790</v>
      </c>
      <c r="H576" s="151">
        <f>IF(ISNUMBER(AI71),AI71/SUM($K$43:$AK$71),0)</f>
        <v>0</v>
      </c>
    </row>
    <row r="577" spans="1:8" x14ac:dyDescent="0.25">
      <c r="A577" s="150">
        <v>572</v>
      </c>
      <c r="B577" s="10" t="s">
        <v>776</v>
      </c>
      <c r="C577" s="236">
        <v>13111027.506693851</v>
      </c>
      <c r="D577" s="233"/>
      <c r="E577" s="232">
        <f t="shared" si="96"/>
        <v>0</v>
      </c>
      <c r="G577" s="10" t="s">
        <v>1791</v>
      </c>
      <c r="H577" s="151">
        <f>IF(ISNUMBER(AJ71),AJ71/SUM($K$43:$AK$71),0)</f>
        <v>0</v>
      </c>
    </row>
    <row r="578" spans="1:8" x14ac:dyDescent="0.25">
      <c r="A578" s="150">
        <v>573</v>
      </c>
      <c r="B578" s="10" t="s">
        <v>777</v>
      </c>
      <c r="C578" s="236">
        <v>3253052.7136213775</v>
      </c>
      <c r="D578" s="233"/>
      <c r="E578" s="232">
        <f t="shared" si="96"/>
        <v>0</v>
      </c>
      <c r="G578" s="165" t="s">
        <v>1792</v>
      </c>
      <c r="H578" s="166">
        <f>IF(ISNUMBER(AK71),AK71/SUM($K$43:$AK$71),0)</f>
        <v>0</v>
      </c>
    </row>
    <row r="579" spans="1:8" x14ac:dyDescent="0.25">
      <c r="A579" s="150">
        <v>574</v>
      </c>
      <c r="B579" s="10" t="s">
        <v>778</v>
      </c>
      <c r="C579" s="236">
        <v>3041963.4409360904</v>
      </c>
      <c r="D579" s="233"/>
      <c r="E579" s="232">
        <f t="shared" si="96"/>
        <v>0</v>
      </c>
    </row>
    <row r="580" spans="1:8" x14ac:dyDescent="0.25">
      <c r="A580" s="150">
        <v>575</v>
      </c>
      <c r="B580" s="10" t="s">
        <v>779</v>
      </c>
      <c r="C580" s="236">
        <v>253360.01729093702</v>
      </c>
      <c r="D580" s="233"/>
      <c r="E580" s="232">
        <f t="shared" si="96"/>
        <v>0</v>
      </c>
    </row>
    <row r="581" spans="1:8" x14ac:dyDescent="0.25">
      <c r="A581" s="150">
        <v>576</v>
      </c>
      <c r="B581" s="10" t="s">
        <v>780</v>
      </c>
      <c r="C581" s="236">
        <v>153923.39454578975</v>
      </c>
      <c r="D581" s="233"/>
      <c r="E581" s="232">
        <f t="shared" si="96"/>
        <v>0</v>
      </c>
    </row>
    <row r="582" spans="1:8" x14ac:dyDescent="0.25">
      <c r="A582" s="150">
        <v>577</v>
      </c>
      <c r="B582" s="10" t="s">
        <v>781</v>
      </c>
      <c r="C582" s="236">
        <v>17134.892309084065</v>
      </c>
      <c r="D582" s="233"/>
      <c r="E582" s="232">
        <f t="shared" si="96"/>
        <v>0</v>
      </c>
    </row>
    <row r="583" spans="1:8" x14ac:dyDescent="0.25">
      <c r="A583" s="150">
        <v>578</v>
      </c>
      <c r="B583" s="10" t="s">
        <v>782</v>
      </c>
      <c r="C583" s="236">
        <v>5100.7584142419428</v>
      </c>
      <c r="D583" s="233"/>
      <c r="E583" s="232">
        <f t="shared" ref="E583:E646" si="97">D583/C583</f>
        <v>0</v>
      </c>
    </row>
    <row r="584" spans="1:8" x14ac:dyDescent="0.25">
      <c r="A584" s="150">
        <v>579</v>
      </c>
      <c r="B584" s="10" t="s">
        <v>783</v>
      </c>
      <c r="C584" s="236">
        <v>4131.6001683042978</v>
      </c>
      <c r="D584" s="233"/>
      <c r="E584" s="232">
        <f t="shared" si="97"/>
        <v>0</v>
      </c>
    </row>
    <row r="585" spans="1:8" x14ac:dyDescent="0.25">
      <c r="A585" s="150">
        <v>580</v>
      </c>
      <c r="B585" s="10" t="s">
        <v>784</v>
      </c>
      <c r="C585" s="236">
        <v>0</v>
      </c>
      <c r="D585" s="233"/>
      <c r="E585" s="232" t="e">
        <f t="shared" si="97"/>
        <v>#DIV/0!</v>
      </c>
    </row>
    <row r="586" spans="1:8" x14ac:dyDescent="0.25">
      <c r="A586" s="150">
        <v>581</v>
      </c>
      <c r="B586" s="10" t="s">
        <v>785</v>
      </c>
      <c r="C586" s="236">
        <v>2374.11799951177</v>
      </c>
      <c r="D586" s="233"/>
      <c r="E586" s="232">
        <f t="shared" si="97"/>
        <v>0</v>
      </c>
    </row>
    <row r="587" spans="1:8" x14ac:dyDescent="0.25">
      <c r="A587" s="150">
        <v>582</v>
      </c>
      <c r="B587" s="10" t="s">
        <v>786</v>
      </c>
      <c r="C587" s="236">
        <v>6175.5410272136978</v>
      </c>
      <c r="D587" s="233"/>
      <c r="E587" s="232">
        <f t="shared" si="97"/>
        <v>0</v>
      </c>
    </row>
    <row r="588" spans="1:8" x14ac:dyDescent="0.25">
      <c r="A588" s="150">
        <v>583</v>
      </c>
      <c r="B588" s="10" t="s">
        <v>787</v>
      </c>
      <c r="C588" s="236">
        <v>1223.8081709518599</v>
      </c>
      <c r="D588" s="233"/>
      <c r="E588" s="232">
        <f t="shared" si="97"/>
        <v>0</v>
      </c>
    </row>
    <row r="589" spans="1:8" x14ac:dyDescent="0.25">
      <c r="A589" s="150">
        <v>584</v>
      </c>
      <c r="B589" s="10" t="s">
        <v>788</v>
      </c>
      <c r="C589" s="236">
        <v>3777.189912422245</v>
      </c>
      <c r="D589" s="233"/>
      <c r="E589" s="232">
        <f t="shared" si="97"/>
        <v>0</v>
      </c>
    </row>
    <row r="590" spans="1:8" x14ac:dyDescent="0.25">
      <c r="A590" s="150">
        <v>585</v>
      </c>
      <c r="B590" s="10" t="s">
        <v>1217</v>
      </c>
      <c r="C590" s="236">
        <v>2358.0985248758598</v>
      </c>
      <c r="D590" s="233"/>
      <c r="E590" s="232">
        <f t="shared" si="97"/>
        <v>0</v>
      </c>
    </row>
    <row r="591" spans="1:8" x14ac:dyDescent="0.25">
      <c r="A591" s="150">
        <v>586</v>
      </c>
      <c r="B591" s="10" t="s">
        <v>1218</v>
      </c>
      <c r="C591" s="236">
        <v>9029.8798425288496</v>
      </c>
      <c r="D591" s="233"/>
      <c r="E591" s="232">
        <f t="shared" si="97"/>
        <v>0</v>
      </c>
    </row>
    <row r="592" spans="1:8" x14ac:dyDescent="0.25">
      <c r="A592" s="150">
        <v>587</v>
      </c>
      <c r="B592" s="10" t="s">
        <v>1219</v>
      </c>
      <c r="C592" s="236">
        <v>6964.4365282972531</v>
      </c>
      <c r="D592" s="233"/>
      <c r="E592" s="232">
        <f t="shared" si="97"/>
        <v>0</v>
      </c>
    </row>
    <row r="593" spans="1:5" x14ac:dyDescent="0.25">
      <c r="A593" s="150">
        <v>588</v>
      </c>
      <c r="B593" s="10" t="s">
        <v>1220</v>
      </c>
      <c r="C593" s="236">
        <v>19604.050401367498</v>
      </c>
      <c r="D593" s="233"/>
      <c r="E593" s="232">
        <f t="shared" si="97"/>
        <v>0</v>
      </c>
    </row>
    <row r="594" spans="1:5" x14ac:dyDescent="0.25">
      <c r="A594" s="150">
        <v>589</v>
      </c>
      <c r="B594" s="10" t="s">
        <v>1221</v>
      </c>
      <c r="C594" s="236">
        <v>2144222.8888419876</v>
      </c>
      <c r="D594" s="233"/>
      <c r="E594" s="232">
        <f t="shared" si="97"/>
        <v>0</v>
      </c>
    </row>
    <row r="595" spans="1:5" x14ac:dyDescent="0.25">
      <c r="A595" s="150">
        <v>590</v>
      </c>
      <c r="B595" s="10" t="s">
        <v>1222</v>
      </c>
      <c r="C595" s="236">
        <v>1974235.090690345</v>
      </c>
      <c r="D595" s="233"/>
      <c r="E595" s="232">
        <f t="shared" si="97"/>
        <v>0</v>
      </c>
    </row>
    <row r="596" spans="1:5" x14ac:dyDescent="0.25">
      <c r="A596" s="150">
        <v>591</v>
      </c>
      <c r="B596" s="10" t="s">
        <v>1223</v>
      </c>
      <c r="C596" s="236">
        <v>13990221.184577944</v>
      </c>
      <c r="D596" s="233"/>
      <c r="E596" s="232">
        <f t="shared" si="97"/>
        <v>0</v>
      </c>
    </row>
    <row r="597" spans="1:5" x14ac:dyDescent="0.25">
      <c r="A597" s="150">
        <v>592</v>
      </c>
      <c r="B597" s="10" t="s">
        <v>1224</v>
      </c>
      <c r="C597" s="236">
        <v>12055209.80037652</v>
      </c>
      <c r="D597" s="233"/>
      <c r="E597" s="232">
        <f t="shared" si="97"/>
        <v>0</v>
      </c>
    </row>
    <row r="598" spans="1:5" x14ac:dyDescent="0.25">
      <c r="A598" s="150">
        <v>593</v>
      </c>
      <c r="B598" s="10" t="s">
        <v>1225</v>
      </c>
      <c r="C598" s="236">
        <v>38268523.688119404</v>
      </c>
      <c r="D598" s="233"/>
      <c r="E598" s="232">
        <f t="shared" si="97"/>
        <v>0</v>
      </c>
    </row>
    <row r="599" spans="1:5" x14ac:dyDescent="0.25">
      <c r="A599" s="150">
        <v>594</v>
      </c>
      <c r="B599" s="10" t="s">
        <v>1226</v>
      </c>
      <c r="C599" s="236">
        <v>35706746.678692326</v>
      </c>
      <c r="D599" s="233"/>
      <c r="E599" s="232">
        <f t="shared" si="97"/>
        <v>0</v>
      </c>
    </row>
    <row r="600" spans="1:5" x14ac:dyDescent="0.25">
      <c r="A600" s="150">
        <v>595</v>
      </c>
      <c r="B600" s="10" t="s">
        <v>1227</v>
      </c>
      <c r="C600" s="236">
        <v>60557761.115174271</v>
      </c>
      <c r="D600" s="233"/>
      <c r="E600" s="232">
        <f t="shared" si="97"/>
        <v>0</v>
      </c>
    </row>
    <row r="601" spans="1:5" x14ac:dyDescent="0.25">
      <c r="A601" s="150">
        <v>596</v>
      </c>
      <c r="B601" s="10" t="s">
        <v>1228</v>
      </c>
      <c r="C601" s="236">
        <v>60129688.484571926</v>
      </c>
      <c r="D601" s="233"/>
      <c r="E601" s="232">
        <f t="shared" si="97"/>
        <v>0</v>
      </c>
    </row>
    <row r="602" spans="1:5" x14ac:dyDescent="0.25">
      <c r="A602" s="150">
        <v>597</v>
      </c>
      <c r="B602" s="10" t="s">
        <v>1229</v>
      </c>
      <c r="C602" s="236">
        <v>60742739.546833999</v>
      </c>
      <c r="D602" s="233"/>
      <c r="E602" s="232">
        <f t="shared" si="97"/>
        <v>0</v>
      </c>
    </row>
    <row r="603" spans="1:5" x14ac:dyDescent="0.25">
      <c r="A603" s="150">
        <v>598</v>
      </c>
      <c r="B603" s="10" t="s">
        <v>1230</v>
      </c>
      <c r="C603" s="236">
        <v>58265775.895522103</v>
      </c>
      <c r="D603" s="233"/>
      <c r="E603" s="232">
        <f t="shared" si="97"/>
        <v>0</v>
      </c>
    </row>
    <row r="604" spans="1:5" x14ac:dyDescent="0.25">
      <c r="A604" s="150">
        <v>599</v>
      </c>
      <c r="B604" s="10" t="s">
        <v>1231</v>
      </c>
      <c r="C604" s="236">
        <v>37896995.476990223</v>
      </c>
      <c r="D604" s="233"/>
      <c r="E604" s="232">
        <f t="shared" si="97"/>
        <v>0</v>
      </c>
    </row>
    <row r="605" spans="1:5" x14ac:dyDescent="0.25">
      <c r="A605" s="150">
        <v>600</v>
      </c>
      <c r="B605" s="10" t="s">
        <v>1232</v>
      </c>
      <c r="C605" s="236">
        <v>33888744.655748352</v>
      </c>
      <c r="D605" s="233"/>
      <c r="E605" s="232">
        <f t="shared" si="97"/>
        <v>0</v>
      </c>
    </row>
    <row r="606" spans="1:5" x14ac:dyDescent="0.25">
      <c r="A606" s="150">
        <v>601</v>
      </c>
      <c r="B606" s="10" t="s">
        <v>1233</v>
      </c>
      <c r="C606" s="236">
        <v>14285360.598025948</v>
      </c>
      <c r="D606" s="233"/>
      <c r="E606" s="232">
        <f t="shared" si="97"/>
        <v>0</v>
      </c>
    </row>
    <row r="607" spans="1:5" x14ac:dyDescent="0.25">
      <c r="A607" s="150">
        <v>602</v>
      </c>
      <c r="B607" s="10" t="s">
        <v>1234</v>
      </c>
      <c r="C607" s="236">
        <v>14504743.764907826</v>
      </c>
      <c r="D607" s="233"/>
      <c r="E607" s="232">
        <f t="shared" si="97"/>
        <v>0</v>
      </c>
    </row>
    <row r="608" spans="1:5" x14ac:dyDescent="0.25">
      <c r="A608" s="150">
        <v>603</v>
      </c>
      <c r="B608" s="10" t="s">
        <v>1235</v>
      </c>
      <c r="C608" s="236">
        <v>2660594.5098281195</v>
      </c>
      <c r="D608" s="233"/>
      <c r="E608" s="232">
        <f t="shared" si="97"/>
        <v>0</v>
      </c>
    </row>
    <row r="609" spans="1:5" x14ac:dyDescent="0.25">
      <c r="A609" s="150">
        <v>604</v>
      </c>
      <c r="B609" s="10" t="s">
        <v>1236</v>
      </c>
      <c r="C609" s="236">
        <v>3147176.1623068475</v>
      </c>
      <c r="D609" s="233"/>
      <c r="E609" s="232">
        <f t="shared" si="97"/>
        <v>0</v>
      </c>
    </row>
    <row r="610" spans="1:5" x14ac:dyDescent="0.25">
      <c r="A610" s="150">
        <v>605</v>
      </c>
      <c r="B610" s="10" t="s">
        <v>1237</v>
      </c>
      <c r="C610" s="236">
        <v>255287.57605937502</v>
      </c>
      <c r="D610" s="233"/>
      <c r="E610" s="232">
        <f t="shared" si="97"/>
        <v>0</v>
      </c>
    </row>
    <row r="611" spans="1:5" x14ac:dyDescent="0.25">
      <c r="A611" s="150">
        <v>606</v>
      </c>
      <c r="B611" s="10" t="s">
        <v>1238</v>
      </c>
      <c r="C611" s="236">
        <v>187790.33787631249</v>
      </c>
      <c r="D611" s="233"/>
      <c r="E611" s="232">
        <f t="shared" si="97"/>
        <v>0</v>
      </c>
    </row>
    <row r="612" spans="1:5" x14ac:dyDescent="0.25">
      <c r="A612" s="150">
        <v>607</v>
      </c>
      <c r="B612" s="10" t="s">
        <v>1239</v>
      </c>
      <c r="C612" s="236">
        <v>20257.365176643561</v>
      </c>
      <c r="D612" s="233"/>
      <c r="E612" s="232">
        <f t="shared" si="97"/>
        <v>0</v>
      </c>
    </row>
    <row r="613" spans="1:5" x14ac:dyDescent="0.25">
      <c r="A613" s="150">
        <v>608</v>
      </c>
      <c r="B613" s="10" t="s">
        <v>1240</v>
      </c>
      <c r="C613" s="236">
        <v>31172.391142722856</v>
      </c>
      <c r="D613" s="233"/>
      <c r="E613" s="232">
        <f t="shared" si="97"/>
        <v>0</v>
      </c>
    </row>
    <row r="614" spans="1:5" x14ac:dyDescent="0.25">
      <c r="A614" s="150">
        <v>609</v>
      </c>
      <c r="B614" s="10" t="s">
        <v>789</v>
      </c>
      <c r="C614" s="236">
        <v>4791488.2003210448</v>
      </c>
      <c r="D614" s="233"/>
      <c r="E614" s="232">
        <f t="shared" si="97"/>
        <v>0</v>
      </c>
    </row>
    <row r="615" spans="1:5" x14ac:dyDescent="0.25">
      <c r="A615" s="150">
        <v>610</v>
      </c>
      <c r="B615" s="10" t="s">
        <v>790</v>
      </c>
      <c r="C615" s="236">
        <v>3048059.3704788517</v>
      </c>
      <c r="D615" s="233"/>
      <c r="E615" s="232">
        <f t="shared" si="97"/>
        <v>0</v>
      </c>
    </row>
    <row r="616" spans="1:5" x14ac:dyDescent="0.25">
      <c r="A616" s="150">
        <v>611</v>
      </c>
      <c r="B616" s="10" t="s">
        <v>791</v>
      </c>
      <c r="C616" s="236">
        <v>18779327.011841509</v>
      </c>
      <c r="D616" s="233"/>
      <c r="E616" s="232">
        <f t="shared" si="97"/>
        <v>0</v>
      </c>
    </row>
    <row r="617" spans="1:5" x14ac:dyDescent="0.25">
      <c r="A617" s="150">
        <v>612</v>
      </c>
      <c r="B617" s="10" t="s">
        <v>792</v>
      </c>
      <c r="C617" s="236">
        <v>15185707.198610131</v>
      </c>
      <c r="D617" s="233"/>
      <c r="E617" s="232">
        <f t="shared" si="97"/>
        <v>0</v>
      </c>
    </row>
    <row r="618" spans="1:5" x14ac:dyDescent="0.25">
      <c r="A618" s="150">
        <v>613</v>
      </c>
      <c r="B618" s="10" t="s">
        <v>793</v>
      </c>
      <c r="C618" s="236">
        <v>41892201.704419881</v>
      </c>
      <c r="D618" s="233"/>
      <c r="E618" s="232">
        <f t="shared" si="97"/>
        <v>0</v>
      </c>
    </row>
    <row r="619" spans="1:5" x14ac:dyDescent="0.25">
      <c r="A619" s="150">
        <v>614</v>
      </c>
      <c r="B619" s="10" t="s">
        <v>794</v>
      </c>
      <c r="C619" s="236">
        <v>40140887.40359138</v>
      </c>
      <c r="D619" s="233"/>
      <c r="E619" s="232">
        <f t="shared" si="97"/>
        <v>0</v>
      </c>
    </row>
    <row r="620" spans="1:5" x14ac:dyDescent="0.25">
      <c r="A620" s="150">
        <v>615</v>
      </c>
      <c r="B620" s="10" t="s">
        <v>795</v>
      </c>
      <c r="C620" s="236">
        <v>62889815.865827054</v>
      </c>
      <c r="D620" s="233"/>
      <c r="E620" s="232">
        <f t="shared" si="97"/>
        <v>0</v>
      </c>
    </row>
    <row r="621" spans="1:5" x14ac:dyDescent="0.25">
      <c r="A621" s="150">
        <v>616</v>
      </c>
      <c r="B621" s="10" t="s">
        <v>796</v>
      </c>
      <c r="C621" s="236">
        <v>56158454.405142546</v>
      </c>
      <c r="D621" s="233"/>
      <c r="E621" s="232">
        <f t="shared" si="97"/>
        <v>0</v>
      </c>
    </row>
    <row r="622" spans="1:5" x14ac:dyDescent="0.25">
      <c r="A622" s="150">
        <v>617</v>
      </c>
      <c r="B622" s="10" t="s">
        <v>797</v>
      </c>
      <c r="C622" s="236">
        <v>59719199.775413498</v>
      </c>
      <c r="D622" s="233"/>
      <c r="E622" s="232">
        <f t="shared" si="97"/>
        <v>0</v>
      </c>
    </row>
    <row r="623" spans="1:5" x14ac:dyDescent="0.25">
      <c r="A623" s="150">
        <v>618</v>
      </c>
      <c r="B623" s="10" t="s">
        <v>798</v>
      </c>
      <c r="C623" s="236">
        <v>46794759.558460951</v>
      </c>
      <c r="D623" s="233"/>
      <c r="E623" s="232">
        <f t="shared" si="97"/>
        <v>0</v>
      </c>
    </row>
    <row r="624" spans="1:5" x14ac:dyDescent="0.25">
      <c r="A624" s="150">
        <v>619</v>
      </c>
      <c r="B624" s="10" t="s">
        <v>799</v>
      </c>
      <c r="C624" s="236">
        <v>36180544.441513047</v>
      </c>
      <c r="D624" s="233"/>
      <c r="E624" s="232">
        <f t="shared" si="97"/>
        <v>0</v>
      </c>
    </row>
    <row r="625" spans="1:5" x14ac:dyDescent="0.25">
      <c r="A625" s="150">
        <v>620</v>
      </c>
      <c r="B625" s="10" t="s">
        <v>800</v>
      </c>
      <c r="C625" s="236">
        <v>30757371.226542026</v>
      </c>
      <c r="D625" s="233"/>
      <c r="E625" s="232">
        <f t="shared" si="97"/>
        <v>0</v>
      </c>
    </row>
    <row r="626" spans="1:5" x14ac:dyDescent="0.25">
      <c r="A626" s="150">
        <v>621</v>
      </c>
      <c r="B626" s="10" t="s">
        <v>801</v>
      </c>
      <c r="C626" s="236">
        <v>14143705.014507651</v>
      </c>
      <c r="D626" s="233"/>
      <c r="E626" s="232">
        <f t="shared" si="97"/>
        <v>0</v>
      </c>
    </row>
    <row r="627" spans="1:5" x14ac:dyDescent="0.25">
      <c r="A627" s="150">
        <v>622</v>
      </c>
      <c r="B627" s="10" t="s">
        <v>802</v>
      </c>
      <c r="C627" s="236">
        <v>13556037.490768092</v>
      </c>
      <c r="D627" s="233"/>
      <c r="E627" s="232">
        <f t="shared" si="97"/>
        <v>0</v>
      </c>
    </row>
    <row r="628" spans="1:5" x14ac:dyDescent="0.25">
      <c r="A628" s="150">
        <v>623</v>
      </c>
      <c r="B628" s="10" t="s">
        <v>803</v>
      </c>
      <c r="C628" s="236">
        <v>3479859.0969637325</v>
      </c>
      <c r="D628" s="233"/>
      <c r="E628" s="232">
        <f t="shared" si="97"/>
        <v>0</v>
      </c>
    </row>
    <row r="629" spans="1:5" x14ac:dyDescent="0.25">
      <c r="A629" s="150">
        <v>624</v>
      </c>
      <c r="B629" s="10" t="s">
        <v>804</v>
      </c>
      <c r="C629" s="236">
        <v>3481398.1597189326</v>
      </c>
      <c r="D629" s="233"/>
      <c r="E629" s="232">
        <f t="shared" si="97"/>
        <v>0</v>
      </c>
    </row>
    <row r="630" spans="1:5" x14ac:dyDescent="0.25">
      <c r="A630" s="150">
        <v>625</v>
      </c>
      <c r="B630" s="10" t="s">
        <v>805</v>
      </c>
      <c r="C630" s="236">
        <v>469708.94168194401</v>
      </c>
      <c r="D630" s="233"/>
      <c r="E630" s="232">
        <f t="shared" si="97"/>
        <v>0</v>
      </c>
    </row>
    <row r="631" spans="1:5" x14ac:dyDescent="0.25">
      <c r="A631" s="150">
        <v>626</v>
      </c>
      <c r="B631" s="10" t="s">
        <v>806</v>
      </c>
      <c r="C631" s="236">
        <v>334277.89340264699</v>
      </c>
      <c r="D631" s="233"/>
      <c r="E631" s="232">
        <f t="shared" si="97"/>
        <v>0</v>
      </c>
    </row>
    <row r="632" spans="1:5" x14ac:dyDescent="0.25">
      <c r="A632" s="150">
        <v>627</v>
      </c>
      <c r="B632" s="10" t="s">
        <v>807</v>
      </c>
      <c r="C632" s="236">
        <v>42344.842757595863</v>
      </c>
      <c r="D632" s="233"/>
      <c r="E632" s="232">
        <f t="shared" si="97"/>
        <v>0</v>
      </c>
    </row>
    <row r="633" spans="1:5" x14ac:dyDescent="0.25">
      <c r="A633" s="150">
        <v>628</v>
      </c>
      <c r="B633" s="10" t="s">
        <v>808</v>
      </c>
      <c r="C633" s="236">
        <v>77958.679752073716</v>
      </c>
      <c r="D633" s="233"/>
      <c r="E633" s="232">
        <f t="shared" si="97"/>
        <v>0</v>
      </c>
    </row>
    <row r="634" spans="1:5" x14ac:dyDescent="0.25">
      <c r="A634" s="150">
        <v>629</v>
      </c>
      <c r="B634" s="10" t="s">
        <v>809</v>
      </c>
      <c r="C634" s="236">
        <v>15896.149197319213</v>
      </c>
      <c r="D634" s="233"/>
      <c r="E634" s="232">
        <f t="shared" si="97"/>
        <v>0</v>
      </c>
    </row>
    <row r="635" spans="1:5" x14ac:dyDescent="0.25">
      <c r="A635" s="150">
        <v>630</v>
      </c>
      <c r="B635" s="10" t="s">
        <v>810</v>
      </c>
      <c r="C635" s="236">
        <v>12319.706863611689</v>
      </c>
      <c r="D635" s="233"/>
      <c r="E635" s="232">
        <f t="shared" si="97"/>
        <v>0</v>
      </c>
    </row>
    <row r="636" spans="1:5" x14ac:dyDescent="0.25">
      <c r="A636" s="150">
        <v>631</v>
      </c>
      <c r="B636" s="10" t="s">
        <v>811</v>
      </c>
      <c r="C636" s="236">
        <v>9856.268341789224</v>
      </c>
      <c r="D636" s="233"/>
      <c r="E636" s="232">
        <f t="shared" si="97"/>
        <v>0</v>
      </c>
    </row>
    <row r="637" spans="1:5" x14ac:dyDescent="0.25">
      <c r="A637" s="150">
        <v>632</v>
      </c>
      <c r="B637" s="10" t="s">
        <v>812</v>
      </c>
      <c r="C637" s="236">
        <v>6382.3390655822577</v>
      </c>
      <c r="D637" s="233"/>
      <c r="E637" s="232">
        <f t="shared" si="97"/>
        <v>0</v>
      </c>
    </row>
    <row r="638" spans="1:5" x14ac:dyDescent="0.25">
      <c r="A638" s="150">
        <v>633</v>
      </c>
      <c r="B638" s="10" t="s">
        <v>813</v>
      </c>
      <c r="C638" s="236">
        <v>1577.9151423338326</v>
      </c>
      <c r="D638" s="233"/>
      <c r="E638" s="232">
        <f t="shared" si="97"/>
        <v>0</v>
      </c>
    </row>
    <row r="639" spans="1:5" x14ac:dyDescent="0.25">
      <c r="A639" s="150">
        <v>634</v>
      </c>
      <c r="B639" s="10" t="s">
        <v>814</v>
      </c>
      <c r="C639" s="236">
        <v>6151.9024967955211</v>
      </c>
      <c r="D639" s="233"/>
      <c r="E639" s="232">
        <f t="shared" si="97"/>
        <v>0</v>
      </c>
    </row>
    <row r="640" spans="1:5" x14ac:dyDescent="0.25">
      <c r="A640" s="150">
        <v>635</v>
      </c>
      <c r="B640" s="10" t="s">
        <v>1241</v>
      </c>
      <c r="C640" s="236">
        <v>6949.7508207244664</v>
      </c>
      <c r="D640" s="233"/>
      <c r="E640" s="232">
        <f t="shared" si="97"/>
        <v>0</v>
      </c>
    </row>
    <row r="641" spans="1:5" x14ac:dyDescent="0.25">
      <c r="A641" s="150">
        <v>636</v>
      </c>
      <c r="B641" s="10" t="s">
        <v>1242</v>
      </c>
      <c r="C641" s="236">
        <v>7534.4668002775761</v>
      </c>
      <c r="D641" s="233"/>
      <c r="E641" s="232">
        <f t="shared" si="97"/>
        <v>0</v>
      </c>
    </row>
    <row r="642" spans="1:5" x14ac:dyDescent="0.25">
      <c r="A642" s="150">
        <v>637</v>
      </c>
      <c r="B642" s="10" t="s">
        <v>1243</v>
      </c>
      <c r="C642" s="236">
        <v>12883.973796149956</v>
      </c>
      <c r="D642" s="233"/>
      <c r="E642" s="232">
        <f t="shared" si="97"/>
        <v>0</v>
      </c>
    </row>
    <row r="643" spans="1:5" x14ac:dyDescent="0.25">
      <c r="A643" s="150">
        <v>638</v>
      </c>
      <c r="B643" s="10" t="s">
        <v>1244</v>
      </c>
      <c r="C643" s="236">
        <v>8054.003722045778</v>
      </c>
      <c r="D643" s="233"/>
      <c r="E643" s="232">
        <f t="shared" si="97"/>
        <v>0</v>
      </c>
    </row>
    <row r="644" spans="1:5" x14ac:dyDescent="0.25">
      <c r="A644" s="150">
        <v>639</v>
      </c>
      <c r="B644" s="10" t="s">
        <v>1245</v>
      </c>
      <c r="C644" s="236">
        <v>32456.205465131905</v>
      </c>
      <c r="D644" s="233"/>
      <c r="E644" s="232">
        <f t="shared" si="97"/>
        <v>0</v>
      </c>
    </row>
    <row r="645" spans="1:5" x14ac:dyDescent="0.25">
      <c r="A645" s="150">
        <v>640</v>
      </c>
      <c r="B645" s="10" t="s">
        <v>1246</v>
      </c>
      <c r="C645" s="236">
        <v>35238.820710633147</v>
      </c>
      <c r="D645" s="233"/>
      <c r="E645" s="232">
        <f t="shared" si="97"/>
        <v>0</v>
      </c>
    </row>
    <row r="646" spans="1:5" x14ac:dyDescent="0.25">
      <c r="A646" s="150">
        <v>641</v>
      </c>
      <c r="B646" s="10" t="s">
        <v>1247</v>
      </c>
      <c r="C646" s="236">
        <v>1645722.3528425391</v>
      </c>
      <c r="D646" s="233"/>
      <c r="E646" s="232">
        <f t="shared" si="97"/>
        <v>0</v>
      </c>
    </row>
    <row r="647" spans="1:5" x14ac:dyDescent="0.25">
      <c r="A647" s="150">
        <v>642</v>
      </c>
      <c r="B647" s="10" t="s">
        <v>1248</v>
      </c>
      <c r="C647" s="236">
        <v>1239681.4591104528</v>
      </c>
      <c r="D647" s="233"/>
      <c r="E647" s="232">
        <f t="shared" ref="E647:E710" si="98">D647/C647</f>
        <v>0</v>
      </c>
    </row>
    <row r="648" spans="1:5" x14ac:dyDescent="0.25">
      <c r="A648" s="150">
        <v>643</v>
      </c>
      <c r="B648" s="10" t="s">
        <v>1249</v>
      </c>
      <c r="C648" s="236">
        <v>8983325.6336830333</v>
      </c>
      <c r="D648" s="233"/>
      <c r="E648" s="232">
        <f t="shared" si="98"/>
        <v>0</v>
      </c>
    </row>
    <row r="649" spans="1:5" x14ac:dyDescent="0.25">
      <c r="A649" s="150">
        <v>644</v>
      </c>
      <c r="B649" s="10" t="s">
        <v>1250</v>
      </c>
      <c r="C649" s="236">
        <v>8178240.2374634761</v>
      </c>
      <c r="D649" s="233"/>
      <c r="E649" s="232">
        <f t="shared" si="98"/>
        <v>0</v>
      </c>
    </row>
    <row r="650" spans="1:5" x14ac:dyDescent="0.25">
      <c r="A650" s="150">
        <v>645</v>
      </c>
      <c r="B650" s="10" t="s">
        <v>1251</v>
      </c>
      <c r="C650" s="236">
        <v>20702118.208834425</v>
      </c>
      <c r="D650" s="233"/>
      <c r="E650" s="232">
        <f t="shared" si="98"/>
        <v>0</v>
      </c>
    </row>
    <row r="651" spans="1:5" x14ac:dyDescent="0.25">
      <c r="A651" s="150">
        <v>646</v>
      </c>
      <c r="B651" s="10" t="s">
        <v>1252</v>
      </c>
      <c r="C651" s="236">
        <v>20480992.2408676</v>
      </c>
      <c r="D651" s="233"/>
      <c r="E651" s="232">
        <f t="shared" si="98"/>
        <v>0</v>
      </c>
    </row>
    <row r="652" spans="1:5" x14ac:dyDescent="0.25">
      <c r="A652" s="150">
        <v>647</v>
      </c>
      <c r="B652" s="10" t="s">
        <v>1253</v>
      </c>
      <c r="C652" s="236">
        <v>29685204.477010526</v>
      </c>
      <c r="D652" s="233"/>
      <c r="E652" s="232">
        <f t="shared" si="98"/>
        <v>0</v>
      </c>
    </row>
    <row r="653" spans="1:5" x14ac:dyDescent="0.25">
      <c r="A653" s="150">
        <v>648</v>
      </c>
      <c r="B653" s="10" t="s">
        <v>1254</v>
      </c>
      <c r="C653" s="236">
        <v>28275249.658091802</v>
      </c>
      <c r="D653" s="233"/>
      <c r="E653" s="232">
        <f t="shared" si="98"/>
        <v>0</v>
      </c>
    </row>
    <row r="654" spans="1:5" x14ac:dyDescent="0.25">
      <c r="A654" s="150">
        <v>649</v>
      </c>
      <c r="B654" s="10" t="s">
        <v>1255</v>
      </c>
      <c r="C654" s="236">
        <v>26548280.758254047</v>
      </c>
      <c r="D654" s="233"/>
      <c r="E654" s="232">
        <f t="shared" si="98"/>
        <v>0</v>
      </c>
    </row>
    <row r="655" spans="1:5" x14ac:dyDescent="0.25">
      <c r="A655" s="150">
        <v>650</v>
      </c>
      <c r="B655" s="10" t="s">
        <v>1256</v>
      </c>
      <c r="C655" s="236">
        <v>23945696.2218237</v>
      </c>
      <c r="D655" s="233"/>
      <c r="E655" s="232">
        <f t="shared" si="98"/>
        <v>0</v>
      </c>
    </row>
    <row r="656" spans="1:5" x14ac:dyDescent="0.25">
      <c r="A656" s="150">
        <v>651</v>
      </c>
      <c r="B656" s="10" t="s">
        <v>1257</v>
      </c>
      <c r="C656" s="236">
        <v>15115463.203297231</v>
      </c>
      <c r="D656" s="233"/>
      <c r="E656" s="232">
        <f t="shared" si="98"/>
        <v>0</v>
      </c>
    </row>
    <row r="657" spans="1:5" x14ac:dyDescent="0.25">
      <c r="A657" s="150">
        <v>652</v>
      </c>
      <c r="B657" s="10" t="s">
        <v>1258</v>
      </c>
      <c r="C657" s="236">
        <v>15256163.557308309</v>
      </c>
      <c r="D657" s="233"/>
      <c r="E657" s="232">
        <f t="shared" si="98"/>
        <v>0</v>
      </c>
    </row>
    <row r="658" spans="1:5" x14ac:dyDescent="0.25">
      <c r="A658" s="150">
        <v>653</v>
      </c>
      <c r="B658" s="10" t="s">
        <v>1259</v>
      </c>
      <c r="C658" s="236">
        <v>4793344.9622163177</v>
      </c>
      <c r="D658" s="233"/>
      <c r="E658" s="232">
        <f t="shared" si="98"/>
        <v>0</v>
      </c>
    </row>
    <row r="659" spans="1:5" x14ac:dyDescent="0.25">
      <c r="A659" s="150">
        <v>654</v>
      </c>
      <c r="B659" s="10" t="s">
        <v>1260</v>
      </c>
      <c r="C659" s="236">
        <v>5424365.1133525949</v>
      </c>
      <c r="D659" s="233"/>
      <c r="E659" s="232">
        <f t="shared" si="98"/>
        <v>0</v>
      </c>
    </row>
    <row r="660" spans="1:5" x14ac:dyDescent="0.25">
      <c r="A660" s="150">
        <v>655</v>
      </c>
      <c r="B660" s="10" t="s">
        <v>1261</v>
      </c>
      <c r="C660" s="236">
        <v>15737477.451388624</v>
      </c>
      <c r="D660" s="233"/>
      <c r="E660" s="232">
        <f t="shared" si="98"/>
        <v>0</v>
      </c>
    </row>
    <row r="661" spans="1:5" x14ac:dyDescent="0.25">
      <c r="A661" s="150">
        <v>656</v>
      </c>
      <c r="B661" s="10" t="s">
        <v>1262</v>
      </c>
      <c r="C661" s="236">
        <v>22342470.485133175</v>
      </c>
      <c r="D661" s="233"/>
      <c r="E661" s="232">
        <f t="shared" si="98"/>
        <v>0</v>
      </c>
    </row>
    <row r="662" spans="1:5" x14ac:dyDescent="0.25">
      <c r="A662" s="150">
        <v>657</v>
      </c>
      <c r="B662" s="10" t="s">
        <v>1263</v>
      </c>
      <c r="C662" s="236">
        <v>34076.463074063875</v>
      </c>
      <c r="D662" s="233"/>
      <c r="E662" s="232">
        <f t="shared" si="98"/>
        <v>0</v>
      </c>
    </row>
    <row r="663" spans="1:5" x14ac:dyDescent="0.25">
      <c r="A663" s="150">
        <v>658</v>
      </c>
      <c r="B663" s="10" t="s">
        <v>1264</v>
      </c>
      <c r="C663" s="236">
        <v>39694.626841397025</v>
      </c>
      <c r="D663" s="233"/>
      <c r="E663" s="232">
        <f t="shared" si="98"/>
        <v>0</v>
      </c>
    </row>
    <row r="664" spans="1:5" x14ac:dyDescent="0.25">
      <c r="A664" s="150">
        <v>659</v>
      </c>
      <c r="B664" s="10" t="s">
        <v>1265</v>
      </c>
      <c r="C664" s="236">
        <v>23058.190432954019</v>
      </c>
      <c r="D664" s="233"/>
      <c r="E664" s="232">
        <f t="shared" si="98"/>
        <v>0</v>
      </c>
    </row>
    <row r="665" spans="1:5" x14ac:dyDescent="0.25">
      <c r="A665" s="150">
        <v>660</v>
      </c>
      <c r="B665" s="10" t="s">
        <v>1266</v>
      </c>
      <c r="C665" s="236">
        <v>45479.956680680072</v>
      </c>
      <c r="D665" s="233"/>
      <c r="E665" s="232">
        <f t="shared" si="98"/>
        <v>0</v>
      </c>
    </row>
    <row r="666" spans="1:5" x14ac:dyDescent="0.25">
      <c r="A666" s="150">
        <v>661</v>
      </c>
      <c r="B666" s="10" t="s">
        <v>815</v>
      </c>
      <c r="C666" s="236">
        <v>3600745.4246283486</v>
      </c>
      <c r="D666" s="233"/>
      <c r="E666" s="232">
        <f t="shared" si="98"/>
        <v>0</v>
      </c>
    </row>
    <row r="667" spans="1:5" x14ac:dyDescent="0.25">
      <c r="A667" s="150">
        <v>662</v>
      </c>
      <c r="B667" s="10" t="s">
        <v>816</v>
      </c>
      <c r="C667" s="236">
        <v>2276619.8823360493</v>
      </c>
      <c r="D667" s="233"/>
      <c r="E667" s="232">
        <f t="shared" si="98"/>
        <v>0</v>
      </c>
    </row>
    <row r="668" spans="1:5" x14ac:dyDescent="0.25">
      <c r="A668" s="150">
        <v>663</v>
      </c>
      <c r="B668" s="10" t="s">
        <v>817</v>
      </c>
      <c r="C668" s="236">
        <v>14868568.309337329</v>
      </c>
      <c r="D668" s="233"/>
      <c r="E668" s="232">
        <f t="shared" si="98"/>
        <v>0</v>
      </c>
    </row>
    <row r="669" spans="1:5" x14ac:dyDescent="0.25">
      <c r="A669" s="150">
        <v>664</v>
      </c>
      <c r="B669" s="10" t="s">
        <v>818</v>
      </c>
      <c r="C669" s="236">
        <v>11983471.318272289</v>
      </c>
      <c r="D669" s="233"/>
      <c r="E669" s="232">
        <f t="shared" si="98"/>
        <v>0</v>
      </c>
    </row>
    <row r="670" spans="1:5" x14ac:dyDescent="0.25">
      <c r="A670" s="150">
        <v>665</v>
      </c>
      <c r="B670" s="10" t="s">
        <v>819</v>
      </c>
      <c r="C670" s="236">
        <v>30994747.210565083</v>
      </c>
      <c r="D670" s="233"/>
      <c r="E670" s="232">
        <f t="shared" si="98"/>
        <v>0</v>
      </c>
    </row>
    <row r="671" spans="1:5" x14ac:dyDescent="0.25">
      <c r="A671" s="150">
        <v>666</v>
      </c>
      <c r="B671" s="10" t="s">
        <v>820</v>
      </c>
      <c r="C671" s="236">
        <v>29754757.065363534</v>
      </c>
      <c r="D671" s="233"/>
      <c r="E671" s="232">
        <f t="shared" si="98"/>
        <v>0</v>
      </c>
    </row>
    <row r="672" spans="1:5" x14ac:dyDescent="0.25">
      <c r="A672" s="150">
        <v>667</v>
      </c>
      <c r="B672" s="10" t="s">
        <v>821</v>
      </c>
      <c r="C672" s="236">
        <v>45178721.119352818</v>
      </c>
      <c r="D672" s="233"/>
      <c r="E672" s="232">
        <f t="shared" si="98"/>
        <v>0</v>
      </c>
    </row>
    <row r="673" spans="1:5" x14ac:dyDescent="0.25">
      <c r="A673" s="150">
        <v>668</v>
      </c>
      <c r="B673" s="10" t="s">
        <v>822</v>
      </c>
      <c r="C673" s="236">
        <v>40484853.530774601</v>
      </c>
      <c r="D673" s="233"/>
      <c r="E673" s="232">
        <f t="shared" si="98"/>
        <v>0</v>
      </c>
    </row>
    <row r="674" spans="1:5" x14ac:dyDescent="0.25">
      <c r="A674" s="150">
        <v>669</v>
      </c>
      <c r="B674" s="10" t="s">
        <v>823</v>
      </c>
      <c r="C674" s="236">
        <v>45137605.409845822</v>
      </c>
      <c r="D674" s="233"/>
      <c r="E674" s="232">
        <f t="shared" si="98"/>
        <v>0</v>
      </c>
    </row>
    <row r="675" spans="1:5" x14ac:dyDescent="0.25">
      <c r="A675" s="150">
        <v>670</v>
      </c>
      <c r="B675" s="10" t="s">
        <v>824</v>
      </c>
      <c r="C675" s="236">
        <v>35527413.745949745</v>
      </c>
      <c r="D675" s="233"/>
      <c r="E675" s="232">
        <f t="shared" si="98"/>
        <v>0</v>
      </c>
    </row>
    <row r="676" spans="1:5" x14ac:dyDescent="0.25">
      <c r="A676" s="150">
        <v>671</v>
      </c>
      <c r="B676" s="10" t="s">
        <v>825</v>
      </c>
      <c r="C676" s="236">
        <v>29863156.857228048</v>
      </c>
      <c r="D676" s="233"/>
      <c r="E676" s="232">
        <f t="shared" si="98"/>
        <v>0</v>
      </c>
    </row>
    <row r="677" spans="1:5" x14ac:dyDescent="0.25">
      <c r="A677" s="150">
        <v>672</v>
      </c>
      <c r="B677" s="10" t="s">
        <v>826</v>
      </c>
      <c r="C677" s="236">
        <v>25306352.08152831</v>
      </c>
      <c r="D677" s="233"/>
      <c r="E677" s="232">
        <f t="shared" si="98"/>
        <v>0</v>
      </c>
    </row>
    <row r="678" spans="1:5" x14ac:dyDescent="0.25">
      <c r="A678" s="150">
        <v>673</v>
      </c>
      <c r="B678" s="10" t="s">
        <v>827</v>
      </c>
      <c r="C678" s="236">
        <v>13077452.1042173</v>
      </c>
      <c r="D678" s="233"/>
      <c r="E678" s="232">
        <f t="shared" si="98"/>
        <v>0</v>
      </c>
    </row>
    <row r="679" spans="1:5" x14ac:dyDescent="0.25">
      <c r="A679" s="150">
        <v>674</v>
      </c>
      <c r="B679" s="10" t="s">
        <v>828</v>
      </c>
      <c r="C679" s="236">
        <v>12611469.399005651</v>
      </c>
      <c r="D679" s="233"/>
      <c r="E679" s="232">
        <f t="shared" si="98"/>
        <v>0</v>
      </c>
    </row>
    <row r="680" spans="1:5" x14ac:dyDescent="0.25">
      <c r="A680" s="150">
        <v>675</v>
      </c>
      <c r="B680" s="10" t="s">
        <v>829</v>
      </c>
      <c r="C680" s="236">
        <v>3802733.1897813375</v>
      </c>
      <c r="D680" s="233"/>
      <c r="E680" s="232">
        <f t="shared" si="98"/>
        <v>0</v>
      </c>
    </row>
    <row r="681" spans="1:5" x14ac:dyDescent="0.25">
      <c r="A681" s="150">
        <v>676</v>
      </c>
      <c r="B681" s="10" t="s">
        <v>830</v>
      </c>
      <c r="C681" s="236">
        <v>3610358.4221667647</v>
      </c>
      <c r="D681" s="233"/>
      <c r="E681" s="232">
        <f t="shared" si="98"/>
        <v>0</v>
      </c>
    </row>
    <row r="682" spans="1:5" x14ac:dyDescent="0.25">
      <c r="A682" s="150">
        <v>677</v>
      </c>
      <c r="B682" s="10" t="s">
        <v>831</v>
      </c>
      <c r="C682" s="236">
        <v>332591.03736224025</v>
      </c>
      <c r="D682" s="233"/>
      <c r="E682" s="232">
        <f t="shared" si="98"/>
        <v>0</v>
      </c>
    </row>
    <row r="683" spans="1:5" x14ac:dyDescent="0.25">
      <c r="A683" s="150">
        <v>678</v>
      </c>
      <c r="B683" s="10" t="s">
        <v>832</v>
      </c>
      <c r="C683" s="236">
        <v>251418.79434707601</v>
      </c>
      <c r="D683" s="233"/>
      <c r="E683" s="232">
        <f t="shared" si="98"/>
        <v>0</v>
      </c>
    </row>
    <row r="684" spans="1:5" x14ac:dyDescent="0.25">
      <c r="A684" s="150">
        <v>679</v>
      </c>
      <c r="B684" s="10" t="s">
        <v>833</v>
      </c>
      <c r="C684" s="236">
        <v>66468.430360401078</v>
      </c>
      <c r="D684" s="233"/>
      <c r="E684" s="232">
        <f t="shared" si="98"/>
        <v>0</v>
      </c>
    </row>
    <row r="685" spans="1:5" x14ac:dyDescent="0.25">
      <c r="A685" s="150">
        <v>680</v>
      </c>
      <c r="B685" s="10" t="s">
        <v>834</v>
      </c>
      <c r="C685" s="236">
        <v>34085.323754120152</v>
      </c>
      <c r="D685" s="233"/>
      <c r="E685" s="232">
        <f t="shared" si="98"/>
        <v>0</v>
      </c>
    </row>
    <row r="686" spans="1:5" x14ac:dyDescent="0.25">
      <c r="A686" s="150">
        <v>681</v>
      </c>
      <c r="B686" s="10" t="s">
        <v>835</v>
      </c>
      <c r="C686" s="236">
        <v>40816.278351682799</v>
      </c>
      <c r="D686" s="233"/>
      <c r="E686" s="232">
        <f t="shared" si="98"/>
        <v>0</v>
      </c>
    </row>
    <row r="687" spans="1:5" x14ac:dyDescent="0.25">
      <c r="A687" s="150">
        <v>682</v>
      </c>
      <c r="B687" s="10" t="s">
        <v>836</v>
      </c>
      <c r="C687" s="236">
        <v>17933.93902661173</v>
      </c>
      <c r="D687" s="233"/>
      <c r="E687" s="232">
        <f t="shared" si="98"/>
        <v>0</v>
      </c>
    </row>
    <row r="688" spans="1:5" x14ac:dyDescent="0.25">
      <c r="A688" s="150">
        <v>683</v>
      </c>
      <c r="B688" s="10" t="s">
        <v>837</v>
      </c>
      <c r="C688" s="236">
        <v>19720.014867584225</v>
      </c>
      <c r="D688" s="233"/>
      <c r="E688" s="232">
        <f t="shared" si="98"/>
        <v>0</v>
      </c>
    </row>
    <row r="689" spans="1:5" x14ac:dyDescent="0.25">
      <c r="A689" s="150">
        <v>684</v>
      </c>
      <c r="B689" s="10" t="s">
        <v>838</v>
      </c>
      <c r="C689" s="236">
        <v>10087.501187454331</v>
      </c>
      <c r="D689" s="233"/>
      <c r="E689" s="232">
        <f t="shared" si="98"/>
        <v>0</v>
      </c>
    </row>
    <row r="690" spans="1:5" x14ac:dyDescent="0.25">
      <c r="A690" s="150">
        <v>685</v>
      </c>
      <c r="B690" s="10" t="s">
        <v>839</v>
      </c>
      <c r="C690" s="236">
        <v>15498.610533782523</v>
      </c>
      <c r="D690" s="233"/>
      <c r="E690" s="232">
        <f t="shared" si="98"/>
        <v>0</v>
      </c>
    </row>
    <row r="691" spans="1:5" x14ac:dyDescent="0.25">
      <c r="A691" s="150">
        <v>686</v>
      </c>
      <c r="B691" s="10" t="s">
        <v>840</v>
      </c>
      <c r="C691" s="236">
        <v>13546.105921234484</v>
      </c>
      <c r="D691" s="233"/>
      <c r="E691" s="232">
        <f t="shared" si="98"/>
        <v>0</v>
      </c>
    </row>
    <row r="692" spans="1:5" x14ac:dyDescent="0.25">
      <c r="A692" s="150">
        <v>687</v>
      </c>
      <c r="B692" s="10" t="s">
        <v>1267</v>
      </c>
      <c r="C692" s="236">
        <v>3099.1130437621878</v>
      </c>
      <c r="D692" s="233"/>
      <c r="E692" s="232">
        <f t="shared" si="98"/>
        <v>0</v>
      </c>
    </row>
    <row r="693" spans="1:5" x14ac:dyDescent="0.25">
      <c r="A693" s="150">
        <v>688</v>
      </c>
      <c r="B693" s="10" t="s">
        <v>1268</v>
      </c>
      <c r="C693" s="236">
        <v>7904.2645070494573</v>
      </c>
      <c r="D693" s="233"/>
      <c r="E693" s="232">
        <f t="shared" si="98"/>
        <v>0</v>
      </c>
    </row>
    <row r="694" spans="1:5" x14ac:dyDescent="0.25">
      <c r="A694" s="150">
        <v>689</v>
      </c>
      <c r="B694" s="10" t="s">
        <v>1269</v>
      </c>
      <c r="C694" s="236">
        <v>10589.679643844172</v>
      </c>
      <c r="D694" s="233"/>
      <c r="E694" s="232">
        <f t="shared" si="98"/>
        <v>0</v>
      </c>
    </row>
    <row r="695" spans="1:5" x14ac:dyDescent="0.25">
      <c r="A695" s="150">
        <v>690</v>
      </c>
      <c r="B695" s="10" t="s">
        <v>1270</v>
      </c>
      <c r="C695" s="236">
        <v>7195.692427734275</v>
      </c>
      <c r="D695" s="233"/>
      <c r="E695" s="232">
        <f t="shared" si="98"/>
        <v>0</v>
      </c>
    </row>
    <row r="696" spans="1:5" x14ac:dyDescent="0.25">
      <c r="A696" s="150">
        <v>691</v>
      </c>
      <c r="B696" s="10" t="s">
        <v>1271</v>
      </c>
      <c r="C696" s="236">
        <v>6634.6226345211126</v>
      </c>
      <c r="D696" s="233"/>
      <c r="E696" s="232">
        <f t="shared" si="98"/>
        <v>0</v>
      </c>
    </row>
    <row r="697" spans="1:5" x14ac:dyDescent="0.25">
      <c r="A697" s="150">
        <v>692</v>
      </c>
      <c r="B697" s="10" t="s">
        <v>1272</v>
      </c>
      <c r="C697" s="236">
        <v>23957.565518677118</v>
      </c>
      <c r="D697" s="233"/>
      <c r="E697" s="232">
        <f t="shared" si="98"/>
        <v>0</v>
      </c>
    </row>
    <row r="698" spans="1:5" x14ac:dyDescent="0.25">
      <c r="A698" s="150">
        <v>693</v>
      </c>
      <c r="B698" s="10" t="s">
        <v>1273</v>
      </c>
      <c r="C698" s="236">
        <v>122965.92536672673</v>
      </c>
      <c r="D698" s="233"/>
      <c r="E698" s="232">
        <f t="shared" si="98"/>
        <v>0</v>
      </c>
    </row>
    <row r="699" spans="1:5" x14ac:dyDescent="0.25">
      <c r="A699" s="150">
        <v>694</v>
      </c>
      <c r="B699" s="10" t="s">
        <v>1274</v>
      </c>
      <c r="C699" s="236">
        <v>81348.20239391923</v>
      </c>
      <c r="D699" s="233"/>
      <c r="E699" s="232">
        <f t="shared" si="98"/>
        <v>0</v>
      </c>
    </row>
    <row r="700" spans="1:5" x14ac:dyDescent="0.25">
      <c r="A700" s="150">
        <v>695</v>
      </c>
      <c r="B700" s="10" t="s">
        <v>1275</v>
      </c>
      <c r="C700" s="236">
        <v>2579538.0014697323</v>
      </c>
      <c r="D700" s="233"/>
      <c r="E700" s="232">
        <f t="shared" si="98"/>
        <v>0</v>
      </c>
    </row>
    <row r="701" spans="1:5" x14ac:dyDescent="0.25">
      <c r="A701" s="150">
        <v>696</v>
      </c>
      <c r="B701" s="10" t="s">
        <v>1276</v>
      </c>
      <c r="C701" s="236">
        <v>2045214.2078817473</v>
      </c>
      <c r="D701" s="233"/>
      <c r="E701" s="232">
        <f t="shared" si="98"/>
        <v>0</v>
      </c>
    </row>
    <row r="702" spans="1:5" x14ac:dyDescent="0.25">
      <c r="A702" s="150">
        <v>697</v>
      </c>
      <c r="B702" s="10" t="s">
        <v>1277</v>
      </c>
      <c r="C702" s="236">
        <v>10839274.162298821</v>
      </c>
      <c r="D702" s="233"/>
      <c r="E702" s="232">
        <f t="shared" si="98"/>
        <v>0</v>
      </c>
    </row>
    <row r="703" spans="1:5" x14ac:dyDescent="0.25">
      <c r="A703" s="150">
        <v>698</v>
      </c>
      <c r="B703" s="10" t="s">
        <v>1278</v>
      </c>
      <c r="C703" s="236">
        <v>10559675.110317925</v>
      </c>
      <c r="D703" s="233"/>
      <c r="E703" s="232">
        <f t="shared" si="98"/>
        <v>0</v>
      </c>
    </row>
    <row r="704" spans="1:5" x14ac:dyDescent="0.25">
      <c r="A704" s="150">
        <v>699</v>
      </c>
      <c r="B704" s="10" t="s">
        <v>1279</v>
      </c>
      <c r="C704" s="236">
        <v>24298094.656757124</v>
      </c>
      <c r="D704" s="233"/>
      <c r="E704" s="232">
        <f t="shared" si="98"/>
        <v>0</v>
      </c>
    </row>
    <row r="705" spans="1:5" x14ac:dyDescent="0.25">
      <c r="A705" s="150">
        <v>700</v>
      </c>
      <c r="B705" s="10" t="s">
        <v>1280</v>
      </c>
      <c r="C705" s="236">
        <v>22989413.888922226</v>
      </c>
      <c r="D705" s="233"/>
      <c r="E705" s="232">
        <f t="shared" si="98"/>
        <v>0</v>
      </c>
    </row>
    <row r="706" spans="1:5" x14ac:dyDescent="0.25">
      <c r="A706" s="150">
        <v>701</v>
      </c>
      <c r="B706" s="10" t="s">
        <v>1281</v>
      </c>
      <c r="C706" s="236">
        <v>33083268.253303975</v>
      </c>
      <c r="D706" s="233"/>
      <c r="E706" s="232">
        <f t="shared" si="98"/>
        <v>0</v>
      </c>
    </row>
    <row r="707" spans="1:5" x14ac:dyDescent="0.25">
      <c r="A707" s="150">
        <v>702</v>
      </c>
      <c r="B707" s="10" t="s">
        <v>1282</v>
      </c>
      <c r="C707" s="236">
        <v>29874768.617948301</v>
      </c>
      <c r="D707" s="233"/>
      <c r="E707" s="232">
        <f t="shared" si="98"/>
        <v>0</v>
      </c>
    </row>
    <row r="708" spans="1:5" x14ac:dyDescent="0.25">
      <c r="A708" s="150">
        <v>703</v>
      </c>
      <c r="B708" s="10" t="s">
        <v>1283</v>
      </c>
      <c r="C708" s="236">
        <v>29086581.09321405</v>
      </c>
      <c r="D708" s="233"/>
      <c r="E708" s="232">
        <f t="shared" si="98"/>
        <v>0</v>
      </c>
    </row>
    <row r="709" spans="1:5" x14ac:dyDescent="0.25">
      <c r="A709" s="150">
        <v>704</v>
      </c>
      <c r="B709" s="10" t="s">
        <v>1284</v>
      </c>
      <c r="C709" s="236">
        <v>28143400.48228335</v>
      </c>
      <c r="D709" s="233"/>
      <c r="E709" s="232">
        <f t="shared" si="98"/>
        <v>0</v>
      </c>
    </row>
    <row r="710" spans="1:5" x14ac:dyDescent="0.25">
      <c r="A710" s="150">
        <v>705</v>
      </c>
      <c r="B710" s="10" t="s">
        <v>1285</v>
      </c>
      <c r="C710" s="236">
        <v>15745230.007155634</v>
      </c>
      <c r="D710" s="233"/>
      <c r="E710" s="232">
        <f t="shared" si="98"/>
        <v>0</v>
      </c>
    </row>
    <row r="711" spans="1:5" x14ac:dyDescent="0.25">
      <c r="A711" s="150">
        <v>706</v>
      </c>
      <c r="B711" s="10" t="s">
        <v>1286</v>
      </c>
      <c r="C711" s="236">
        <v>16377975.175302744</v>
      </c>
      <c r="D711" s="233"/>
      <c r="E711" s="232">
        <f t="shared" ref="E711:E774" si="99">D711/C711</f>
        <v>0</v>
      </c>
    </row>
    <row r="712" spans="1:5" x14ac:dyDescent="0.25">
      <c r="A712" s="150">
        <v>707</v>
      </c>
      <c r="B712" s="10" t="s">
        <v>1287</v>
      </c>
      <c r="C712" s="236">
        <v>5777976.6811875105</v>
      </c>
      <c r="D712" s="233"/>
      <c r="E712" s="232">
        <f t="shared" si="99"/>
        <v>0</v>
      </c>
    </row>
    <row r="713" spans="1:5" x14ac:dyDescent="0.25">
      <c r="A713" s="150">
        <v>708</v>
      </c>
      <c r="B713" s="10" t="s">
        <v>1288</v>
      </c>
      <c r="C713" s="236">
        <v>5108951.9441703558</v>
      </c>
      <c r="D713" s="233"/>
      <c r="E713" s="232">
        <f t="shared" si="99"/>
        <v>0</v>
      </c>
    </row>
    <row r="714" spans="1:5" x14ac:dyDescent="0.25">
      <c r="A714" s="150">
        <v>709</v>
      </c>
      <c r="B714" s="10" t="s">
        <v>1289</v>
      </c>
      <c r="C714" s="236">
        <v>1389004.4872317465</v>
      </c>
      <c r="D714" s="233"/>
      <c r="E714" s="232">
        <f t="shared" si="99"/>
        <v>0</v>
      </c>
    </row>
    <row r="715" spans="1:5" x14ac:dyDescent="0.25">
      <c r="A715" s="150">
        <v>710</v>
      </c>
      <c r="B715" s="10" t="s">
        <v>1290</v>
      </c>
      <c r="C715" s="236">
        <v>2125364.6221936941</v>
      </c>
      <c r="D715" s="233"/>
      <c r="E715" s="232">
        <f t="shared" si="99"/>
        <v>0</v>
      </c>
    </row>
    <row r="716" spans="1:5" x14ac:dyDescent="0.25">
      <c r="A716" s="150">
        <v>711</v>
      </c>
      <c r="B716" s="10" t="s">
        <v>1291</v>
      </c>
      <c r="C716" s="236">
        <v>43312.106888701703</v>
      </c>
      <c r="D716" s="233"/>
      <c r="E716" s="232">
        <f t="shared" si="99"/>
        <v>0</v>
      </c>
    </row>
    <row r="717" spans="1:5" x14ac:dyDescent="0.25">
      <c r="A717" s="150">
        <v>712</v>
      </c>
      <c r="B717" s="10" t="s">
        <v>1292</v>
      </c>
      <c r="C717" s="236">
        <v>1096984.2120362951</v>
      </c>
      <c r="D717" s="233"/>
      <c r="E717" s="232">
        <f t="shared" si="99"/>
        <v>0</v>
      </c>
    </row>
    <row r="718" spans="1:5" x14ac:dyDescent="0.25">
      <c r="A718" s="150">
        <v>713</v>
      </c>
      <c r="B718" s="10" t="s">
        <v>1293</v>
      </c>
      <c r="C718" s="236">
        <v>35195.768545280254</v>
      </c>
      <c r="D718" s="233"/>
      <c r="E718" s="232">
        <f t="shared" si="99"/>
        <v>0</v>
      </c>
    </row>
    <row r="719" spans="1:5" x14ac:dyDescent="0.25">
      <c r="A719" s="150">
        <v>714</v>
      </c>
      <c r="B719" s="10" t="s">
        <v>1294</v>
      </c>
      <c r="C719" s="236">
        <v>21826.680673091672</v>
      </c>
      <c r="D719" s="233"/>
      <c r="E719" s="232">
        <f t="shared" si="99"/>
        <v>0</v>
      </c>
    </row>
    <row r="720" spans="1:5" x14ac:dyDescent="0.25">
      <c r="A720" s="150">
        <v>715</v>
      </c>
      <c r="B720" s="10" t="s">
        <v>841</v>
      </c>
      <c r="C720" s="236">
        <v>2752770.3417998999</v>
      </c>
      <c r="D720" s="233"/>
      <c r="E720" s="232">
        <f t="shared" si="99"/>
        <v>0</v>
      </c>
    </row>
    <row r="721" spans="1:5" x14ac:dyDescent="0.25">
      <c r="A721" s="150">
        <v>716</v>
      </c>
      <c r="B721" s="10" t="s">
        <v>842</v>
      </c>
      <c r="C721" s="236">
        <v>1725440.9155254825</v>
      </c>
      <c r="D721" s="233"/>
      <c r="E721" s="232">
        <f t="shared" si="99"/>
        <v>0</v>
      </c>
    </row>
    <row r="722" spans="1:5" x14ac:dyDescent="0.25">
      <c r="A722" s="150">
        <v>717</v>
      </c>
      <c r="B722" s="10" t="s">
        <v>843</v>
      </c>
      <c r="C722" s="236">
        <v>12241078.33980285</v>
      </c>
      <c r="D722" s="233"/>
      <c r="E722" s="232">
        <f t="shared" si="99"/>
        <v>0</v>
      </c>
    </row>
    <row r="723" spans="1:5" x14ac:dyDescent="0.25">
      <c r="A723" s="150">
        <v>718</v>
      </c>
      <c r="B723" s="10" t="s">
        <v>844</v>
      </c>
      <c r="C723" s="236">
        <v>9825699.1463963464</v>
      </c>
      <c r="D723" s="233"/>
      <c r="E723" s="232">
        <f t="shared" si="99"/>
        <v>0</v>
      </c>
    </row>
    <row r="724" spans="1:5" x14ac:dyDescent="0.25">
      <c r="A724" s="150">
        <v>719</v>
      </c>
      <c r="B724" s="10" t="s">
        <v>845</v>
      </c>
      <c r="C724" s="236">
        <v>24530629.509024881</v>
      </c>
      <c r="D724" s="233"/>
      <c r="E724" s="232">
        <f t="shared" si="99"/>
        <v>0</v>
      </c>
    </row>
    <row r="725" spans="1:5" x14ac:dyDescent="0.25">
      <c r="A725" s="150">
        <v>720</v>
      </c>
      <c r="B725" s="10" t="s">
        <v>846</v>
      </c>
      <c r="C725" s="236">
        <v>23383599.841761488</v>
      </c>
      <c r="D725" s="233"/>
      <c r="E725" s="232">
        <f t="shared" si="99"/>
        <v>0</v>
      </c>
    </row>
    <row r="726" spans="1:5" x14ac:dyDescent="0.25">
      <c r="A726" s="150">
        <v>721</v>
      </c>
      <c r="B726" s="10" t="s">
        <v>847</v>
      </c>
      <c r="C726" s="236">
        <v>34355759.214054123</v>
      </c>
      <c r="D726" s="233"/>
      <c r="E726" s="232">
        <f t="shared" si="99"/>
        <v>0</v>
      </c>
    </row>
    <row r="727" spans="1:5" x14ac:dyDescent="0.25">
      <c r="A727" s="150">
        <v>722</v>
      </c>
      <c r="B727" s="10" t="s">
        <v>848</v>
      </c>
      <c r="C727" s="236">
        <v>30950137.787813183</v>
      </c>
      <c r="D727" s="233"/>
      <c r="E727" s="232">
        <f t="shared" si="99"/>
        <v>0</v>
      </c>
    </row>
    <row r="728" spans="1:5" x14ac:dyDescent="0.25">
      <c r="A728" s="150">
        <v>723</v>
      </c>
      <c r="B728" s="10" t="s">
        <v>849</v>
      </c>
      <c r="C728" s="236">
        <v>35129946.883659348</v>
      </c>
      <c r="D728" s="233"/>
      <c r="E728" s="232">
        <f t="shared" si="99"/>
        <v>0</v>
      </c>
    </row>
    <row r="729" spans="1:5" x14ac:dyDescent="0.25">
      <c r="A729" s="150">
        <v>724</v>
      </c>
      <c r="B729" s="10" t="s">
        <v>850</v>
      </c>
      <c r="C729" s="236">
        <v>27532017.42112685</v>
      </c>
      <c r="D729" s="233"/>
      <c r="E729" s="232">
        <f t="shared" si="99"/>
        <v>0</v>
      </c>
    </row>
    <row r="730" spans="1:5" x14ac:dyDescent="0.25">
      <c r="A730" s="150">
        <v>725</v>
      </c>
      <c r="B730" s="10" t="s">
        <v>851</v>
      </c>
      <c r="C730" s="236">
        <v>25161216.249970917</v>
      </c>
      <c r="D730" s="233"/>
      <c r="E730" s="232">
        <f t="shared" si="99"/>
        <v>0</v>
      </c>
    </row>
    <row r="731" spans="1:5" x14ac:dyDescent="0.25">
      <c r="A731" s="150">
        <v>726</v>
      </c>
      <c r="B731" s="10" t="s">
        <v>852</v>
      </c>
      <c r="C731" s="236">
        <v>21086751.743673936</v>
      </c>
      <c r="D731" s="233"/>
      <c r="E731" s="232">
        <f t="shared" si="99"/>
        <v>0</v>
      </c>
    </row>
    <row r="732" spans="1:5" x14ac:dyDescent="0.25">
      <c r="A732" s="150">
        <v>727</v>
      </c>
      <c r="B732" s="10" t="s">
        <v>853</v>
      </c>
      <c r="C732" s="236">
        <v>11993786.760809835</v>
      </c>
      <c r="D732" s="233"/>
      <c r="E732" s="232">
        <f t="shared" si="99"/>
        <v>0</v>
      </c>
    </row>
    <row r="733" spans="1:5" x14ac:dyDescent="0.25">
      <c r="A733" s="150">
        <v>728</v>
      </c>
      <c r="B733" s="10" t="s">
        <v>854</v>
      </c>
      <c r="C733" s="236">
        <v>11160799.117309693</v>
      </c>
      <c r="D733" s="233"/>
      <c r="E733" s="232">
        <f t="shared" si="99"/>
        <v>0</v>
      </c>
    </row>
    <row r="734" spans="1:5" x14ac:dyDescent="0.25">
      <c r="A734" s="150">
        <v>729</v>
      </c>
      <c r="B734" s="10" t="s">
        <v>855</v>
      </c>
      <c r="C734" s="236">
        <v>3826016.0749872024</v>
      </c>
      <c r="D734" s="233"/>
      <c r="E734" s="232">
        <f t="shared" si="99"/>
        <v>0</v>
      </c>
    </row>
    <row r="735" spans="1:5" x14ac:dyDescent="0.25">
      <c r="A735" s="150">
        <v>730</v>
      </c>
      <c r="B735" s="10" t="s">
        <v>856</v>
      </c>
      <c r="C735" s="236">
        <v>3493825.5777749429</v>
      </c>
      <c r="D735" s="233"/>
      <c r="E735" s="232">
        <f t="shared" si="99"/>
        <v>0</v>
      </c>
    </row>
    <row r="736" spans="1:5" x14ac:dyDescent="0.25">
      <c r="A736" s="150">
        <v>731</v>
      </c>
      <c r="B736" s="10" t="s">
        <v>857</v>
      </c>
      <c r="C736" s="236">
        <v>531957.28721287509</v>
      </c>
      <c r="D736" s="233"/>
      <c r="E736" s="232">
        <f t="shared" si="99"/>
        <v>0</v>
      </c>
    </row>
    <row r="737" spans="1:5" x14ac:dyDescent="0.25">
      <c r="A737" s="150">
        <v>732</v>
      </c>
      <c r="B737" s="10" t="s">
        <v>858</v>
      </c>
      <c r="C737" s="236">
        <v>358609.98285424727</v>
      </c>
      <c r="D737" s="233"/>
      <c r="E737" s="232">
        <f t="shared" si="99"/>
        <v>0</v>
      </c>
    </row>
    <row r="738" spans="1:5" x14ac:dyDescent="0.25">
      <c r="A738" s="150">
        <v>733</v>
      </c>
      <c r="B738" s="10" t="s">
        <v>859</v>
      </c>
      <c r="C738" s="236">
        <v>36794.602227433577</v>
      </c>
      <c r="D738" s="233"/>
      <c r="E738" s="232">
        <f t="shared" si="99"/>
        <v>0</v>
      </c>
    </row>
    <row r="739" spans="1:5" x14ac:dyDescent="0.25">
      <c r="A739" s="150">
        <v>734</v>
      </c>
      <c r="B739" s="10" t="s">
        <v>860</v>
      </c>
      <c r="C739" s="236">
        <v>14310.066639770068</v>
      </c>
      <c r="D739" s="233"/>
      <c r="E739" s="232">
        <f t="shared" si="99"/>
        <v>0</v>
      </c>
    </row>
    <row r="740" spans="1:5" x14ac:dyDescent="0.25">
      <c r="A740" s="150">
        <v>735</v>
      </c>
      <c r="B740" s="10" t="s">
        <v>861</v>
      </c>
      <c r="C740" s="236">
        <v>18102.551268554533</v>
      </c>
      <c r="D740" s="233"/>
      <c r="E740" s="232">
        <f t="shared" si="99"/>
        <v>0</v>
      </c>
    </row>
    <row r="741" spans="1:5" x14ac:dyDescent="0.25">
      <c r="A741" s="150">
        <v>736</v>
      </c>
      <c r="B741" s="10" t="s">
        <v>862</v>
      </c>
      <c r="C741" s="236">
        <v>4752.2062319946699</v>
      </c>
      <c r="D741" s="233"/>
      <c r="E741" s="232">
        <f t="shared" si="99"/>
        <v>0</v>
      </c>
    </row>
    <row r="742" spans="1:5" x14ac:dyDescent="0.25">
      <c r="A742" s="150">
        <v>737</v>
      </c>
      <c r="B742" s="10" t="s">
        <v>863</v>
      </c>
      <c r="C742" s="236">
        <v>16820.253417594948</v>
      </c>
      <c r="D742" s="233"/>
      <c r="E742" s="232">
        <f t="shared" si="99"/>
        <v>0</v>
      </c>
    </row>
    <row r="743" spans="1:5" x14ac:dyDescent="0.25">
      <c r="A743" s="150">
        <v>738</v>
      </c>
      <c r="B743" s="10" t="s">
        <v>864</v>
      </c>
      <c r="C743" s="236">
        <v>16489.914599144027</v>
      </c>
      <c r="D743" s="233"/>
      <c r="E743" s="232">
        <f t="shared" si="99"/>
        <v>0</v>
      </c>
    </row>
    <row r="744" spans="1:5" x14ac:dyDescent="0.25">
      <c r="A744" s="150">
        <v>739</v>
      </c>
      <c r="B744" s="10" t="s">
        <v>1295</v>
      </c>
      <c r="C744" s="236">
        <v>26484.275763929996</v>
      </c>
      <c r="D744" s="233"/>
      <c r="E744" s="232">
        <f t="shared" si="99"/>
        <v>0</v>
      </c>
    </row>
    <row r="745" spans="1:5" x14ac:dyDescent="0.25">
      <c r="A745" s="150">
        <v>740</v>
      </c>
      <c r="B745" s="10" t="s">
        <v>1296</v>
      </c>
      <c r="C745" s="236">
        <v>10910.933914642419</v>
      </c>
      <c r="D745" s="233"/>
      <c r="E745" s="232">
        <f t="shared" si="99"/>
        <v>0</v>
      </c>
    </row>
    <row r="746" spans="1:5" x14ac:dyDescent="0.25">
      <c r="A746" s="150">
        <v>741</v>
      </c>
      <c r="B746" s="10" t="s">
        <v>1297</v>
      </c>
      <c r="C746" s="236">
        <v>16531.820085342049</v>
      </c>
      <c r="D746" s="233"/>
      <c r="E746" s="232">
        <f t="shared" si="99"/>
        <v>0</v>
      </c>
    </row>
    <row r="747" spans="1:5" x14ac:dyDescent="0.25">
      <c r="A747" s="150">
        <v>742</v>
      </c>
      <c r="B747" s="10" t="s">
        <v>1298</v>
      </c>
      <c r="C747" s="236">
        <v>11954.865317870634</v>
      </c>
      <c r="D747" s="233"/>
      <c r="E747" s="232">
        <f t="shared" si="99"/>
        <v>0</v>
      </c>
    </row>
    <row r="748" spans="1:5" x14ac:dyDescent="0.25">
      <c r="A748" s="150">
        <v>743</v>
      </c>
      <c r="B748" s="10" t="s">
        <v>1299</v>
      </c>
      <c r="C748" s="236">
        <v>18499.098294524425</v>
      </c>
      <c r="D748" s="233"/>
      <c r="E748" s="232">
        <f t="shared" si="99"/>
        <v>0</v>
      </c>
    </row>
    <row r="749" spans="1:5" x14ac:dyDescent="0.25">
      <c r="A749" s="150">
        <v>744</v>
      </c>
      <c r="B749" s="10" t="s">
        <v>1300</v>
      </c>
      <c r="C749" s="236">
        <v>8147.6675015277024</v>
      </c>
      <c r="D749" s="233"/>
      <c r="E749" s="232">
        <f t="shared" si="99"/>
        <v>0</v>
      </c>
    </row>
    <row r="750" spans="1:5" x14ac:dyDescent="0.25">
      <c r="A750" s="150">
        <v>745</v>
      </c>
      <c r="B750" s="10" t="s">
        <v>1301</v>
      </c>
      <c r="C750" s="236">
        <v>27822.808099547503</v>
      </c>
      <c r="D750" s="233"/>
      <c r="E750" s="232">
        <f t="shared" si="99"/>
        <v>0</v>
      </c>
    </row>
    <row r="751" spans="1:5" x14ac:dyDescent="0.25">
      <c r="A751" s="150">
        <v>746</v>
      </c>
      <c r="B751" s="10" t="s">
        <v>1302</v>
      </c>
      <c r="C751" s="236">
        <v>4044.4269457853802</v>
      </c>
      <c r="D751" s="233"/>
      <c r="E751" s="232">
        <f t="shared" si="99"/>
        <v>0</v>
      </c>
    </row>
    <row r="752" spans="1:5" x14ac:dyDescent="0.25">
      <c r="A752" s="150">
        <v>747</v>
      </c>
      <c r="B752" s="10" t="s">
        <v>1303</v>
      </c>
      <c r="C752" s="236">
        <v>18345.1205743102</v>
      </c>
      <c r="D752" s="233"/>
      <c r="E752" s="232">
        <f t="shared" si="99"/>
        <v>0</v>
      </c>
    </row>
    <row r="753" spans="1:5" x14ac:dyDescent="0.25">
      <c r="A753" s="150">
        <v>748</v>
      </c>
      <c r="B753" s="10" t="s">
        <v>1304</v>
      </c>
      <c r="C753" s="236">
        <v>12096.97672894294</v>
      </c>
      <c r="D753" s="233"/>
      <c r="E753" s="232">
        <f t="shared" si="99"/>
        <v>0</v>
      </c>
    </row>
    <row r="754" spans="1:5" x14ac:dyDescent="0.25">
      <c r="A754" s="150">
        <v>749</v>
      </c>
      <c r="B754" s="10" t="s">
        <v>1305</v>
      </c>
      <c r="C754" s="236">
        <v>51458.277398254664</v>
      </c>
      <c r="D754" s="233"/>
      <c r="E754" s="232">
        <f t="shared" si="99"/>
        <v>0</v>
      </c>
    </row>
    <row r="755" spans="1:5" x14ac:dyDescent="0.25">
      <c r="A755" s="150">
        <v>750</v>
      </c>
      <c r="B755" s="10" t="s">
        <v>1306</v>
      </c>
      <c r="C755" s="236">
        <v>19400.1066639251</v>
      </c>
      <c r="D755" s="233"/>
      <c r="E755" s="232">
        <f t="shared" si="99"/>
        <v>0</v>
      </c>
    </row>
    <row r="756" spans="1:5" x14ac:dyDescent="0.25">
      <c r="A756" s="150">
        <v>751</v>
      </c>
      <c r="B756" s="10" t="s">
        <v>1307</v>
      </c>
      <c r="C756" s="236">
        <v>1369945.3890765454</v>
      </c>
      <c r="D756" s="233"/>
      <c r="E756" s="232">
        <f t="shared" si="99"/>
        <v>0</v>
      </c>
    </row>
    <row r="757" spans="1:5" x14ac:dyDescent="0.25">
      <c r="A757" s="150">
        <v>752</v>
      </c>
      <c r="B757" s="10" t="s">
        <v>1308</v>
      </c>
      <c r="C757" s="236">
        <v>1325204.2810800816</v>
      </c>
      <c r="D757" s="233"/>
      <c r="E757" s="232">
        <f t="shared" si="99"/>
        <v>0</v>
      </c>
    </row>
    <row r="758" spans="1:5" x14ac:dyDescent="0.25">
      <c r="A758" s="150">
        <v>753</v>
      </c>
      <c r="B758" s="10" t="s">
        <v>1309</v>
      </c>
      <c r="C758" s="236">
        <v>6014741.5279139271</v>
      </c>
      <c r="D758" s="233"/>
      <c r="E758" s="232">
        <f t="shared" si="99"/>
        <v>0</v>
      </c>
    </row>
    <row r="759" spans="1:5" x14ac:dyDescent="0.25">
      <c r="A759" s="150">
        <v>754</v>
      </c>
      <c r="B759" s="10" t="s">
        <v>1310</v>
      </c>
      <c r="C759" s="236">
        <v>5648380.2709968099</v>
      </c>
      <c r="D759" s="233"/>
      <c r="E759" s="232">
        <f t="shared" si="99"/>
        <v>0</v>
      </c>
    </row>
    <row r="760" spans="1:5" x14ac:dyDescent="0.25">
      <c r="A760" s="150">
        <v>755</v>
      </c>
      <c r="B760" s="10" t="s">
        <v>1311</v>
      </c>
      <c r="C760" s="236">
        <v>11913172.271824937</v>
      </c>
      <c r="D760" s="233"/>
      <c r="E760" s="232">
        <f t="shared" si="99"/>
        <v>0</v>
      </c>
    </row>
    <row r="761" spans="1:5" x14ac:dyDescent="0.25">
      <c r="A761" s="150">
        <v>756</v>
      </c>
      <c r="B761" s="10" t="s">
        <v>1312</v>
      </c>
      <c r="C761" s="236">
        <v>10392035.082667237</v>
      </c>
      <c r="D761" s="233"/>
      <c r="E761" s="232">
        <f t="shared" si="99"/>
        <v>0</v>
      </c>
    </row>
    <row r="762" spans="1:5" x14ac:dyDescent="0.25">
      <c r="A762" s="150">
        <v>757</v>
      </c>
      <c r="B762" s="10" t="s">
        <v>1313</v>
      </c>
      <c r="C762" s="236">
        <v>14378293.979006434</v>
      </c>
      <c r="D762" s="233"/>
      <c r="E762" s="232">
        <f t="shared" si="99"/>
        <v>0</v>
      </c>
    </row>
    <row r="763" spans="1:5" x14ac:dyDescent="0.25">
      <c r="A763" s="150">
        <v>758</v>
      </c>
      <c r="B763" s="10" t="s">
        <v>1314</v>
      </c>
      <c r="C763" s="236">
        <v>13962202.056577809</v>
      </c>
      <c r="D763" s="233"/>
      <c r="E763" s="232">
        <f t="shared" si="99"/>
        <v>0</v>
      </c>
    </row>
    <row r="764" spans="1:5" x14ac:dyDescent="0.25">
      <c r="A764" s="150">
        <v>759</v>
      </c>
      <c r="B764" s="10" t="s">
        <v>1315</v>
      </c>
      <c r="C764" s="236">
        <v>10862271.906145085</v>
      </c>
      <c r="D764" s="233"/>
      <c r="E764" s="232">
        <f t="shared" si="99"/>
        <v>0</v>
      </c>
    </row>
    <row r="765" spans="1:5" x14ac:dyDescent="0.25">
      <c r="A765" s="150">
        <v>760</v>
      </c>
      <c r="B765" s="10" t="s">
        <v>1316</v>
      </c>
      <c r="C765" s="236">
        <v>11795166.782188542</v>
      </c>
      <c r="D765" s="233"/>
      <c r="E765" s="232">
        <f t="shared" si="99"/>
        <v>0</v>
      </c>
    </row>
    <row r="766" spans="1:5" x14ac:dyDescent="0.25">
      <c r="A766" s="150">
        <v>761</v>
      </c>
      <c r="B766" s="10" t="s">
        <v>1317</v>
      </c>
      <c r="C766" s="236">
        <v>6058037.1006227694</v>
      </c>
      <c r="D766" s="233"/>
      <c r="E766" s="232">
        <f t="shared" si="99"/>
        <v>0</v>
      </c>
    </row>
    <row r="767" spans="1:5" x14ac:dyDescent="0.25">
      <c r="A767" s="150">
        <v>762</v>
      </c>
      <c r="B767" s="10" t="s">
        <v>1318</v>
      </c>
      <c r="C767" s="236">
        <v>4970153.4107361995</v>
      </c>
      <c r="D767" s="233"/>
      <c r="E767" s="232">
        <f t="shared" si="99"/>
        <v>0</v>
      </c>
    </row>
    <row r="768" spans="1:5" x14ac:dyDescent="0.25">
      <c r="A768" s="150">
        <v>763</v>
      </c>
      <c r="B768" s="10" t="s">
        <v>1319</v>
      </c>
      <c r="C768" s="236">
        <v>1639276.9262484307</v>
      </c>
      <c r="D768" s="233"/>
      <c r="E768" s="232">
        <f t="shared" si="99"/>
        <v>0</v>
      </c>
    </row>
    <row r="769" spans="1:5" x14ac:dyDescent="0.25">
      <c r="A769" s="150">
        <v>764</v>
      </c>
      <c r="B769" s="10" t="s">
        <v>1320</v>
      </c>
      <c r="C769" s="236">
        <v>1239550.0716314462</v>
      </c>
      <c r="D769" s="233"/>
      <c r="E769" s="232">
        <f t="shared" si="99"/>
        <v>0</v>
      </c>
    </row>
    <row r="770" spans="1:5" x14ac:dyDescent="0.25">
      <c r="A770" s="150">
        <v>765</v>
      </c>
      <c r="B770" s="10" t="s">
        <v>1321</v>
      </c>
      <c r="C770" s="236">
        <v>197410.657001846</v>
      </c>
      <c r="D770" s="233"/>
      <c r="E770" s="232">
        <f t="shared" si="99"/>
        <v>0</v>
      </c>
    </row>
    <row r="771" spans="1:5" x14ac:dyDescent="0.25">
      <c r="A771" s="150">
        <v>766</v>
      </c>
      <c r="B771" s="10" t="s">
        <v>1322</v>
      </c>
      <c r="C771" s="236">
        <v>241275.88808082778</v>
      </c>
      <c r="D771" s="233"/>
      <c r="E771" s="232">
        <f t="shared" si="99"/>
        <v>0</v>
      </c>
    </row>
    <row r="772" spans="1:5" x14ac:dyDescent="0.25">
      <c r="A772" s="150">
        <v>767</v>
      </c>
      <c r="B772" s="10" t="s">
        <v>1323</v>
      </c>
      <c r="C772" s="236">
        <v>17003.663471882232</v>
      </c>
      <c r="D772" s="233"/>
      <c r="E772" s="232">
        <f t="shared" si="99"/>
        <v>0</v>
      </c>
    </row>
    <row r="773" spans="1:5" x14ac:dyDescent="0.25">
      <c r="A773" s="150">
        <v>768</v>
      </c>
      <c r="B773" s="10" t="s">
        <v>1324</v>
      </c>
      <c r="C773" s="236">
        <v>7271.1961758040234</v>
      </c>
      <c r="D773" s="233"/>
      <c r="E773" s="232">
        <f t="shared" si="99"/>
        <v>0</v>
      </c>
    </row>
    <row r="774" spans="1:5" x14ac:dyDescent="0.25">
      <c r="A774" s="150">
        <v>769</v>
      </c>
      <c r="B774" s="10" t="s">
        <v>865</v>
      </c>
      <c r="C774" s="236">
        <v>1782396.6160086114</v>
      </c>
      <c r="D774" s="233"/>
      <c r="E774" s="232">
        <f t="shared" si="99"/>
        <v>0</v>
      </c>
    </row>
    <row r="775" spans="1:5" x14ac:dyDescent="0.25">
      <c r="A775" s="150">
        <v>770</v>
      </c>
      <c r="B775" s="10" t="s">
        <v>866</v>
      </c>
      <c r="C775" s="236">
        <v>1130001.4360719696</v>
      </c>
      <c r="D775" s="233"/>
      <c r="E775" s="232">
        <f t="shared" ref="E775:E838" si="100">D775/C775</f>
        <v>0</v>
      </c>
    </row>
    <row r="776" spans="1:5" x14ac:dyDescent="0.25">
      <c r="A776" s="150">
        <v>771</v>
      </c>
      <c r="B776" s="10" t="s">
        <v>867</v>
      </c>
      <c r="C776" s="236">
        <v>8736947.3380955551</v>
      </c>
      <c r="D776" s="233"/>
      <c r="E776" s="232">
        <f t="shared" si="100"/>
        <v>0</v>
      </c>
    </row>
    <row r="777" spans="1:5" x14ac:dyDescent="0.25">
      <c r="A777" s="150">
        <v>772</v>
      </c>
      <c r="B777" s="10" t="s">
        <v>868</v>
      </c>
      <c r="C777" s="236">
        <v>6989809.9450591709</v>
      </c>
      <c r="D777" s="233"/>
      <c r="E777" s="232">
        <f t="shared" si="100"/>
        <v>0</v>
      </c>
    </row>
    <row r="778" spans="1:5" x14ac:dyDescent="0.25">
      <c r="A778" s="150">
        <v>773</v>
      </c>
      <c r="B778" s="10" t="s">
        <v>869</v>
      </c>
      <c r="C778" s="236">
        <v>17493024.018183932</v>
      </c>
      <c r="D778" s="233"/>
      <c r="E778" s="232">
        <f t="shared" si="100"/>
        <v>0</v>
      </c>
    </row>
    <row r="779" spans="1:5" x14ac:dyDescent="0.25">
      <c r="A779" s="150">
        <v>774</v>
      </c>
      <c r="B779" s="10" t="s">
        <v>870</v>
      </c>
      <c r="C779" s="236">
        <v>16746322.876604445</v>
      </c>
      <c r="D779" s="233"/>
      <c r="E779" s="232">
        <f t="shared" si="100"/>
        <v>0</v>
      </c>
    </row>
    <row r="780" spans="1:5" x14ac:dyDescent="0.25">
      <c r="A780" s="150">
        <v>775</v>
      </c>
      <c r="B780" s="10" t="s">
        <v>871</v>
      </c>
      <c r="C780" s="236">
        <v>24208610.612865809</v>
      </c>
      <c r="D780" s="233"/>
      <c r="E780" s="232">
        <f t="shared" si="100"/>
        <v>0</v>
      </c>
    </row>
    <row r="781" spans="1:5" x14ac:dyDescent="0.25">
      <c r="A781" s="150">
        <v>776</v>
      </c>
      <c r="B781" s="10" t="s">
        <v>872</v>
      </c>
      <c r="C781" s="236">
        <v>21492533.969542276</v>
      </c>
      <c r="D781" s="233"/>
      <c r="E781" s="232">
        <f t="shared" si="100"/>
        <v>0</v>
      </c>
    </row>
    <row r="782" spans="1:5" x14ac:dyDescent="0.25">
      <c r="A782" s="150">
        <v>777</v>
      </c>
      <c r="B782" s="10" t="s">
        <v>873</v>
      </c>
      <c r="C782" s="236">
        <v>24834468.12253999</v>
      </c>
      <c r="D782" s="233"/>
      <c r="E782" s="232">
        <f t="shared" si="100"/>
        <v>0</v>
      </c>
    </row>
    <row r="783" spans="1:5" x14ac:dyDescent="0.25">
      <c r="A783" s="150">
        <v>778</v>
      </c>
      <c r="B783" s="10" t="s">
        <v>874</v>
      </c>
      <c r="C783" s="236">
        <v>19154233.420037869</v>
      </c>
      <c r="D783" s="233"/>
      <c r="E783" s="232">
        <f t="shared" si="100"/>
        <v>0</v>
      </c>
    </row>
    <row r="784" spans="1:5" x14ac:dyDescent="0.25">
      <c r="A784" s="150">
        <v>779</v>
      </c>
      <c r="B784" s="10" t="s">
        <v>875</v>
      </c>
      <c r="C784" s="236">
        <v>18182488.891056668</v>
      </c>
      <c r="D784" s="233"/>
      <c r="E784" s="232">
        <f t="shared" si="100"/>
        <v>0</v>
      </c>
    </row>
    <row r="785" spans="1:5" x14ac:dyDescent="0.25">
      <c r="A785" s="150">
        <v>780</v>
      </c>
      <c r="B785" s="10" t="s">
        <v>876</v>
      </c>
      <c r="C785" s="236">
        <v>15502912.116861835</v>
      </c>
      <c r="D785" s="233"/>
      <c r="E785" s="232">
        <f t="shared" si="100"/>
        <v>0</v>
      </c>
    </row>
    <row r="786" spans="1:5" x14ac:dyDescent="0.25">
      <c r="A786" s="150">
        <v>781</v>
      </c>
      <c r="B786" s="10" t="s">
        <v>877</v>
      </c>
      <c r="C786" s="236">
        <v>9286600.2700352743</v>
      </c>
      <c r="D786" s="233"/>
      <c r="E786" s="232">
        <f t="shared" si="100"/>
        <v>0</v>
      </c>
    </row>
    <row r="787" spans="1:5" x14ac:dyDescent="0.25">
      <c r="A787" s="150">
        <v>782</v>
      </c>
      <c r="B787" s="10" t="s">
        <v>878</v>
      </c>
      <c r="C787" s="236">
        <v>8970353.3995376714</v>
      </c>
      <c r="D787" s="233"/>
      <c r="E787" s="232">
        <f t="shared" si="100"/>
        <v>0</v>
      </c>
    </row>
    <row r="788" spans="1:5" x14ac:dyDescent="0.25">
      <c r="A788" s="150">
        <v>783</v>
      </c>
      <c r="B788" s="10" t="s">
        <v>879</v>
      </c>
      <c r="C788" s="236">
        <v>3313173.2202648227</v>
      </c>
      <c r="D788" s="233"/>
      <c r="E788" s="232">
        <f t="shared" si="100"/>
        <v>0</v>
      </c>
    </row>
    <row r="789" spans="1:5" x14ac:dyDescent="0.25">
      <c r="A789" s="150">
        <v>784</v>
      </c>
      <c r="B789" s="10" t="s">
        <v>880</v>
      </c>
      <c r="C789" s="236">
        <v>3042919.9225675901</v>
      </c>
      <c r="D789" s="233"/>
      <c r="E789" s="232">
        <f t="shared" si="100"/>
        <v>0</v>
      </c>
    </row>
    <row r="790" spans="1:5" x14ac:dyDescent="0.25">
      <c r="A790" s="150">
        <v>785</v>
      </c>
      <c r="B790" s="10" t="s">
        <v>881</v>
      </c>
      <c r="C790" s="236">
        <v>433033.77112952975</v>
      </c>
      <c r="D790" s="233"/>
      <c r="E790" s="232">
        <f t="shared" si="100"/>
        <v>0</v>
      </c>
    </row>
    <row r="791" spans="1:5" x14ac:dyDescent="0.25">
      <c r="A791" s="150">
        <v>786</v>
      </c>
      <c r="B791" s="10" t="s">
        <v>882</v>
      </c>
      <c r="C791" s="236">
        <v>424992.71447051701</v>
      </c>
      <c r="D791" s="233"/>
      <c r="E791" s="232">
        <f t="shared" si="100"/>
        <v>0</v>
      </c>
    </row>
    <row r="792" spans="1:5" x14ac:dyDescent="0.25">
      <c r="A792" s="150">
        <v>787</v>
      </c>
      <c r="B792" s="10" t="s">
        <v>883</v>
      </c>
      <c r="C792" s="236">
        <v>18011.484243103139</v>
      </c>
      <c r="D792" s="233"/>
      <c r="E792" s="232">
        <f t="shared" si="100"/>
        <v>0</v>
      </c>
    </row>
    <row r="793" spans="1:5" x14ac:dyDescent="0.25">
      <c r="A793" s="150">
        <v>788</v>
      </c>
      <c r="B793" s="10" t="s">
        <v>884</v>
      </c>
      <c r="C793" s="236">
        <v>29977.517671305086</v>
      </c>
      <c r="D793" s="233"/>
      <c r="E793" s="232">
        <f t="shared" si="100"/>
        <v>0</v>
      </c>
    </row>
    <row r="794" spans="1:5" x14ac:dyDescent="0.25">
      <c r="A794" s="150">
        <v>789</v>
      </c>
      <c r="B794" s="10" t="s">
        <v>885</v>
      </c>
      <c r="C794" s="236">
        <v>26191.787318969629</v>
      </c>
      <c r="D794" s="233"/>
      <c r="E794" s="232">
        <f t="shared" si="100"/>
        <v>0</v>
      </c>
    </row>
    <row r="795" spans="1:5" x14ac:dyDescent="0.25">
      <c r="A795" s="150">
        <v>790</v>
      </c>
      <c r="B795" s="10" t="s">
        <v>886</v>
      </c>
      <c r="C795" s="236">
        <v>3955.8038844604575</v>
      </c>
      <c r="D795" s="233"/>
      <c r="E795" s="232">
        <f t="shared" si="100"/>
        <v>0</v>
      </c>
    </row>
    <row r="796" spans="1:5" x14ac:dyDescent="0.25">
      <c r="A796" s="150">
        <v>791</v>
      </c>
      <c r="B796" s="10" t="s">
        <v>887</v>
      </c>
      <c r="C796" s="236">
        <v>2205.7534787292825</v>
      </c>
      <c r="D796" s="233"/>
      <c r="E796" s="232">
        <f t="shared" si="100"/>
        <v>0</v>
      </c>
    </row>
    <row r="797" spans="1:5" x14ac:dyDescent="0.25">
      <c r="A797" s="150">
        <v>792</v>
      </c>
      <c r="B797" s="10" t="s">
        <v>888</v>
      </c>
      <c r="C797" s="236">
        <v>1064.6078956604174</v>
      </c>
      <c r="D797" s="233"/>
      <c r="E797" s="232">
        <f t="shared" si="100"/>
        <v>0</v>
      </c>
    </row>
    <row r="798" spans="1:5" x14ac:dyDescent="0.25">
      <c r="A798" s="150">
        <v>793</v>
      </c>
      <c r="B798" s="10" t="s">
        <v>1325</v>
      </c>
      <c r="C798" s="236">
        <v>360190.55897388246</v>
      </c>
      <c r="D798" s="233"/>
      <c r="E798" s="232">
        <f t="shared" si="100"/>
        <v>0</v>
      </c>
    </row>
    <row r="799" spans="1:5" x14ac:dyDescent="0.25">
      <c r="A799" s="150">
        <v>794</v>
      </c>
      <c r="B799" s="10" t="s">
        <v>1326</v>
      </c>
      <c r="C799" s="236">
        <v>39355.505798580823</v>
      </c>
      <c r="D799" s="233"/>
      <c r="E799" s="232">
        <f t="shared" si="100"/>
        <v>0</v>
      </c>
    </row>
    <row r="800" spans="1:5" x14ac:dyDescent="0.25">
      <c r="A800" s="150">
        <v>795</v>
      </c>
      <c r="B800" s="10" t="s">
        <v>1327</v>
      </c>
      <c r="C800" s="236">
        <v>15497.99315195531</v>
      </c>
      <c r="D800" s="233"/>
      <c r="E800" s="232">
        <f t="shared" si="100"/>
        <v>0</v>
      </c>
    </row>
    <row r="801" spans="1:5" x14ac:dyDescent="0.25">
      <c r="A801" s="150">
        <v>796</v>
      </c>
      <c r="B801" s="10" t="s">
        <v>1328</v>
      </c>
      <c r="C801" s="236">
        <v>14819.229951049898</v>
      </c>
      <c r="D801" s="233"/>
      <c r="E801" s="232">
        <f t="shared" si="100"/>
        <v>0</v>
      </c>
    </row>
    <row r="802" spans="1:5" x14ac:dyDescent="0.25">
      <c r="A802" s="150">
        <v>797</v>
      </c>
      <c r="B802" s="10" t="s">
        <v>1329</v>
      </c>
      <c r="C802" s="236">
        <v>21327.382376701578</v>
      </c>
      <c r="D802" s="233"/>
      <c r="E802" s="232">
        <f t="shared" si="100"/>
        <v>0</v>
      </c>
    </row>
    <row r="803" spans="1:5" x14ac:dyDescent="0.25">
      <c r="A803" s="150">
        <v>798</v>
      </c>
      <c r="B803" s="10" t="s">
        <v>1330</v>
      </c>
      <c r="C803" s="236">
        <v>17441.147898246978</v>
      </c>
      <c r="D803" s="233"/>
      <c r="E803" s="232">
        <f t="shared" si="100"/>
        <v>0</v>
      </c>
    </row>
    <row r="804" spans="1:5" x14ac:dyDescent="0.25">
      <c r="A804" s="150">
        <v>799</v>
      </c>
      <c r="B804" s="10" t="s">
        <v>1331</v>
      </c>
      <c r="C804" s="236">
        <v>11715.514478820376</v>
      </c>
      <c r="D804" s="233"/>
      <c r="E804" s="232">
        <f t="shared" si="100"/>
        <v>0</v>
      </c>
    </row>
    <row r="805" spans="1:5" x14ac:dyDescent="0.25">
      <c r="A805" s="150">
        <v>800</v>
      </c>
      <c r="B805" s="10" t="s">
        <v>1332</v>
      </c>
      <c r="C805" s="236">
        <v>16689.731960266501</v>
      </c>
      <c r="D805" s="233"/>
      <c r="E805" s="232">
        <f t="shared" si="100"/>
        <v>0</v>
      </c>
    </row>
    <row r="806" spans="1:5" x14ac:dyDescent="0.25">
      <c r="A806" s="150">
        <v>801</v>
      </c>
      <c r="B806" s="10" t="s">
        <v>1333</v>
      </c>
      <c r="C806" s="236">
        <v>9205.3284840697379</v>
      </c>
      <c r="D806" s="233"/>
      <c r="E806" s="232">
        <f t="shared" si="100"/>
        <v>0</v>
      </c>
    </row>
    <row r="807" spans="1:5" x14ac:dyDescent="0.25">
      <c r="A807" s="150">
        <v>802</v>
      </c>
      <c r="B807" s="10" t="s">
        <v>1334</v>
      </c>
      <c r="C807" s="236">
        <v>1343.0204980850674</v>
      </c>
      <c r="D807" s="233"/>
      <c r="E807" s="232">
        <f t="shared" si="100"/>
        <v>0</v>
      </c>
    </row>
    <row r="808" spans="1:5" x14ac:dyDescent="0.25">
      <c r="A808" s="150">
        <v>803</v>
      </c>
      <c r="B808" s="10" t="s">
        <v>1335</v>
      </c>
      <c r="C808" s="236">
        <v>5058.4529479974999</v>
      </c>
      <c r="D808" s="233"/>
      <c r="E808" s="232">
        <f t="shared" si="100"/>
        <v>0</v>
      </c>
    </row>
    <row r="809" spans="1:5" x14ac:dyDescent="0.25">
      <c r="A809" s="150">
        <v>804</v>
      </c>
      <c r="B809" s="10" t="s">
        <v>1336</v>
      </c>
      <c r="C809" s="236">
        <v>22882.788890991062</v>
      </c>
      <c r="D809" s="233"/>
      <c r="E809" s="232">
        <f t="shared" si="100"/>
        <v>0</v>
      </c>
    </row>
    <row r="810" spans="1:5" x14ac:dyDescent="0.25">
      <c r="A810" s="150">
        <v>805</v>
      </c>
      <c r="B810" s="10" t="s">
        <v>1337</v>
      </c>
      <c r="C810" s="236">
        <v>38072.222071532611</v>
      </c>
      <c r="D810" s="233"/>
      <c r="E810" s="232">
        <f t="shared" si="100"/>
        <v>0</v>
      </c>
    </row>
    <row r="811" spans="1:5" x14ac:dyDescent="0.25">
      <c r="A811" s="150">
        <v>806</v>
      </c>
      <c r="B811" s="10" t="s">
        <v>1338</v>
      </c>
      <c r="C811" s="236">
        <v>42223.21415531075</v>
      </c>
      <c r="D811" s="233"/>
      <c r="E811" s="232">
        <f t="shared" si="100"/>
        <v>0</v>
      </c>
    </row>
    <row r="812" spans="1:5" x14ac:dyDescent="0.25">
      <c r="A812" s="150">
        <v>807</v>
      </c>
      <c r="B812" s="10" t="s">
        <v>1339</v>
      </c>
      <c r="C812" s="236">
        <v>1228036.2118946163</v>
      </c>
      <c r="D812" s="233"/>
      <c r="E812" s="232">
        <f t="shared" si="100"/>
        <v>0</v>
      </c>
    </row>
    <row r="813" spans="1:5" x14ac:dyDescent="0.25">
      <c r="A813" s="150">
        <v>808</v>
      </c>
      <c r="B813" s="10" t="s">
        <v>1340</v>
      </c>
      <c r="C813" s="236">
        <v>1128758.1652991604</v>
      </c>
      <c r="D813" s="233"/>
      <c r="E813" s="232">
        <f t="shared" si="100"/>
        <v>0</v>
      </c>
    </row>
    <row r="814" spans="1:5" x14ac:dyDescent="0.25">
      <c r="A814" s="150">
        <v>809</v>
      </c>
      <c r="B814" s="10" t="s">
        <v>1341</v>
      </c>
      <c r="C814" s="236">
        <v>4841385.2549266219</v>
      </c>
      <c r="D814" s="233"/>
      <c r="E814" s="232">
        <f t="shared" si="100"/>
        <v>0</v>
      </c>
    </row>
    <row r="815" spans="1:5" x14ac:dyDescent="0.25">
      <c r="A815" s="150">
        <v>810</v>
      </c>
      <c r="B815" s="10" t="s">
        <v>1342</v>
      </c>
      <c r="C815" s="236">
        <v>4302650.6700797379</v>
      </c>
      <c r="D815" s="233"/>
      <c r="E815" s="232">
        <f t="shared" si="100"/>
        <v>0</v>
      </c>
    </row>
    <row r="816" spans="1:5" x14ac:dyDescent="0.25">
      <c r="A816" s="150">
        <v>811</v>
      </c>
      <c r="B816" s="10" t="s">
        <v>1343</v>
      </c>
      <c r="C816" s="236">
        <v>8444678.7598615773</v>
      </c>
      <c r="D816" s="233"/>
      <c r="E816" s="232">
        <f t="shared" si="100"/>
        <v>0</v>
      </c>
    </row>
    <row r="817" spans="1:5" x14ac:dyDescent="0.25">
      <c r="A817" s="150">
        <v>812</v>
      </c>
      <c r="B817" s="10" t="s">
        <v>1344</v>
      </c>
      <c r="C817" s="236">
        <v>8343635.9310516044</v>
      </c>
      <c r="D817" s="233"/>
      <c r="E817" s="232">
        <f t="shared" si="100"/>
        <v>0</v>
      </c>
    </row>
    <row r="818" spans="1:5" x14ac:dyDescent="0.25">
      <c r="A818" s="150">
        <v>813</v>
      </c>
      <c r="B818" s="10" t="s">
        <v>1345</v>
      </c>
      <c r="C818" s="236">
        <v>9685299.9705615118</v>
      </c>
      <c r="D818" s="233"/>
      <c r="E818" s="232">
        <f t="shared" si="100"/>
        <v>0</v>
      </c>
    </row>
    <row r="819" spans="1:5" x14ac:dyDescent="0.25">
      <c r="A819" s="150">
        <v>814</v>
      </c>
      <c r="B819" s="10" t="s">
        <v>1346</v>
      </c>
      <c r="C819" s="236">
        <v>10084482.128121627</v>
      </c>
      <c r="D819" s="233"/>
      <c r="E819" s="232">
        <f t="shared" si="100"/>
        <v>0</v>
      </c>
    </row>
    <row r="820" spans="1:5" x14ac:dyDescent="0.25">
      <c r="A820" s="150">
        <v>815</v>
      </c>
      <c r="B820" s="10" t="s">
        <v>1347</v>
      </c>
      <c r="C820" s="236">
        <v>7731218.6281358041</v>
      </c>
      <c r="D820" s="233"/>
      <c r="E820" s="232">
        <f t="shared" si="100"/>
        <v>0</v>
      </c>
    </row>
    <row r="821" spans="1:5" x14ac:dyDescent="0.25">
      <c r="A821" s="150">
        <v>816</v>
      </c>
      <c r="B821" s="10" t="s">
        <v>1348</v>
      </c>
      <c r="C821" s="236">
        <v>6720795.7439356521</v>
      </c>
      <c r="D821" s="233"/>
      <c r="E821" s="232">
        <f t="shared" si="100"/>
        <v>0</v>
      </c>
    </row>
    <row r="822" spans="1:5" x14ac:dyDescent="0.25">
      <c r="A822" s="150">
        <v>817</v>
      </c>
      <c r="B822" s="10" t="s">
        <v>1349</v>
      </c>
      <c r="C822" s="236">
        <v>3584705.6517502675</v>
      </c>
      <c r="D822" s="233"/>
      <c r="E822" s="232">
        <f t="shared" si="100"/>
        <v>0</v>
      </c>
    </row>
    <row r="823" spans="1:5" x14ac:dyDescent="0.25">
      <c r="A823" s="150">
        <v>818</v>
      </c>
      <c r="B823" s="10" t="s">
        <v>1350</v>
      </c>
      <c r="C823" s="236">
        <v>2719194.0242241351</v>
      </c>
      <c r="D823" s="233"/>
      <c r="E823" s="232">
        <f t="shared" si="100"/>
        <v>0</v>
      </c>
    </row>
    <row r="824" spans="1:5" x14ac:dyDescent="0.25">
      <c r="A824" s="150">
        <v>819</v>
      </c>
      <c r="B824" s="10" t="s">
        <v>1351</v>
      </c>
      <c r="C824" s="236">
        <v>997054.78563275828</v>
      </c>
      <c r="D824" s="233"/>
      <c r="E824" s="232">
        <f t="shared" si="100"/>
        <v>0</v>
      </c>
    </row>
    <row r="825" spans="1:5" x14ac:dyDescent="0.25">
      <c r="A825" s="150">
        <v>820</v>
      </c>
      <c r="B825" s="10" t="s">
        <v>1352</v>
      </c>
      <c r="C825" s="236">
        <v>1207146.8360486925</v>
      </c>
      <c r="D825" s="233"/>
      <c r="E825" s="232">
        <f t="shared" si="100"/>
        <v>0</v>
      </c>
    </row>
    <row r="826" spans="1:5" x14ac:dyDescent="0.25">
      <c r="A826" s="150">
        <v>821</v>
      </c>
      <c r="B826" s="10" t="s">
        <v>1353</v>
      </c>
      <c r="C826" s="236">
        <v>70161.239945706009</v>
      </c>
      <c r="D826" s="233"/>
      <c r="E826" s="232">
        <f t="shared" si="100"/>
        <v>0</v>
      </c>
    </row>
    <row r="827" spans="1:5" x14ac:dyDescent="0.25">
      <c r="A827" s="150">
        <v>822</v>
      </c>
      <c r="B827" s="10" t="s">
        <v>1354</v>
      </c>
      <c r="C827" s="236">
        <v>124882.7604796066</v>
      </c>
      <c r="D827" s="233"/>
      <c r="E827" s="232">
        <f t="shared" si="100"/>
        <v>0</v>
      </c>
    </row>
    <row r="828" spans="1:5" x14ac:dyDescent="0.25">
      <c r="A828" s="150">
        <v>823</v>
      </c>
      <c r="B828" s="10" t="s">
        <v>889</v>
      </c>
      <c r="C828" s="236">
        <v>1211605.036612242</v>
      </c>
      <c r="D828" s="233"/>
      <c r="E828" s="232">
        <f t="shared" si="100"/>
        <v>0</v>
      </c>
    </row>
    <row r="829" spans="1:5" x14ac:dyDescent="0.25">
      <c r="A829" s="150">
        <v>824</v>
      </c>
      <c r="B829" s="10" t="s">
        <v>890</v>
      </c>
      <c r="C829" s="236">
        <v>752160.33385654492</v>
      </c>
      <c r="D829" s="233"/>
      <c r="E829" s="232">
        <f t="shared" si="100"/>
        <v>0</v>
      </c>
    </row>
    <row r="830" spans="1:5" x14ac:dyDescent="0.25">
      <c r="A830" s="150">
        <v>825</v>
      </c>
      <c r="B830" s="10" t="s">
        <v>891</v>
      </c>
      <c r="C830" s="236">
        <v>6200727.8180459151</v>
      </c>
      <c r="D830" s="233"/>
      <c r="E830" s="232">
        <f t="shared" si="100"/>
        <v>0</v>
      </c>
    </row>
    <row r="831" spans="1:5" x14ac:dyDescent="0.25">
      <c r="A831" s="150">
        <v>826</v>
      </c>
      <c r="B831" s="10" t="s">
        <v>892</v>
      </c>
      <c r="C831" s="236">
        <v>4941984.0505543025</v>
      </c>
      <c r="D831" s="233"/>
      <c r="E831" s="232">
        <f t="shared" si="100"/>
        <v>0</v>
      </c>
    </row>
    <row r="832" spans="1:5" x14ac:dyDescent="0.25">
      <c r="A832" s="150">
        <v>827</v>
      </c>
      <c r="B832" s="10" t="s">
        <v>893</v>
      </c>
      <c r="C832" s="236">
        <v>13053132.158669408</v>
      </c>
      <c r="D832" s="233"/>
      <c r="E832" s="232">
        <f t="shared" si="100"/>
        <v>0</v>
      </c>
    </row>
    <row r="833" spans="1:5" x14ac:dyDescent="0.25">
      <c r="A833" s="150">
        <v>828</v>
      </c>
      <c r="B833" s="10" t="s">
        <v>894</v>
      </c>
      <c r="C833" s="236">
        <v>12463910.188167913</v>
      </c>
      <c r="D833" s="233"/>
      <c r="E833" s="232">
        <f t="shared" si="100"/>
        <v>0</v>
      </c>
    </row>
    <row r="834" spans="1:5" x14ac:dyDescent="0.25">
      <c r="A834" s="150">
        <v>829</v>
      </c>
      <c r="B834" s="10" t="s">
        <v>895</v>
      </c>
      <c r="C834" s="236">
        <v>18193055.406479955</v>
      </c>
      <c r="D834" s="233"/>
      <c r="E834" s="232">
        <f t="shared" si="100"/>
        <v>0</v>
      </c>
    </row>
    <row r="835" spans="1:5" x14ac:dyDescent="0.25">
      <c r="A835" s="150">
        <v>830</v>
      </c>
      <c r="B835" s="10" t="s">
        <v>896</v>
      </c>
      <c r="C835" s="236">
        <v>16332979.579607731</v>
      </c>
      <c r="D835" s="233"/>
      <c r="E835" s="232">
        <f t="shared" si="100"/>
        <v>0</v>
      </c>
    </row>
    <row r="836" spans="1:5" x14ac:dyDescent="0.25">
      <c r="A836" s="150">
        <v>831</v>
      </c>
      <c r="B836" s="10" t="s">
        <v>897</v>
      </c>
      <c r="C836" s="236">
        <v>18691921.700480446</v>
      </c>
      <c r="D836" s="233"/>
      <c r="E836" s="232">
        <f t="shared" si="100"/>
        <v>0</v>
      </c>
    </row>
    <row r="837" spans="1:5" x14ac:dyDescent="0.25">
      <c r="A837" s="150">
        <v>832</v>
      </c>
      <c r="B837" s="10" t="s">
        <v>898</v>
      </c>
      <c r="C837" s="236">
        <v>14594615.863979395</v>
      </c>
      <c r="D837" s="233"/>
      <c r="E837" s="232">
        <f t="shared" si="100"/>
        <v>0</v>
      </c>
    </row>
    <row r="838" spans="1:5" x14ac:dyDescent="0.25">
      <c r="A838" s="150">
        <v>833</v>
      </c>
      <c r="B838" s="10" t="s">
        <v>899</v>
      </c>
      <c r="C838" s="236">
        <v>14549414.128515106</v>
      </c>
      <c r="D838" s="233"/>
      <c r="E838" s="232">
        <f t="shared" si="100"/>
        <v>0</v>
      </c>
    </row>
    <row r="839" spans="1:5" x14ac:dyDescent="0.25">
      <c r="A839" s="150">
        <v>834</v>
      </c>
      <c r="B839" s="10" t="s">
        <v>900</v>
      </c>
      <c r="C839" s="236">
        <v>12063050.041767221</v>
      </c>
      <c r="D839" s="233"/>
      <c r="E839" s="232">
        <f t="shared" ref="E839:E902" si="101">D839/C839</f>
        <v>0</v>
      </c>
    </row>
    <row r="840" spans="1:5" x14ac:dyDescent="0.25">
      <c r="A840" s="150">
        <v>835</v>
      </c>
      <c r="B840" s="10" t="s">
        <v>901</v>
      </c>
      <c r="C840" s="236">
        <v>7916479.066176055</v>
      </c>
      <c r="D840" s="233"/>
      <c r="E840" s="232">
        <f t="shared" si="101"/>
        <v>0</v>
      </c>
    </row>
    <row r="841" spans="1:5" x14ac:dyDescent="0.25">
      <c r="A841" s="150">
        <v>836</v>
      </c>
      <c r="B841" s="10" t="s">
        <v>902</v>
      </c>
      <c r="C841" s="236">
        <v>7464953.168880648</v>
      </c>
      <c r="D841" s="233"/>
      <c r="E841" s="232">
        <f t="shared" si="101"/>
        <v>0</v>
      </c>
    </row>
    <row r="842" spans="1:5" x14ac:dyDescent="0.25">
      <c r="A842" s="150">
        <v>837</v>
      </c>
      <c r="B842" s="10" t="s">
        <v>903</v>
      </c>
      <c r="C842" s="236">
        <v>2961564.53712398</v>
      </c>
      <c r="D842" s="233"/>
      <c r="E842" s="232">
        <f t="shared" si="101"/>
        <v>0</v>
      </c>
    </row>
    <row r="843" spans="1:5" x14ac:dyDescent="0.25">
      <c r="A843" s="150">
        <v>838</v>
      </c>
      <c r="B843" s="10" t="s">
        <v>904</v>
      </c>
      <c r="C843" s="236">
        <v>2561830.0848950902</v>
      </c>
      <c r="D843" s="233"/>
      <c r="E843" s="232">
        <f t="shared" si="101"/>
        <v>0</v>
      </c>
    </row>
    <row r="844" spans="1:5" x14ac:dyDescent="0.25">
      <c r="A844" s="150">
        <v>839</v>
      </c>
      <c r="B844" s="10" t="s">
        <v>905</v>
      </c>
      <c r="C844" s="236">
        <v>376459.67942499352</v>
      </c>
      <c r="D844" s="233"/>
      <c r="E844" s="232">
        <f t="shared" si="101"/>
        <v>0</v>
      </c>
    </row>
    <row r="845" spans="1:5" x14ac:dyDescent="0.25">
      <c r="A845" s="150">
        <v>840</v>
      </c>
      <c r="B845" s="10" t="s">
        <v>906</v>
      </c>
      <c r="C845" s="236">
        <v>243200.66033179517</v>
      </c>
      <c r="D845" s="233"/>
      <c r="E845" s="232">
        <f t="shared" si="101"/>
        <v>0</v>
      </c>
    </row>
    <row r="846" spans="1:5" x14ac:dyDescent="0.25">
      <c r="A846" s="150">
        <v>841</v>
      </c>
      <c r="B846" s="10" t="s">
        <v>907</v>
      </c>
      <c r="C846" s="236">
        <v>19197.354622009698</v>
      </c>
      <c r="D846" s="233"/>
      <c r="E846" s="232">
        <f t="shared" si="101"/>
        <v>0</v>
      </c>
    </row>
    <row r="847" spans="1:5" x14ac:dyDescent="0.25">
      <c r="A847" s="150">
        <v>842</v>
      </c>
      <c r="B847" s="10" t="s">
        <v>908</v>
      </c>
      <c r="C847" s="236">
        <v>31461.658033385425</v>
      </c>
      <c r="D847" s="233"/>
      <c r="E847" s="232">
        <f t="shared" si="101"/>
        <v>0</v>
      </c>
    </row>
    <row r="848" spans="1:5" x14ac:dyDescent="0.25">
      <c r="A848" s="150">
        <v>843</v>
      </c>
      <c r="B848" s="10" t="s">
        <v>909</v>
      </c>
      <c r="C848" s="236">
        <v>34159.824419555123</v>
      </c>
      <c r="D848" s="233"/>
      <c r="E848" s="232">
        <f t="shared" si="101"/>
        <v>0</v>
      </c>
    </row>
    <row r="849" spans="1:5" x14ac:dyDescent="0.25">
      <c r="A849" s="150">
        <v>844</v>
      </c>
      <c r="B849" s="10" t="s">
        <v>910</v>
      </c>
      <c r="C849" s="236">
        <v>34417.635786742918</v>
      </c>
      <c r="D849" s="233"/>
      <c r="E849" s="232">
        <f t="shared" si="101"/>
        <v>0</v>
      </c>
    </row>
    <row r="850" spans="1:5" x14ac:dyDescent="0.25">
      <c r="A850" s="150">
        <v>845</v>
      </c>
      <c r="B850" s="10" t="s">
        <v>1355</v>
      </c>
      <c r="C850" s="236">
        <v>24305.156859969517</v>
      </c>
      <c r="D850" s="233"/>
      <c r="E850" s="232">
        <f t="shared" si="101"/>
        <v>0</v>
      </c>
    </row>
    <row r="851" spans="1:5" x14ac:dyDescent="0.25">
      <c r="A851" s="150">
        <v>846</v>
      </c>
      <c r="B851" s="10" t="s">
        <v>1356</v>
      </c>
      <c r="C851" s="236">
        <v>5072.3797606200569</v>
      </c>
      <c r="D851" s="233"/>
      <c r="E851" s="232">
        <f t="shared" si="101"/>
        <v>0</v>
      </c>
    </row>
    <row r="852" spans="1:5" x14ac:dyDescent="0.25">
      <c r="A852" s="150">
        <v>847</v>
      </c>
      <c r="B852" s="10" t="s">
        <v>1357</v>
      </c>
      <c r="C852" s="236">
        <v>3224.6680743712341</v>
      </c>
      <c r="D852" s="233"/>
      <c r="E852" s="232">
        <f t="shared" si="101"/>
        <v>0</v>
      </c>
    </row>
    <row r="853" spans="1:5" x14ac:dyDescent="0.25">
      <c r="A853" s="150">
        <v>848</v>
      </c>
      <c r="B853" s="10" t="s">
        <v>1358</v>
      </c>
      <c r="C853" s="236">
        <v>8125.8386391297754</v>
      </c>
      <c r="D853" s="233"/>
      <c r="E853" s="232">
        <f t="shared" si="101"/>
        <v>0</v>
      </c>
    </row>
    <row r="854" spans="1:5" x14ac:dyDescent="0.25">
      <c r="A854" s="150">
        <v>849</v>
      </c>
      <c r="B854" s="10" t="s">
        <v>1359</v>
      </c>
      <c r="C854" s="236">
        <v>6512.7965288086507</v>
      </c>
      <c r="D854" s="233"/>
      <c r="E854" s="232">
        <f t="shared" si="101"/>
        <v>0</v>
      </c>
    </row>
    <row r="855" spans="1:5" x14ac:dyDescent="0.25">
      <c r="A855" s="150">
        <v>850</v>
      </c>
      <c r="B855" s="10" t="s">
        <v>1360</v>
      </c>
      <c r="C855" s="236">
        <v>11272.526843475782</v>
      </c>
      <c r="D855" s="233"/>
      <c r="E855" s="232">
        <f t="shared" si="101"/>
        <v>0</v>
      </c>
    </row>
    <row r="856" spans="1:5" x14ac:dyDescent="0.25">
      <c r="A856" s="150">
        <v>851</v>
      </c>
      <c r="B856" s="10" t="s">
        <v>1361</v>
      </c>
      <c r="C856" s="236">
        <v>20094.338884819546</v>
      </c>
      <c r="D856" s="233"/>
      <c r="E856" s="232">
        <f t="shared" si="101"/>
        <v>0</v>
      </c>
    </row>
    <row r="857" spans="1:5" x14ac:dyDescent="0.25">
      <c r="A857" s="150">
        <v>852</v>
      </c>
      <c r="B857" s="10" t="s">
        <v>1362</v>
      </c>
      <c r="C857" s="236">
        <v>6123.748865524045</v>
      </c>
      <c r="D857" s="233"/>
      <c r="E857" s="232">
        <f t="shared" si="101"/>
        <v>0</v>
      </c>
    </row>
    <row r="858" spans="1:5" x14ac:dyDescent="0.25">
      <c r="A858" s="150">
        <v>853</v>
      </c>
      <c r="B858" s="10" t="s">
        <v>1363</v>
      </c>
      <c r="C858" s="236">
        <v>31363.742680358828</v>
      </c>
      <c r="D858" s="233"/>
      <c r="E858" s="232">
        <f t="shared" si="101"/>
        <v>0</v>
      </c>
    </row>
    <row r="859" spans="1:5" x14ac:dyDescent="0.25">
      <c r="A859" s="150">
        <v>854</v>
      </c>
      <c r="B859" s="10" t="s">
        <v>1364</v>
      </c>
      <c r="C859" s="236">
        <v>36508.308910606902</v>
      </c>
      <c r="D859" s="233"/>
      <c r="E859" s="232">
        <f t="shared" si="101"/>
        <v>0</v>
      </c>
    </row>
    <row r="860" spans="1:5" x14ac:dyDescent="0.25">
      <c r="A860" s="150">
        <v>855</v>
      </c>
      <c r="B860" s="10" t="s">
        <v>1365</v>
      </c>
      <c r="C860" s="236">
        <v>16209.782740722625</v>
      </c>
      <c r="D860" s="233"/>
      <c r="E860" s="232">
        <f t="shared" si="101"/>
        <v>0</v>
      </c>
    </row>
    <row r="861" spans="1:5" x14ac:dyDescent="0.25">
      <c r="A861" s="150">
        <v>856</v>
      </c>
      <c r="B861" s="10" t="s">
        <v>1366</v>
      </c>
      <c r="C861" s="236">
        <v>9634.610066711899</v>
      </c>
      <c r="D861" s="233"/>
      <c r="E861" s="232">
        <f t="shared" si="101"/>
        <v>0</v>
      </c>
    </row>
    <row r="862" spans="1:5" x14ac:dyDescent="0.25">
      <c r="A862" s="150">
        <v>857</v>
      </c>
      <c r="B862" s="10" t="s">
        <v>1367</v>
      </c>
      <c r="C862" s="236">
        <v>25823.677948608074</v>
      </c>
      <c r="D862" s="233"/>
      <c r="E862" s="232">
        <f t="shared" si="101"/>
        <v>0</v>
      </c>
    </row>
    <row r="863" spans="1:5" x14ac:dyDescent="0.25">
      <c r="A863" s="150">
        <v>858</v>
      </c>
      <c r="B863" s="10" t="s">
        <v>1368</v>
      </c>
      <c r="C863" s="236">
        <v>10710.643310035699</v>
      </c>
      <c r="D863" s="233"/>
      <c r="E863" s="232">
        <f t="shared" si="101"/>
        <v>0</v>
      </c>
    </row>
    <row r="864" spans="1:5" x14ac:dyDescent="0.25">
      <c r="A864" s="150">
        <v>859</v>
      </c>
      <c r="B864" s="10" t="s">
        <v>1369</v>
      </c>
      <c r="C864" s="236">
        <v>2648.5074699096149</v>
      </c>
      <c r="D864" s="233"/>
      <c r="E864" s="232">
        <f t="shared" si="101"/>
        <v>0</v>
      </c>
    </row>
    <row r="865" spans="1:5" x14ac:dyDescent="0.25">
      <c r="A865" s="150">
        <v>860</v>
      </c>
      <c r="B865" s="10" t="s">
        <v>1370</v>
      </c>
      <c r="C865" s="236">
        <v>4766.5137663573369</v>
      </c>
      <c r="D865" s="233"/>
      <c r="E865" s="232">
        <f t="shared" si="101"/>
        <v>0</v>
      </c>
    </row>
    <row r="866" spans="1:5" x14ac:dyDescent="0.25">
      <c r="A866" s="150">
        <v>861</v>
      </c>
      <c r="B866" s="10" t="s">
        <v>1371</v>
      </c>
      <c r="C866" s="236">
        <v>50256.537309925552</v>
      </c>
      <c r="D866" s="233"/>
      <c r="E866" s="232">
        <f t="shared" si="101"/>
        <v>0</v>
      </c>
    </row>
    <row r="867" spans="1:5" x14ac:dyDescent="0.25">
      <c r="A867" s="150">
        <v>862</v>
      </c>
      <c r="B867" s="10" t="s">
        <v>1372</v>
      </c>
      <c r="C867" s="236">
        <v>38481.19686264034</v>
      </c>
      <c r="D867" s="233"/>
      <c r="E867" s="232">
        <f t="shared" si="101"/>
        <v>0</v>
      </c>
    </row>
    <row r="868" spans="1:5" x14ac:dyDescent="0.25">
      <c r="A868" s="150">
        <v>863</v>
      </c>
      <c r="B868" s="10" t="s">
        <v>1373</v>
      </c>
      <c r="C868" s="236">
        <v>739366.01687089354</v>
      </c>
      <c r="D868" s="233"/>
      <c r="E868" s="232">
        <f t="shared" si="101"/>
        <v>0</v>
      </c>
    </row>
    <row r="869" spans="1:5" x14ac:dyDescent="0.25">
      <c r="A869" s="150">
        <v>864</v>
      </c>
      <c r="B869" s="10" t="s">
        <v>1374</v>
      </c>
      <c r="C869" s="236">
        <v>613239.20712453127</v>
      </c>
      <c r="D869" s="233"/>
      <c r="E869" s="232">
        <f t="shared" si="101"/>
        <v>0</v>
      </c>
    </row>
    <row r="870" spans="1:5" x14ac:dyDescent="0.25">
      <c r="A870" s="150">
        <v>865</v>
      </c>
      <c r="B870" s="10" t="s">
        <v>1375</v>
      </c>
      <c r="C870" s="236">
        <v>2874508.6234104652</v>
      </c>
      <c r="D870" s="233"/>
      <c r="E870" s="232">
        <f t="shared" si="101"/>
        <v>0</v>
      </c>
    </row>
    <row r="871" spans="1:5" x14ac:dyDescent="0.25">
      <c r="A871" s="150">
        <v>866</v>
      </c>
      <c r="B871" s="10" t="s">
        <v>1376</v>
      </c>
      <c r="C871" s="236">
        <v>2710381.7056307802</v>
      </c>
      <c r="D871" s="233"/>
      <c r="E871" s="232">
        <f t="shared" si="101"/>
        <v>0</v>
      </c>
    </row>
    <row r="872" spans="1:5" x14ac:dyDescent="0.25">
      <c r="A872" s="150">
        <v>867</v>
      </c>
      <c r="B872" s="10" t="s">
        <v>1377</v>
      </c>
      <c r="C872" s="236">
        <v>4594814.3046982875</v>
      </c>
      <c r="D872" s="233"/>
      <c r="E872" s="232">
        <f t="shared" si="101"/>
        <v>0</v>
      </c>
    </row>
    <row r="873" spans="1:5" x14ac:dyDescent="0.25">
      <c r="A873" s="150">
        <v>868</v>
      </c>
      <c r="B873" s="10" t="s">
        <v>1378</v>
      </c>
      <c r="C873" s="236">
        <v>5014190.8007037053</v>
      </c>
      <c r="D873" s="233"/>
      <c r="E873" s="232">
        <f t="shared" si="101"/>
        <v>0</v>
      </c>
    </row>
    <row r="874" spans="1:5" x14ac:dyDescent="0.25">
      <c r="A874" s="150">
        <v>869</v>
      </c>
      <c r="B874" s="10" t="s">
        <v>1379</v>
      </c>
      <c r="C874" s="236">
        <v>5476095.14948803</v>
      </c>
      <c r="D874" s="233"/>
      <c r="E874" s="232">
        <f t="shared" si="101"/>
        <v>0</v>
      </c>
    </row>
    <row r="875" spans="1:5" x14ac:dyDescent="0.25">
      <c r="A875" s="150">
        <v>870</v>
      </c>
      <c r="B875" s="10" t="s">
        <v>1380</v>
      </c>
      <c r="C875" s="236">
        <v>4495042.0431602597</v>
      </c>
      <c r="D875" s="233"/>
      <c r="E875" s="232">
        <f t="shared" si="101"/>
        <v>0</v>
      </c>
    </row>
    <row r="876" spans="1:5" x14ac:dyDescent="0.25">
      <c r="A876" s="150">
        <v>871</v>
      </c>
      <c r="B876" s="10" t="s">
        <v>1381</v>
      </c>
      <c r="C876" s="236">
        <v>3417488.36281526</v>
      </c>
      <c r="D876" s="233"/>
      <c r="E876" s="232">
        <f t="shared" si="101"/>
        <v>0</v>
      </c>
    </row>
    <row r="877" spans="1:5" x14ac:dyDescent="0.25">
      <c r="A877" s="150">
        <v>872</v>
      </c>
      <c r="B877" s="10" t="s">
        <v>1382</v>
      </c>
      <c r="C877" s="236">
        <v>2483438.3314467976</v>
      </c>
      <c r="D877" s="233"/>
      <c r="E877" s="232">
        <f t="shared" si="101"/>
        <v>0</v>
      </c>
    </row>
    <row r="878" spans="1:5" x14ac:dyDescent="0.25">
      <c r="A878" s="150">
        <v>873</v>
      </c>
      <c r="B878" s="10" t="s">
        <v>1383</v>
      </c>
      <c r="C878" s="236">
        <v>1635990.5629366331</v>
      </c>
      <c r="D878" s="233"/>
      <c r="E878" s="232">
        <f t="shared" si="101"/>
        <v>0</v>
      </c>
    </row>
    <row r="879" spans="1:5" x14ac:dyDescent="0.25">
      <c r="A879" s="150">
        <v>874</v>
      </c>
      <c r="B879" s="10" t="s">
        <v>1384</v>
      </c>
      <c r="C879" s="236">
        <v>1984824.0715934322</v>
      </c>
      <c r="D879" s="233"/>
      <c r="E879" s="232">
        <f t="shared" si="101"/>
        <v>0</v>
      </c>
    </row>
    <row r="880" spans="1:5" x14ac:dyDescent="0.25">
      <c r="A880" s="150">
        <v>875</v>
      </c>
      <c r="B880" s="10" t="s">
        <v>1385</v>
      </c>
      <c r="C880" s="236">
        <v>0</v>
      </c>
      <c r="D880" s="233"/>
      <c r="E880" s="232" t="e">
        <f t="shared" si="101"/>
        <v>#DIV/0!</v>
      </c>
    </row>
    <row r="881" spans="1:5" x14ac:dyDescent="0.25">
      <c r="A881" s="150">
        <v>876</v>
      </c>
      <c r="B881" s="10" t="s">
        <v>1386</v>
      </c>
      <c r="C881" s="236">
        <v>0</v>
      </c>
      <c r="D881" s="233"/>
      <c r="E881" s="232" t="e">
        <f t="shared" si="101"/>
        <v>#DIV/0!</v>
      </c>
    </row>
    <row r="882" spans="1:5" x14ac:dyDescent="0.25">
      <c r="A882" s="150">
        <v>877</v>
      </c>
      <c r="B882" s="10" t="s">
        <v>911</v>
      </c>
      <c r="C882" s="236">
        <v>703411.37229838292</v>
      </c>
      <c r="D882" s="233"/>
      <c r="E882" s="232">
        <f t="shared" si="101"/>
        <v>0</v>
      </c>
    </row>
    <row r="883" spans="1:5" x14ac:dyDescent="0.25">
      <c r="A883" s="150">
        <v>878</v>
      </c>
      <c r="B883" s="10" t="s">
        <v>912</v>
      </c>
      <c r="C883" s="236">
        <v>417468.50865492597</v>
      </c>
      <c r="D883" s="233"/>
      <c r="E883" s="232">
        <f t="shared" si="101"/>
        <v>0</v>
      </c>
    </row>
    <row r="884" spans="1:5" x14ac:dyDescent="0.25">
      <c r="A884" s="150">
        <v>879</v>
      </c>
      <c r="B884" s="10" t="s">
        <v>913</v>
      </c>
      <c r="C884" s="236">
        <v>3805439.2896617353</v>
      </c>
      <c r="D884" s="233"/>
      <c r="E884" s="232">
        <f t="shared" si="101"/>
        <v>0</v>
      </c>
    </row>
    <row r="885" spans="1:5" x14ac:dyDescent="0.25">
      <c r="A885" s="150">
        <v>880</v>
      </c>
      <c r="B885" s="10" t="s">
        <v>914</v>
      </c>
      <c r="C885" s="236">
        <v>3006858.8574342448</v>
      </c>
      <c r="D885" s="233"/>
      <c r="E885" s="232">
        <f t="shared" si="101"/>
        <v>0</v>
      </c>
    </row>
    <row r="886" spans="1:5" x14ac:dyDescent="0.25">
      <c r="A886" s="150">
        <v>881</v>
      </c>
      <c r="B886" s="10" t="s">
        <v>915</v>
      </c>
      <c r="C886" s="236">
        <v>8501881.2033218071</v>
      </c>
      <c r="D886" s="233"/>
      <c r="E886" s="232">
        <f t="shared" si="101"/>
        <v>0</v>
      </c>
    </row>
    <row r="887" spans="1:5" x14ac:dyDescent="0.25">
      <c r="A887" s="150">
        <v>882</v>
      </c>
      <c r="B887" s="10" t="s">
        <v>916</v>
      </c>
      <c r="C887" s="236">
        <v>8151344.0856002644</v>
      </c>
      <c r="D887" s="233"/>
      <c r="E887" s="232">
        <f t="shared" si="101"/>
        <v>0</v>
      </c>
    </row>
    <row r="888" spans="1:5" x14ac:dyDescent="0.25">
      <c r="A888" s="150">
        <v>883</v>
      </c>
      <c r="B888" s="10" t="s">
        <v>917</v>
      </c>
      <c r="C888" s="236">
        <v>12342751.44173402</v>
      </c>
      <c r="D888" s="233"/>
      <c r="E888" s="232">
        <f t="shared" si="101"/>
        <v>0</v>
      </c>
    </row>
    <row r="889" spans="1:5" x14ac:dyDescent="0.25">
      <c r="A889" s="150">
        <v>884</v>
      </c>
      <c r="B889" s="10" t="s">
        <v>918</v>
      </c>
      <c r="C889" s="236">
        <v>11058634.690254213</v>
      </c>
      <c r="D889" s="233"/>
      <c r="E889" s="232">
        <f t="shared" si="101"/>
        <v>0</v>
      </c>
    </row>
    <row r="890" spans="1:5" x14ac:dyDescent="0.25">
      <c r="A890" s="150">
        <v>885</v>
      </c>
      <c r="B890" s="10" t="s">
        <v>919</v>
      </c>
      <c r="C890" s="236">
        <v>12802974.579695173</v>
      </c>
      <c r="D890" s="233"/>
      <c r="E890" s="232">
        <f t="shared" si="101"/>
        <v>0</v>
      </c>
    </row>
    <row r="891" spans="1:5" x14ac:dyDescent="0.25">
      <c r="A891" s="150">
        <v>886</v>
      </c>
      <c r="B891" s="10" t="s">
        <v>920</v>
      </c>
      <c r="C891" s="236">
        <v>9842948.6363992617</v>
      </c>
      <c r="D891" s="233"/>
      <c r="E891" s="232">
        <f t="shared" si="101"/>
        <v>0</v>
      </c>
    </row>
    <row r="892" spans="1:5" x14ac:dyDescent="0.25">
      <c r="A892" s="150">
        <v>887</v>
      </c>
      <c r="B892" s="10" t="s">
        <v>921</v>
      </c>
      <c r="C892" s="236">
        <v>9815619.7219997663</v>
      </c>
      <c r="D892" s="233"/>
      <c r="E892" s="232">
        <f t="shared" si="101"/>
        <v>0</v>
      </c>
    </row>
    <row r="893" spans="1:5" x14ac:dyDescent="0.25">
      <c r="A893" s="150">
        <v>888</v>
      </c>
      <c r="B893" s="10" t="s">
        <v>922</v>
      </c>
      <c r="C893" s="236">
        <v>8545938.2719138768</v>
      </c>
      <c r="D893" s="233"/>
      <c r="E893" s="232">
        <f t="shared" si="101"/>
        <v>0</v>
      </c>
    </row>
    <row r="894" spans="1:5" x14ac:dyDescent="0.25">
      <c r="A894" s="150">
        <v>889</v>
      </c>
      <c r="B894" s="10" t="s">
        <v>923</v>
      </c>
      <c r="C894" s="236">
        <v>5644869.8367685676</v>
      </c>
      <c r="D894" s="233"/>
      <c r="E894" s="232">
        <f t="shared" si="101"/>
        <v>0</v>
      </c>
    </row>
    <row r="895" spans="1:5" x14ac:dyDescent="0.25">
      <c r="A895" s="150">
        <v>890</v>
      </c>
      <c r="B895" s="10" t="s">
        <v>924</v>
      </c>
      <c r="C895" s="236">
        <v>5339181.2980329972</v>
      </c>
      <c r="D895" s="233"/>
      <c r="E895" s="232">
        <f t="shared" si="101"/>
        <v>0</v>
      </c>
    </row>
    <row r="896" spans="1:5" x14ac:dyDescent="0.25">
      <c r="A896" s="150">
        <v>891</v>
      </c>
      <c r="B896" s="10" t="s">
        <v>925</v>
      </c>
      <c r="C896" s="236">
        <v>2140265.157544164</v>
      </c>
      <c r="D896" s="233"/>
      <c r="E896" s="232">
        <f t="shared" si="101"/>
        <v>0</v>
      </c>
    </row>
    <row r="897" spans="1:5" x14ac:dyDescent="0.25">
      <c r="A897" s="150">
        <v>892</v>
      </c>
      <c r="B897" s="10" t="s">
        <v>926</v>
      </c>
      <c r="C897" s="236">
        <v>1874003.793052302</v>
      </c>
      <c r="D897" s="233"/>
      <c r="E897" s="232">
        <f t="shared" si="101"/>
        <v>0</v>
      </c>
    </row>
    <row r="898" spans="1:5" x14ac:dyDescent="0.25">
      <c r="A898" s="150">
        <v>893</v>
      </c>
      <c r="B898" s="10" t="s">
        <v>927</v>
      </c>
      <c r="C898" s="236">
        <v>380842.25399011379</v>
      </c>
      <c r="D898" s="233"/>
      <c r="E898" s="232">
        <f t="shared" si="101"/>
        <v>0</v>
      </c>
    </row>
    <row r="899" spans="1:5" x14ac:dyDescent="0.25">
      <c r="A899" s="150">
        <v>894</v>
      </c>
      <c r="B899" s="10" t="s">
        <v>928</v>
      </c>
      <c r="C899" s="236">
        <v>262203.83050707349</v>
      </c>
      <c r="D899" s="233"/>
      <c r="E899" s="232">
        <f t="shared" si="101"/>
        <v>0</v>
      </c>
    </row>
    <row r="900" spans="1:5" x14ac:dyDescent="0.25">
      <c r="A900" s="150">
        <v>895</v>
      </c>
      <c r="B900" s="10" t="s">
        <v>929</v>
      </c>
      <c r="C900" s="236">
        <v>15541.772629089175</v>
      </c>
      <c r="D900" s="233"/>
      <c r="E900" s="232">
        <f t="shared" si="101"/>
        <v>0</v>
      </c>
    </row>
    <row r="901" spans="1:5" x14ac:dyDescent="0.25">
      <c r="A901" s="150">
        <v>896</v>
      </c>
      <c r="B901" s="10" t="s">
        <v>930</v>
      </c>
      <c r="C901" s="236">
        <v>10170.720664520642</v>
      </c>
      <c r="D901" s="233"/>
      <c r="E901" s="232">
        <f t="shared" si="101"/>
        <v>0</v>
      </c>
    </row>
    <row r="902" spans="1:5" x14ac:dyDescent="0.25">
      <c r="A902" s="150">
        <v>897</v>
      </c>
      <c r="B902" s="10" t="s">
        <v>931</v>
      </c>
      <c r="C902" s="236">
        <v>14010.346101745725</v>
      </c>
      <c r="D902" s="233"/>
      <c r="E902" s="232">
        <f t="shared" si="101"/>
        <v>0</v>
      </c>
    </row>
    <row r="903" spans="1:5" x14ac:dyDescent="0.25">
      <c r="A903" s="150">
        <v>898</v>
      </c>
      <c r="B903" s="10" t="s">
        <v>932</v>
      </c>
      <c r="C903" s="236">
        <v>133437.74679412702</v>
      </c>
      <c r="D903" s="233"/>
      <c r="E903" s="232">
        <f t="shared" ref="E903:E966" si="102">D903/C903</f>
        <v>0</v>
      </c>
    </row>
    <row r="904" spans="1:5" x14ac:dyDescent="0.25">
      <c r="A904" s="150">
        <v>899</v>
      </c>
      <c r="B904" s="10" t="s">
        <v>1387</v>
      </c>
      <c r="C904" s="236">
        <v>13628.276586364971</v>
      </c>
      <c r="D904" s="233"/>
      <c r="E904" s="232">
        <f t="shared" si="102"/>
        <v>0</v>
      </c>
    </row>
    <row r="905" spans="1:5" x14ac:dyDescent="0.25">
      <c r="A905" s="150">
        <v>900</v>
      </c>
      <c r="B905" s="10" t="s">
        <v>1388</v>
      </c>
      <c r="C905" s="236">
        <v>6109.1873175660121</v>
      </c>
      <c r="D905" s="233"/>
      <c r="E905" s="232">
        <f t="shared" si="102"/>
        <v>0</v>
      </c>
    </row>
    <row r="906" spans="1:5" x14ac:dyDescent="0.25">
      <c r="A906" s="150">
        <v>901</v>
      </c>
      <c r="B906" s="10" t="s">
        <v>1389</v>
      </c>
      <c r="C906" s="236">
        <v>7130.9046931762568</v>
      </c>
      <c r="D906" s="233"/>
      <c r="E906" s="232">
        <f t="shared" si="102"/>
        <v>0</v>
      </c>
    </row>
    <row r="907" spans="1:5" x14ac:dyDescent="0.25">
      <c r="A907" s="150">
        <v>902</v>
      </c>
      <c r="B907" s="10" t="s">
        <v>1390</v>
      </c>
      <c r="C907" s="236">
        <v>9999.3229321287745</v>
      </c>
      <c r="D907" s="233"/>
      <c r="E907" s="232">
        <f t="shared" si="102"/>
        <v>0</v>
      </c>
    </row>
    <row r="908" spans="1:5" x14ac:dyDescent="0.25">
      <c r="A908" s="150">
        <v>903</v>
      </c>
      <c r="B908" s="10" t="s">
        <v>1391</v>
      </c>
      <c r="C908" s="236">
        <v>17090.138639763198</v>
      </c>
      <c r="D908" s="233"/>
      <c r="E908" s="232">
        <f t="shared" si="102"/>
        <v>0</v>
      </c>
    </row>
    <row r="909" spans="1:5" x14ac:dyDescent="0.25">
      <c r="A909" s="150">
        <v>904</v>
      </c>
      <c r="B909" s="10" t="s">
        <v>1392</v>
      </c>
      <c r="C909" s="236">
        <v>20318.099879459252</v>
      </c>
      <c r="D909" s="233"/>
      <c r="E909" s="232">
        <f t="shared" si="102"/>
        <v>0</v>
      </c>
    </row>
    <row r="910" spans="1:5" x14ac:dyDescent="0.25">
      <c r="A910" s="150">
        <v>905</v>
      </c>
      <c r="B910" s="10" t="s">
        <v>1393</v>
      </c>
      <c r="C910" s="236">
        <v>28497.040351744974</v>
      </c>
      <c r="D910" s="233"/>
      <c r="E910" s="232">
        <f t="shared" si="102"/>
        <v>0</v>
      </c>
    </row>
    <row r="911" spans="1:5" x14ac:dyDescent="0.25">
      <c r="A911" s="150">
        <v>906</v>
      </c>
      <c r="B911" s="10" t="s">
        <v>1394</v>
      </c>
      <c r="C911" s="236">
        <v>22877.334393494522</v>
      </c>
      <c r="D911" s="233"/>
      <c r="E911" s="232">
        <f t="shared" si="102"/>
        <v>0</v>
      </c>
    </row>
    <row r="912" spans="1:5" x14ac:dyDescent="0.25">
      <c r="A912" s="150">
        <v>907</v>
      </c>
      <c r="B912" s="10" t="s">
        <v>1395</v>
      </c>
      <c r="C912" s="236">
        <v>52481.815894162399</v>
      </c>
      <c r="D912" s="233"/>
      <c r="E912" s="232">
        <f t="shared" si="102"/>
        <v>0</v>
      </c>
    </row>
    <row r="913" spans="1:5" x14ac:dyDescent="0.25">
      <c r="A913" s="150">
        <v>908</v>
      </c>
      <c r="B913" s="10" t="s">
        <v>1396</v>
      </c>
      <c r="C913" s="236">
        <v>165681.7907802127</v>
      </c>
      <c r="D913" s="233"/>
      <c r="E913" s="232">
        <f t="shared" si="102"/>
        <v>0</v>
      </c>
    </row>
    <row r="914" spans="1:5" x14ac:dyDescent="0.25">
      <c r="A914" s="150">
        <v>909</v>
      </c>
      <c r="B914" s="10" t="s">
        <v>1397</v>
      </c>
      <c r="C914" s="236">
        <v>7859.8935984729178</v>
      </c>
      <c r="D914" s="233"/>
      <c r="E914" s="232">
        <f t="shared" si="102"/>
        <v>0</v>
      </c>
    </row>
    <row r="915" spans="1:5" x14ac:dyDescent="0.25">
      <c r="A915" s="150">
        <v>910</v>
      </c>
      <c r="B915" s="10" t="s">
        <v>1398</v>
      </c>
      <c r="C915" s="236">
        <v>19608.846474975824</v>
      </c>
      <c r="D915" s="233"/>
      <c r="E915" s="232">
        <f t="shared" si="102"/>
        <v>0</v>
      </c>
    </row>
    <row r="916" spans="1:5" x14ac:dyDescent="0.25">
      <c r="A916" s="150">
        <v>911</v>
      </c>
      <c r="B916" s="10" t="s">
        <v>1399</v>
      </c>
      <c r="C916" s="236">
        <v>8611.2098935776776</v>
      </c>
      <c r="D916" s="233"/>
      <c r="E916" s="232">
        <f t="shared" si="102"/>
        <v>0</v>
      </c>
    </row>
    <row r="917" spans="1:5" x14ac:dyDescent="0.25">
      <c r="A917" s="150">
        <v>912</v>
      </c>
      <c r="B917" s="10" t="s">
        <v>1400</v>
      </c>
      <c r="C917" s="236">
        <v>26074.824666743869</v>
      </c>
      <c r="D917" s="233"/>
      <c r="E917" s="232">
        <f t="shared" si="102"/>
        <v>0</v>
      </c>
    </row>
    <row r="918" spans="1:5" x14ac:dyDescent="0.25">
      <c r="A918" s="150">
        <v>913</v>
      </c>
      <c r="B918" s="10" t="s">
        <v>1401</v>
      </c>
      <c r="C918" s="236">
        <v>3153.319484058331</v>
      </c>
      <c r="D918" s="233"/>
      <c r="E918" s="232">
        <f t="shared" si="102"/>
        <v>0</v>
      </c>
    </row>
    <row r="919" spans="1:5" x14ac:dyDescent="0.25">
      <c r="A919" s="150">
        <v>914</v>
      </c>
      <c r="B919" s="10" t="s">
        <v>1402</v>
      </c>
      <c r="C919" s="236">
        <v>8689.0634713131112</v>
      </c>
      <c r="D919" s="233"/>
      <c r="E919" s="232">
        <f t="shared" si="102"/>
        <v>0</v>
      </c>
    </row>
    <row r="920" spans="1:5" x14ac:dyDescent="0.25">
      <c r="A920" s="150">
        <v>915</v>
      </c>
      <c r="B920" s="10" t="s">
        <v>1403</v>
      </c>
      <c r="C920" s="236">
        <v>8627.9932943114436</v>
      </c>
      <c r="D920" s="233"/>
      <c r="E920" s="232">
        <f t="shared" si="102"/>
        <v>0</v>
      </c>
    </row>
    <row r="921" spans="1:5" x14ac:dyDescent="0.25">
      <c r="A921" s="150">
        <v>916</v>
      </c>
      <c r="B921" s="10" t="s">
        <v>1404</v>
      </c>
      <c r="C921" s="236">
        <v>17873.52043322775</v>
      </c>
      <c r="D921" s="233"/>
      <c r="E921" s="232">
        <f t="shared" si="102"/>
        <v>0</v>
      </c>
    </row>
    <row r="922" spans="1:5" x14ac:dyDescent="0.25">
      <c r="A922" s="150">
        <v>917</v>
      </c>
      <c r="B922" s="10" t="s">
        <v>1405</v>
      </c>
      <c r="C922" s="236">
        <v>29775.679694146147</v>
      </c>
      <c r="D922" s="233"/>
      <c r="E922" s="232">
        <f t="shared" si="102"/>
        <v>0</v>
      </c>
    </row>
    <row r="923" spans="1:5" x14ac:dyDescent="0.25">
      <c r="A923" s="150">
        <v>918</v>
      </c>
      <c r="B923" s="10" t="s">
        <v>1406</v>
      </c>
      <c r="C923" s="236">
        <v>29410.916064941684</v>
      </c>
      <c r="D923" s="233"/>
      <c r="E923" s="232">
        <f t="shared" si="102"/>
        <v>0</v>
      </c>
    </row>
    <row r="924" spans="1:5" x14ac:dyDescent="0.25">
      <c r="A924" s="150">
        <v>919</v>
      </c>
      <c r="B924" s="10" t="s">
        <v>1407</v>
      </c>
      <c r="C924" s="236">
        <v>732996.31591373682</v>
      </c>
      <c r="D924" s="233"/>
      <c r="E924" s="232">
        <f t="shared" si="102"/>
        <v>0</v>
      </c>
    </row>
    <row r="925" spans="1:5" x14ac:dyDescent="0.25">
      <c r="A925" s="150">
        <v>920</v>
      </c>
      <c r="B925" s="10" t="s">
        <v>1408</v>
      </c>
      <c r="C925" s="236">
        <v>2121552.6042836122</v>
      </c>
      <c r="D925" s="233"/>
      <c r="E925" s="232">
        <f t="shared" si="102"/>
        <v>0</v>
      </c>
    </row>
    <row r="926" spans="1:5" x14ac:dyDescent="0.25">
      <c r="A926" s="150">
        <v>921</v>
      </c>
      <c r="B926" s="10" t="s">
        <v>1409</v>
      </c>
      <c r="C926" s="236">
        <v>1652174.9367539734</v>
      </c>
      <c r="D926" s="233"/>
      <c r="E926" s="232">
        <f t="shared" si="102"/>
        <v>0</v>
      </c>
    </row>
    <row r="927" spans="1:5" x14ac:dyDescent="0.25">
      <c r="A927" s="150">
        <v>922</v>
      </c>
      <c r="B927" s="10" t="s">
        <v>1410</v>
      </c>
      <c r="C927" s="236">
        <v>1613037.0431677846</v>
      </c>
      <c r="D927" s="233"/>
      <c r="E927" s="232">
        <f t="shared" si="102"/>
        <v>0</v>
      </c>
    </row>
    <row r="928" spans="1:5" x14ac:dyDescent="0.25">
      <c r="A928" s="150">
        <v>923</v>
      </c>
      <c r="B928" s="10" t="s">
        <v>1411</v>
      </c>
      <c r="C928" s="236">
        <v>2594773.4229753925</v>
      </c>
      <c r="D928" s="233"/>
      <c r="E928" s="232">
        <f t="shared" si="102"/>
        <v>0</v>
      </c>
    </row>
    <row r="929" spans="1:5" x14ac:dyDescent="0.25">
      <c r="A929" s="150">
        <v>924</v>
      </c>
      <c r="B929" s="10" t="s">
        <v>1412</v>
      </c>
      <c r="C929" s="236">
        <v>2046206.8098242134</v>
      </c>
      <c r="D929" s="233"/>
      <c r="E929" s="232">
        <f t="shared" si="102"/>
        <v>0</v>
      </c>
    </row>
    <row r="930" spans="1:5" x14ac:dyDescent="0.25">
      <c r="A930" s="150">
        <v>925</v>
      </c>
      <c r="B930" s="10" t="s">
        <v>1413</v>
      </c>
      <c r="C930" s="236">
        <v>2478065.2557156375</v>
      </c>
      <c r="D930" s="233"/>
      <c r="E930" s="232">
        <f t="shared" si="102"/>
        <v>0</v>
      </c>
    </row>
    <row r="931" spans="1:5" x14ac:dyDescent="0.25">
      <c r="A931" s="150">
        <v>926</v>
      </c>
      <c r="B931" s="10" t="s">
        <v>1414</v>
      </c>
      <c r="C931" s="236">
        <v>1818665.1383879627</v>
      </c>
      <c r="D931" s="233"/>
      <c r="E931" s="232">
        <f t="shared" si="102"/>
        <v>0</v>
      </c>
    </row>
    <row r="932" spans="1:5" x14ac:dyDescent="0.25">
      <c r="A932" s="150">
        <v>927</v>
      </c>
      <c r="B932" s="10" t="s">
        <v>1415</v>
      </c>
      <c r="C932" s="236">
        <v>1700814.9270337834</v>
      </c>
      <c r="D932" s="233"/>
      <c r="E932" s="232">
        <f t="shared" si="102"/>
        <v>0</v>
      </c>
    </row>
    <row r="933" spans="1:5" x14ac:dyDescent="0.25">
      <c r="A933" s="150">
        <v>928</v>
      </c>
      <c r="B933" s="10" t="s">
        <v>1416</v>
      </c>
      <c r="C933" s="236">
        <v>1974549.1715695276</v>
      </c>
      <c r="D933" s="233"/>
      <c r="E933" s="232">
        <f t="shared" si="102"/>
        <v>0</v>
      </c>
    </row>
    <row r="934" spans="1:5" x14ac:dyDescent="0.25">
      <c r="A934" s="150">
        <v>929</v>
      </c>
      <c r="B934" s="10" t="s">
        <v>1417</v>
      </c>
      <c r="C934" s="236">
        <v>0</v>
      </c>
      <c r="D934" s="233"/>
      <c r="E934" s="232" t="e">
        <f t="shared" si="102"/>
        <v>#DIV/0!</v>
      </c>
    </row>
    <row r="935" spans="1:5" x14ac:dyDescent="0.25">
      <c r="A935" s="150">
        <v>930</v>
      </c>
      <c r="B935" s="10" t="s">
        <v>1418</v>
      </c>
      <c r="C935" s="236">
        <v>0</v>
      </c>
      <c r="D935" s="233"/>
      <c r="E935" s="232" t="e">
        <f t="shared" si="102"/>
        <v>#DIV/0!</v>
      </c>
    </row>
    <row r="936" spans="1:5" x14ac:dyDescent="0.25">
      <c r="A936" s="150">
        <v>931</v>
      </c>
      <c r="B936" s="10" t="s">
        <v>933</v>
      </c>
      <c r="C936" s="236">
        <v>300535.44354236108</v>
      </c>
      <c r="D936" s="233"/>
      <c r="E936" s="232">
        <f t="shared" si="102"/>
        <v>0</v>
      </c>
    </row>
    <row r="937" spans="1:5" x14ac:dyDescent="0.25">
      <c r="A937" s="150">
        <v>932</v>
      </c>
      <c r="B937" s="10" t="s">
        <v>934</v>
      </c>
      <c r="C937" s="236">
        <v>170915.25323588587</v>
      </c>
      <c r="D937" s="233"/>
      <c r="E937" s="232">
        <f t="shared" si="102"/>
        <v>0</v>
      </c>
    </row>
    <row r="938" spans="1:5" x14ac:dyDescent="0.25">
      <c r="A938" s="150">
        <v>933</v>
      </c>
      <c r="B938" s="10" t="s">
        <v>935</v>
      </c>
      <c r="C938" s="236">
        <v>2246178.5421797773</v>
      </c>
      <c r="D938" s="233"/>
      <c r="E938" s="232">
        <f t="shared" si="102"/>
        <v>0</v>
      </c>
    </row>
    <row r="939" spans="1:5" x14ac:dyDescent="0.25">
      <c r="A939" s="150">
        <v>934</v>
      </c>
      <c r="B939" s="10" t="s">
        <v>936</v>
      </c>
      <c r="C939" s="236">
        <v>1774809.1537991019</v>
      </c>
      <c r="D939" s="233"/>
      <c r="E939" s="232">
        <f t="shared" si="102"/>
        <v>0</v>
      </c>
    </row>
    <row r="940" spans="1:5" x14ac:dyDescent="0.25">
      <c r="A940" s="150">
        <v>935</v>
      </c>
      <c r="B940" s="10" t="s">
        <v>937</v>
      </c>
      <c r="C940" s="236">
        <v>5351723.6373953326</v>
      </c>
      <c r="D940" s="233"/>
      <c r="E940" s="232">
        <f t="shared" si="102"/>
        <v>0</v>
      </c>
    </row>
    <row r="941" spans="1:5" x14ac:dyDescent="0.25">
      <c r="A941" s="150">
        <v>936</v>
      </c>
      <c r="B941" s="10" t="s">
        <v>938</v>
      </c>
      <c r="C941" s="236">
        <v>5136249.8901870875</v>
      </c>
      <c r="D941" s="233"/>
      <c r="E941" s="232">
        <f t="shared" si="102"/>
        <v>0</v>
      </c>
    </row>
    <row r="942" spans="1:5" x14ac:dyDescent="0.25">
      <c r="A942" s="150">
        <v>937</v>
      </c>
      <c r="B942" s="10" t="s">
        <v>939</v>
      </c>
      <c r="C942" s="236">
        <v>8320402.0070516374</v>
      </c>
      <c r="D942" s="233"/>
      <c r="E942" s="232">
        <f t="shared" si="102"/>
        <v>0</v>
      </c>
    </row>
    <row r="943" spans="1:5" x14ac:dyDescent="0.25">
      <c r="A943" s="150">
        <v>938</v>
      </c>
      <c r="B943" s="10" t="s">
        <v>940</v>
      </c>
      <c r="C943" s="236">
        <v>7304533.361923147</v>
      </c>
      <c r="D943" s="233"/>
      <c r="E943" s="232">
        <f t="shared" si="102"/>
        <v>0</v>
      </c>
    </row>
    <row r="944" spans="1:5" x14ac:dyDescent="0.25">
      <c r="A944" s="150">
        <v>939</v>
      </c>
      <c r="B944" s="10" t="s">
        <v>941</v>
      </c>
      <c r="C944" s="236">
        <v>8832985.7037020288</v>
      </c>
      <c r="D944" s="233"/>
      <c r="E944" s="232">
        <f t="shared" si="102"/>
        <v>0</v>
      </c>
    </row>
    <row r="945" spans="1:5" x14ac:dyDescent="0.25">
      <c r="A945" s="150">
        <v>940</v>
      </c>
      <c r="B945" s="10" t="s">
        <v>942</v>
      </c>
      <c r="C945" s="236">
        <v>6651970.3629775597</v>
      </c>
      <c r="D945" s="233"/>
      <c r="E945" s="232">
        <f t="shared" si="102"/>
        <v>0</v>
      </c>
    </row>
    <row r="946" spans="1:5" x14ac:dyDescent="0.25">
      <c r="A946" s="150">
        <v>941</v>
      </c>
      <c r="B946" s="10" t="s">
        <v>943</v>
      </c>
      <c r="C946" s="236">
        <v>7027645.8680614056</v>
      </c>
      <c r="D946" s="233"/>
      <c r="E946" s="232">
        <f t="shared" si="102"/>
        <v>0</v>
      </c>
    </row>
    <row r="947" spans="1:5" x14ac:dyDescent="0.25">
      <c r="A947" s="150">
        <v>942</v>
      </c>
      <c r="B947" s="10" t="s">
        <v>944</v>
      </c>
      <c r="C947" s="236">
        <v>5849988.4541508248</v>
      </c>
      <c r="D947" s="233"/>
      <c r="E947" s="232">
        <f t="shared" si="102"/>
        <v>0</v>
      </c>
    </row>
    <row r="948" spans="1:5" x14ac:dyDescent="0.25">
      <c r="A948" s="150">
        <v>943</v>
      </c>
      <c r="B948" s="10" t="s">
        <v>945</v>
      </c>
      <c r="C948" s="236">
        <v>4041303.5908297002</v>
      </c>
      <c r="D948" s="233"/>
      <c r="E948" s="232">
        <f t="shared" si="102"/>
        <v>0</v>
      </c>
    </row>
    <row r="949" spans="1:5" x14ac:dyDescent="0.25">
      <c r="A949" s="150">
        <v>944</v>
      </c>
      <c r="B949" s="10" t="s">
        <v>946</v>
      </c>
      <c r="C949" s="236">
        <v>3834524.3091259273</v>
      </c>
      <c r="D949" s="233"/>
      <c r="E949" s="232">
        <f t="shared" si="102"/>
        <v>0</v>
      </c>
    </row>
    <row r="950" spans="1:5" x14ac:dyDescent="0.25">
      <c r="A950" s="150">
        <v>945</v>
      </c>
      <c r="B950" s="10" t="s">
        <v>947</v>
      </c>
      <c r="C950" s="236">
        <v>1501635.3464174501</v>
      </c>
      <c r="D950" s="233"/>
      <c r="E950" s="232">
        <f t="shared" si="102"/>
        <v>0</v>
      </c>
    </row>
    <row r="951" spans="1:5" x14ac:dyDescent="0.25">
      <c r="A951" s="150">
        <v>946</v>
      </c>
      <c r="B951" s="10" t="s">
        <v>948</v>
      </c>
      <c r="C951" s="236">
        <v>1338723.292021737</v>
      </c>
      <c r="D951" s="233"/>
      <c r="E951" s="232">
        <f t="shared" si="102"/>
        <v>0</v>
      </c>
    </row>
    <row r="952" spans="1:5" x14ac:dyDescent="0.25">
      <c r="A952" s="150">
        <v>947</v>
      </c>
      <c r="B952" s="10" t="s">
        <v>949</v>
      </c>
      <c r="C952" s="236">
        <v>198733.85103210813</v>
      </c>
      <c r="D952" s="233"/>
      <c r="E952" s="232">
        <f t="shared" si="102"/>
        <v>0</v>
      </c>
    </row>
    <row r="953" spans="1:5" x14ac:dyDescent="0.25">
      <c r="A953" s="150">
        <v>948</v>
      </c>
      <c r="B953" s="10" t="s">
        <v>950</v>
      </c>
      <c r="C953" s="236">
        <v>126345.79111138819</v>
      </c>
      <c r="D953" s="233"/>
      <c r="E953" s="232">
        <f t="shared" si="102"/>
        <v>0</v>
      </c>
    </row>
    <row r="954" spans="1:5" x14ac:dyDescent="0.25">
      <c r="A954" s="150">
        <v>949</v>
      </c>
      <c r="B954" s="10" t="s">
        <v>951</v>
      </c>
      <c r="C954" s="236">
        <v>13924.96531683365</v>
      </c>
      <c r="D954" s="233"/>
      <c r="E954" s="232">
        <f t="shared" si="102"/>
        <v>0</v>
      </c>
    </row>
    <row r="955" spans="1:5" x14ac:dyDescent="0.25">
      <c r="A955" s="150">
        <v>950</v>
      </c>
      <c r="B955" s="10" t="s">
        <v>952</v>
      </c>
      <c r="C955" s="236">
        <v>15618.582917968277</v>
      </c>
      <c r="D955" s="233"/>
      <c r="E955" s="232">
        <f t="shared" si="102"/>
        <v>0</v>
      </c>
    </row>
    <row r="956" spans="1:5" x14ac:dyDescent="0.25">
      <c r="A956" s="150">
        <v>951</v>
      </c>
      <c r="B956" s="10" t="s">
        <v>1419</v>
      </c>
      <c r="C956" s="236">
        <v>25344.811153991377</v>
      </c>
      <c r="D956" s="233"/>
      <c r="E956" s="232">
        <f t="shared" si="102"/>
        <v>0</v>
      </c>
    </row>
    <row r="957" spans="1:5" x14ac:dyDescent="0.25">
      <c r="A957" s="150">
        <v>952</v>
      </c>
      <c r="B957" s="10" t="s">
        <v>1420</v>
      </c>
      <c r="C957" s="236">
        <v>87453.145154480371</v>
      </c>
      <c r="D957" s="233"/>
      <c r="E957" s="232">
        <f t="shared" si="102"/>
        <v>0</v>
      </c>
    </row>
    <row r="958" spans="1:5" x14ac:dyDescent="0.25">
      <c r="A958" s="150">
        <v>953</v>
      </c>
      <c r="B958" s="10" t="s">
        <v>1421</v>
      </c>
      <c r="C958" s="236">
        <v>2157.9678124235952</v>
      </c>
      <c r="D958" s="233"/>
      <c r="E958" s="232">
        <f t="shared" si="102"/>
        <v>0</v>
      </c>
    </row>
    <row r="959" spans="1:5" x14ac:dyDescent="0.25">
      <c r="A959" s="150">
        <v>954</v>
      </c>
      <c r="B959" s="10" t="s">
        <v>1422</v>
      </c>
      <c r="C959" s="236">
        <v>10535.27361868275</v>
      </c>
      <c r="D959" s="233"/>
      <c r="E959" s="232">
        <f t="shared" si="102"/>
        <v>0</v>
      </c>
    </row>
    <row r="960" spans="1:5" x14ac:dyDescent="0.25">
      <c r="A960" s="150">
        <v>955</v>
      </c>
      <c r="B960" s="10" t="s">
        <v>1423</v>
      </c>
      <c r="C960" s="236">
        <v>5328.1746025391503</v>
      </c>
      <c r="D960" s="233"/>
      <c r="E960" s="232">
        <f t="shared" si="102"/>
        <v>0</v>
      </c>
    </row>
    <row r="961" spans="1:5" x14ac:dyDescent="0.25">
      <c r="A961" s="150">
        <v>956</v>
      </c>
      <c r="B961" s="10" t="s">
        <v>1424</v>
      </c>
      <c r="C961" s="236">
        <v>14699.461031921444</v>
      </c>
      <c r="D961" s="233"/>
      <c r="E961" s="232">
        <f t="shared" si="102"/>
        <v>0</v>
      </c>
    </row>
    <row r="962" spans="1:5" x14ac:dyDescent="0.25">
      <c r="A962" s="150">
        <v>957</v>
      </c>
      <c r="B962" s="10" t="s">
        <v>1425</v>
      </c>
      <c r="C962" s="236">
        <v>15381.296380127525</v>
      </c>
      <c r="D962" s="233"/>
      <c r="E962" s="232">
        <f t="shared" si="102"/>
        <v>0</v>
      </c>
    </row>
    <row r="963" spans="1:5" x14ac:dyDescent="0.25">
      <c r="A963" s="150">
        <v>958</v>
      </c>
      <c r="B963" s="10" t="s">
        <v>1426</v>
      </c>
      <c r="C963" s="236">
        <v>14075.71828591888</v>
      </c>
      <c r="D963" s="233"/>
      <c r="E963" s="232">
        <f t="shared" si="102"/>
        <v>0</v>
      </c>
    </row>
    <row r="964" spans="1:5" x14ac:dyDescent="0.25">
      <c r="A964" s="150">
        <v>959</v>
      </c>
      <c r="B964" s="10" t="s">
        <v>1427</v>
      </c>
      <c r="C964" s="236">
        <v>34897.334571394967</v>
      </c>
      <c r="D964" s="233"/>
      <c r="E964" s="232">
        <f t="shared" si="102"/>
        <v>0</v>
      </c>
    </row>
    <row r="965" spans="1:5" x14ac:dyDescent="0.25">
      <c r="A965" s="150">
        <v>960</v>
      </c>
      <c r="B965" s="10" t="s">
        <v>1428</v>
      </c>
      <c r="C965" s="236">
        <v>20291.518855362661</v>
      </c>
      <c r="D965" s="233"/>
      <c r="E965" s="232">
        <f t="shared" si="102"/>
        <v>0</v>
      </c>
    </row>
    <row r="966" spans="1:5" x14ac:dyDescent="0.25">
      <c r="A966" s="150">
        <v>961</v>
      </c>
      <c r="B966" s="10" t="s">
        <v>1429</v>
      </c>
      <c r="C966" s="236">
        <v>65545.018808728099</v>
      </c>
      <c r="D966" s="233"/>
      <c r="E966" s="232">
        <f t="shared" si="102"/>
        <v>0</v>
      </c>
    </row>
    <row r="967" spans="1:5" x14ac:dyDescent="0.25">
      <c r="A967" s="150">
        <v>962</v>
      </c>
      <c r="B967" s="10" t="s">
        <v>1430</v>
      </c>
      <c r="C967" s="236">
        <v>154615.88366226124</v>
      </c>
      <c r="D967" s="233"/>
      <c r="E967" s="232">
        <f t="shared" ref="E967:E1030" si="103">D967/C967</f>
        <v>0</v>
      </c>
    </row>
    <row r="968" spans="1:5" x14ac:dyDescent="0.25">
      <c r="A968" s="150">
        <v>963</v>
      </c>
      <c r="B968" s="10" t="s">
        <v>1431</v>
      </c>
      <c r="C968" s="236">
        <v>2283.0202846297625</v>
      </c>
      <c r="D968" s="233"/>
      <c r="E968" s="232">
        <f t="shared" si="103"/>
        <v>0</v>
      </c>
    </row>
    <row r="969" spans="1:5" x14ac:dyDescent="0.25">
      <c r="A969" s="150">
        <v>964</v>
      </c>
      <c r="B969" s="10" t="s">
        <v>1432</v>
      </c>
      <c r="C969" s="236">
        <v>11962.676525512485</v>
      </c>
      <c r="D969" s="233"/>
      <c r="E969" s="232">
        <f t="shared" si="103"/>
        <v>0</v>
      </c>
    </row>
    <row r="970" spans="1:5" x14ac:dyDescent="0.25">
      <c r="A970" s="150">
        <v>965</v>
      </c>
      <c r="B970" s="10" t="s">
        <v>1433</v>
      </c>
      <c r="C970" s="236">
        <v>13317.34212542732</v>
      </c>
      <c r="D970" s="233"/>
      <c r="E970" s="232">
        <f t="shared" si="103"/>
        <v>0</v>
      </c>
    </row>
    <row r="971" spans="1:5" x14ac:dyDescent="0.25">
      <c r="A971" s="150">
        <v>966</v>
      </c>
      <c r="B971" s="10" t="s">
        <v>1434</v>
      </c>
      <c r="C971" s="236">
        <v>11133.5489988099</v>
      </c>
      <c r="D971" s="233"/>
      <c r="E971" s="232">
        <f t="shared" si="103"/>
        <v>0</v>
      </c>
    </row>
    <row r="972" spans="1:5" x14ac:dyDescent="0.25">
      <c r="A972" s="150">
        <v>967</v>
      </c>
      <c r="B972" s="10" t="s">
        <v>1435</v>
      </c>
      <c r="C972" s="236">
        <v>7579.6695588678003</v>
      </c>
      <c r="D972" s="233"/>
      <c r="E972" s="232">
        <f t="shared" si="103"/>
        <v>0</v>
      </c>
    </row>
    <row r="973" spans="1:5" x14ac:dyDescent="0.25">
      <c r="A973" s="150">
        <v>968</v>
      </c>
      <c r="B973" s="10" t="s">
        <v>1436</v>
      </c>
      <c r="C973" s="236">
        <v>26336.882314009821</v>
      </c>
      <c r="D973" s="233"/>
      <c r="E973" s="232">
        <f t="shared" si="103"/>
        <v>0</v>
      </c>
    </row>
    <row r="974" spans="1:5" x14ac:dyDescent="0.25">
      <c r="A974" s="150">
        <v>969</v>
      </c>
      <c r="B974" s="10" t="s">
        <v>1437</v>
      </c>
      <c r="C974" s="236">
        <v>14118.627316406451</v>
      </c>
      <c r="D974" s="233"/>
      <c r="E974" s="232">
        <f t="shared" si="103"/>
        <v>0</v>
      </c>
    </row>
    <row r="975" spans="1:5" x14ac:dyDescent="0.25">
      <c r="A975" s="150">
        <v>970</v>
      </c>
      <c r="B975" s="10" t="s">
        <v>1438</v>
      </c>
      <c r="C975" s="236">
        <v>16822.75993563902</v>
      </c>
      <c r="D975" s="233"/>
      <c r="E975" s="232">
        <f t="shared" si="103"/>
        <v>0</v>
      </c>
    </row>
    <row r="976" spans="1:5" x14ac:dyDescent="0.25">
      <c r="A976" s="150">
        <v>971</v>
      </c>
      <c r="B976" s="10" t="s">
        <v>1439</v>
      </c>
      <c r="C976" s="236">
        <v>3860.1271316530124</v>
      </c>
      <c r="D976" s="233"/>
      <c r="E976" s="232">
        <f t="shared" si="103"/>
        <v>0</v>
      </c>
    </row>
    <row r="977" spans="1:5" x14ac:dyDescent="0.25">
      <c r="A977" s="150">
        <v>972</v>
      </c>
      <c r="B977" s="10" t="s">
        <v>1440</v>
      </c>
      <c r="C977" s="236">
        <v>12116.0735441912</v>
      </c>
      <c r="D977" s="233"/>
      <c r="E977" s="232">
        <f t="shared" si="103"/>
        <v>0</v>
      </c>
    </row>
    <row r="978" spans="1:5" x14ac:dyDescent="0.25">
      <c r="A978" s="150">
        <v>973</v>
      </c>
      <c r="B978" s="10" t="s">
        <v>1441</v>
      </c>
      <c r="C978" s="236">
        <v>13701.722302627462</v>
      </c>
      <c r="D978" s="233"/>
      <c r="E978" s="232">
        <f t="shared" si="103"/>
        <v>0</v>
      </c>
    </row>
    <row r="979" spans="1:5" x14ac:dyDescent="0.25">
      <c r="A979" s="150">
        <v>974</v>
      </c>
      <c r="B979" s="10" t="s">
        <v>1442</v>
      </c>
      <c r="C979" s="236">
        <v>21188.504010566659</v>
      </c>
      <c r="D979" s="233"/>
      <c r="E979" s="232">
        <f t="shared" si="103"/>
        <v>0</v>
      </c>
    </row>
    <row r="980" spans="1:5" x14ac:dyDescent="0.25">
      <c r="A980" s="150">
        <v>975</v>
      </c>
      <c r="B980" s="10" t="s">
        <v>1443</v>
      </c>
      <c r="C980" s="236">
        <v>143040.47777243902</v>
      </c>
      <c r="D980" s="233"/>
      <c r="E980" s="232">
        <f t="shared" si="103"/>
        <v>0</v>
      </c>
    </row>
    <row r="981" spans="1:5" x14ac:dyDescent="0.25">
      <c r="A981" s="150">
        <v>976</v>
      </c>
      <c r="B981" s="10" t="s">
        <v>1444</v>
      </c>
      <c r="C981" s="236">
        <v>153949.94734282981</v>
      </c>
      <c r="D981" s="233"/>
      <c r="E981" s="232">
        <f t="shared" si="103"/>
        <v>0</v>
      </c>
    </row>
    <row r="982" spans="1:5" x14ac:dyDescent="0.25">
      <c r="A982" s="150">
        <v>977</v>
      </c>
      <c r="B982" s="10" t="s">
        <v>1445</v>
      </c>
      <c r="C982" s="236">
        <v>698734.26629815309</v>
      </c>
      <c r="D982" s="233"/>
      <c r="E982" s="232">
        <f t="shared" si="103"/>
        <v>0</v>
      </c>
    </row>
    <row r="983" spans="1:5" x14ac:dyDescent="0.25">
      <c r="A983" s="150">
        <v>978</v>
      </c>
      <c r="B983" s="10" t="s">
        <v>1446</v>
      </c>
      <c r="C983" s="236">
        <v>660356.37415806204</v>
      </c>
      <c r="D983" s="233"/>
      <c r="E983" s="232">
        <f t="shared" si="103"/>
        <v>0</v>
      </c>
    </row>
    <row r="984" spans="1:5" x14ac:dyDescent="0.25">
      <c r="A984" s="150">
        <v>979</v>
      </c>
      <c r="B984" s="10" t="s">
        <v>1447</v>
      </c>
      <c r="C984" s="236">
        <v>1156304.6369563942</v>
      </c>
      <c r="D984" s="233"/>
      <c r="E984" s="232">
        <f t="shared" si="103"/>
        <v>0</v>
      </c>
    </row>
    <row r="985" spans="1:5" x14ac:dyDescent="0.25">
      <c r="A985" s="150">
        <v>980</v>
      </c>
      <c r="B985" s="10" t="s">
        <v>1448</v>
      </c>
      <c r="C985" s="236">
        <v>833998.92257087585</v>
      </c>
      <c r="D985" s="233"/>
      <c r="E985" s="232">
        <f t="shared" si="103"/>
        <v>0</v>
      </c>
    </row>
    <row r="986" spans="1:5" x14ac:dyDescent="0.25">
      <c r="A986" s="150">
        <v>981</v>
      </c>
      <c r="B986" s="10" t="s">
        <v>1449</v>
      </c>
      <c r="C986" s="236">
        <v>804819.94812420127</v>
      </c>
      <c r="D986" s="233"/>
      <c r="E986" s="232">
        <f t="shared" si="103"/>
        <v>0</v>
      </c>
    </row>
    <row r="987" spans="1:5" x14ac:dyDescent="0.25">
      <c r="A987" s="150">
        <v>982</v>
      </c>
      <c r="B987" s="10" t="s">
        <v>1450</v>
      </c>
      <c r="C987" s="236">
        <v>0</v>
      </c>
      <c r="D987" s="233"/>
      <c r="E987" s="232" t="e">
        <f t="shared" si="103"/>
        <v>#DIV/0!</v>
      </c>
    </row>
    <row r="988" spans="1:5" x14ac:dyDescent="0.25">
      <c r="A988" s="150">
        <v>983</v>
      </c>
      <c r="B988" s="10" t="s">
        <v>1451</v>
      </c>
      <c r="C988" s="236">
        <v>0</v>
      </c>
      <c r="D988" s="233"/>
      <c r="E988" s="232" t="e">
        <f t="shared" si="103"/>
        <v>#DIV/0!</v>
      </c>
    </row>
    <row r="989" spans="1:5" x14ac:dyDescent="0.25">
      <c r="A989" s="150">
        <v>984</v>
      </c>
      <c r="B989" s="10" t="s">
        <v>1452</v>
      </c>
      <c r="C989" s="236">
        <v>0</v>
      </c>
      <c r="D989" s="233"/>
      <c r="E989" s="232" t="e">
        <f t="shared" si="103"/>
        <v>#DIV/0!</v>
      </c>
    </row>
    <row r="990" spans="1:5" x14ac:dyDescent="0.25">
      <c r="A990" s="150">
        <v>985</v>
      </c>
      <c r="B990" s="10" t="s">
        <v>953</v>
      </c>
      <c r="C990" s="236">
        <v>46906.257880965117</v>
      </c>
      <c r="D990" s="233"/>
      <c r="E990" s="232">
        <f t="shared" si="103"/>
        <v>0</v>
      </c>
    </row>
    <row r="991" spans="1:5" x14ac:dyDescent="0.25">
      <c r="A991" s="150">
        <v>986</v>
      </c>
      <c r="B991" s="10" t="s">
        <v>954</v>
      </c>
      <c r="C991" s="236">
        <v>16764.264588746009</v>
      </c>
      <c r="D991" s="233"/>
      <c r="E991" s="232">
        <f t="shared" si="103"/>
        <v>0</v>
      </c>
    </row>
    <row r="992" spans="1:5" x14ac:dyDescent="0.25">
      <c r="A992" s="150">
        <v>987</v>
      </c>
      <c r="B992" s="10" t="s">
        <v>955</v>
      </c>
      <c r="C992" s="236">
        <v>1144077.7810395665</v>
      </c>
      <c r="D992" s="233"/>
      <c r="E992" s="232">
        <f t="shared" si="103"/>
        <v>0</v>
      </c>
    </row>
    <row r="993" spans="1:5" x14ac:dyDescent="0.25">
      <c r="A993" s="150">
        <v>988</v>
      </c>
      <c r="B993" s="10" t="s">
        <v>956</v>
      </c>
      <c r="C993" s="236">
        <v>905812.34249915928</v>
      </c>
      <c r="D993" s="233"/>
      <c r="E993" s="232">
        <f t="shared" si="103"/>
        <v>0</v>
      </c>
    </row>
    <row r="994" spans="1:5" x14ac:dyDescent="0.25">
      <c r="A994" s="150">
        <v>989</v>
      </c>
      <c r="B994" s="10" t="s">
        <v>957</v>
      </c>
      <c r="C994" s="236">
        <v>2952875.9475742858</v>
      </c>
      <c r="D994" s="233"/>
      <c r="E994" s="232">
        <f t="shared" si="103"/>
        <v>0</v>
      </c>
    </row>
    <row r="995" spans="1:5" x14ac:dyDescent="0.25">
      <c r="A995" s="150">
        <v>990</v>
      </c>
      <c r="B995" s="10" t="s">
        <v>958</v>
      </c>
      <c r="C995" s="236">
        <v>2846964.3649844509</v>
      </c>
      <c r="D995" s="233"/>
      <c r="E995" s="232">
        <f t="shared" si="103"/>
        <v>0</v>
      </c>
    </row>
    <row r="996" spans="1:5" x14ac:dyDescent="0.25">
      <c r="A996" s="150">
        <v>991</v>
      </c>
      <c r="B996" s="10" t="s">
        <v>959</v>
      </c>
      <c r="C996" s="236">
        <v>5010006.6693854947</v>
      </c>
      <c r="D996" s="233"/>
      <c r="E996" s="232">
        <f t="shared" si="103"/>
        <v>0</v>
      </c>
    </row>
    <row r="997" spans="1:5" x14ac:dyDescent="0.25">
      <c r="A997" s="150">
        <v>992</v>
      </c>
      <c r="B997" s="10" t="s">
        <v>960</v>
      </c>
      <c r="C997" s="236">
        <v>4369846.2061823299</v>
      </c>
      <c r="D997" s="233"/>
      <c r="E997" s="232">
        <f t="shared" si="103"/>
        <v>0</v>
      </c>
    </row>
    <row r="998" spans="1:5" x14ac:dyDescent="0.25">
      <c r="A998" s="150">
        <v>993</v>
      </c>
      <c r="B998" s="10" t="s">
        <v>961</v>
      </c>
      <c r="C998" s="236">
        <v>5639535.5938301096</v>
      </c>
      <c r="D998" s="233"/>
      <c r="E998" s="232">
        <f t="shared" si="103"/>
        <v>0</v>
      </c>
    </row>
    <row r="999" spans="1:5" x14ac:dyDescent="0.25">
      <c r="A999" s="150">
        <v>994</v>
      </c>
      <c r="B999" s="10" t="s">
        <v>962</v>
      </c>
      <c r="C999" s="236">
        <v>4190548.1138041024</v>
      </c>
      <c r="D999" s="233"/>
      <c r="E999" s="232">
        <f t="shared" si="103"/>
        <v>0</v>
      </c>
    </row>
    <row r="1000" spans="1:5" x14ac:dyDescent="0.25">
      <c r="A1000" s="150">
        <v>995</v>
      </c>
      <c r="B1000" s="10" t="s">
        <v>963</v>
      </c>
      <c r="C1000" s="236">
        <v>4437766.1718017776</v>
      </c>
      <c r="D1000" s="233"/>
      <c r="E1000" s="232">
        <f t="shared" si="103"/>
        <v>0</v>
      </c>
    </row>
    <row r="1001" spans="1:5" x14ac:dyDescent="0.25">
      <c r="A1001" s="150">
        <v>996</v>
      </c>
      <c r="B1001" s="10" t="s">
        <v>964</v>
      </c>
      <c r="C1001" s="236">
        <v>3814778.9013489475</v>
      </c>
      <c r="D1001" s="233"/>
      <c r="E1001" s="232">
        <f t="shared" si="103"/>
        <v>0</v>
      </c>
    </row>
    <row r="1002" spans="1:5" x14ac:dyDescent="0.25">
      <c r="A1002" s="150">
        <v>997</v>
      </c>
      <c r="B1002" s="10" t="s">
        <v>965</v>
      </c>
      <c r="C1002" s="236">
        <v>2695026.7497830237</v>
      </c>
      <c r="D1002" s="233"/>
      <c r="E1002" s="232">
        <f t="shared" si="103"/>
        <v>0</v>
      </c>
    </row>
    <row r="1003" spans="1:5" x14ac:dyDescent="0.25">
      <c r="A1003" s="150">
        <v>998</v>
      </c>
      <c r="B1003" s="10" t="s">
        <v>966</v>
      </c>
      <c r="C1003" s="236">
        <v>2553980.0857467363</v>
      </c>
      <c r="D1003" s="233"/>
      <c r="E1003" s="232">
        <f t="shared" si="103"/>
        <v>0</v>
      </c>
    </row>
    <row r="1004" spans="1:5" x14ac:dyDescent="0.25">
      <c r="A1004" s="150">
        <v>999</v>
      </c>
      <c r="B1004" s="10" t="s">
        <v>967</v>
      </c>
      <c r="C1004" s="236">
        <v>879302.56092933915</v>
      </c>
      <c r="D1004" s="233"/>
      <c r="E1004" s="232">
        <f t="shared" si="103"/>
        <v>0</v>
      </c>
    </row>
    <row r="1005" spans="1:5" x14ac:dyDescent="0.25">
      <c r="A1005" s="150">
        <v>1000</v>
      </c>
      <c r="B1005" s="10" t="s">
        <v>968</v>
      </c>
      <c r="C1005" s="236">
        <v>764259.77637642983</v>
      </c>
      <c r="D1005" s="233"/>
      <c r="E1005" s="232">
        <f t="shared" si="103"/>
        <v>0</v>
      </c>
    </row>
    <row r="1006" spans="1:5" x14ac:dyDescent="0.25">
      <c r="A1006" s="150">
        <v>1001</v>
      </c>
      <c r="B1006" s="10" t="s">
        <v>969</v>
      </c>
      <c r="C1006" s="236">
        <v>97224.049591124553</v>
      </c>
      <c r="D1006" s="233"/>
      <c r="E1006" s="232">
        <f t="shared" si="103"/>
        <v>0</v>
      </c>
    </row>
    <row r="1007" spans="1:5" x14ac:dyDescent="0.25">
      <c r="A1007" s="150">
        <v>1002</v>
      </c>
      <c r="B1007" s="10" t="s">
        <v>970</v>
      </c>
      <c r="C1007" s="236">
        <v>80847.789658493653</v>
      </c>
      <c r="D1007" s="233"/>
      <c r="E1007" s="232">
        <f t="shared" si="103"/>
        <v>0</v>
      </c>
    </row>
    <row r="1008" spans="1:5" x14ac:dyDescent="0.25">
      <c r="A1008" s="150">
        <v>1003</v>
      </c>
      <c r="B1008" s="10" t="s">
        <v>971</v>
      </c>
      <c r="C1008" s="236">
        <v>20841.798186706252</v>
      </c>
      <c r="D1008" s="233"/>
      <c r="E1008" s="232">
        <f t="shared" si="103"/>
        <v>0</v>
      </c>
    </row>
    <row r="1009" spans="1:5" x14ac:dyDescent="0.25">
      <c r="A1009" s="150">
        <v>1004</v>
      </c>
      <c r="B1009" s="10" t="s">
        <v>972</v>
      </c>
      <c r="C1009" s="236">
        <v>13791.137212890735</v>
      </c>
      <c r="D1009" s="233"/>
      <c r="E1009" s="232">
        <f t="shared" si="103"/>
        <v>0</v>
      </c>
    </row>
    <row r="1010" spans="1:5" x14ac:dyDescent="0.25">
      <c r="A1010" s="150">
        <v>1005</v>
      </c>
      <c r="B1010" s="10" t="s">
        <v>1453</v>
      </c>
      <c r="C1010" s="236">
        <v>23932.367553451779</v>
      </c>
      <c r="D1010" s="233"/>
      <c r="E1010" s="232">
        <f t="shared" si="103"/>
        <v>0</v>
      </c>
    </row>
    <row r="1011" spans="1:5" x14ac:dyDescent="0.25">
      <c r="A1011" s="150">
        <v>1006</v>
      </c>
      <c r="B1011" s="10" t="s">
        <v>1454</v>
      </c>
      <c r="C1011" s="236">
        <v>64510.469604613376</v>
      </c>
      <c r="D1011" s="233"/>
      <c r="E1011" s="232">
        <f t="shared" si="103"/>
        <v>0</v>
      </c>
    </row>
    <row r="1012" spans="1:5" x14ac:dyDescent="0.25">
      <c r="A1012" s="150">
        <v>1007</v>
      </c>
      <c r="B1012" s="10" t="s">
        <v>1455</v>
      </c>
      <c r="C1012" s="236">
        <v>35980.153457490291</v>
      </c>
      <c r="D1012" s="233"/>
      <c r="E1012" s="232">
        <f t="shared" si="103"/>
        <v>0</v>
      </c>
    </row>
    <row r="1013" spans="1:5" x14ac:dyDescent="0.25">
      <c r="A1013" s="150">
        <v>1008</v>
      </c>
      <c r="B1013" s="10" t="s">
        <v>1456</v>
      </c>
      <c r="C1013" s="236">
        <v>134767.41257244244</v>
      </c>
      <c r="D1013" s="233"/>
      <c r="E1013" s="232">
        <f t="shared" si="103"/>
        <v>0</v>
      </c>
    </row>
    <row r="1014" spans="1:5" x14ac:dyDescent="0.25">
      <c r="A1014" s="150">
        <v>1009</v>
      </c>
      <c r="B1014" s="10" t="s">
        <v>1457</v>
      </c>
      <c r="C1014" s="236">
        <v>1643.9580031127548</v>
      </c>
      <c r="D1014" s="233"/>
      <c r="E1014" s="232">
        <f t="shared" si="103"/>
        <v>0</v>
      </c>
    </row>
    <row r="1015" spans="1:5" x14ac:dyDescent="0.25">
      <c r="A1015" s="150">
        <v>1010</v>
      </c>
      <c r="B1015" s="10" t="s">
        <v>1458</v>
      </c>
      <c r="C1015" s="236">
        <v>6594.8754565429499</v>
      </c>
      <c r="D1015" s="233"/>
      <c r="E1015" s="232">
        <f t="shared" si="103"/>
        <v>0</v>
      </c>
    </row>
    <row r="1016" spans="1:5" x14ac:dyDescent="0.25">
      <c r="A1016" s="150">
        <v>1011</v>
      </c>
      <c r="B1016" s="10" t="s">
        <v>1459</v>
      </c>
      <c r="C1016" s="236">
        <v>27699.270818846944</v>
      </c>
      <c r="D1016" s="233"/>
      <c r="E1016" s="232">
        <f t="shared" si="103"/>
        <v>0</v>
      </c>
    </row>
    <row r="1017" spans="1:5" x14ac:dyDescent="0.25">
      <c r="A1017" s="150">
        <v>1012</v>
      </c>
      <c r="B1017" s="10" t="s">
        <v>1460</v>
      </c>
      <c r="C1017" s="236">
        <v>30270.291646240508</v>
      </c>
      <c r="D1017" s="233"/>
      <c r="E1017" s="232">
        <f t="shared" si="103"/>
        <v>0</v>
      </c>
    </row>
    <row r="1018" spans="1:5" x14ac:dyDescent="0.25">
      <c r="A1018" s="150">
        <v>1013</v>
      </c>
      <c r="B1018" s="10" t="s">
        <v>1461</v>
      </c>
      <c r="C1018" s="236">
        <v>80239.565846347192</v>
      </c>
      <c r="D1018" s="233"/>
      <c r="E1018" s="232">
        <f t="shared" si="103"/>
        <v>0</v>
      </c>
    </row>
    <row r="1019" spans="1:5" x14ac:dyDescent="0.25">
      <c r="A1019" s="150">
        <v>1014</v>
      </c>
      <c r="B1019" s="10" t="s">
        <v>1462</v>
      </c>
      <c r="C1019" s="236">
        <v>42206.0720256653</v>
      </c>
      <c r="D1019" s="233"/>
      <c r="E1019" s="232">
        <f t="shared" si="103"/>
        <v>0</v>
      </c>
    </row>
    <row r="1020" spans="1:5" x14ac:dyDescent="0.25">
      <c r="A1020" s="150">
        <v>1015</v>
      </c>
      <c r="B1020" s="10" t="s">
        <v>1463</v>
      </c>
      <c r="C1020" s="236">
        <v>55220.220492676846</v>
      </c>
      <c r="D1020" s="233"/>
      <c r="E1020" s="232">
        <f t="shared" si="103"/>
        <v>0</v>
      </c>
    </row>
    <row r="1021" spans="1:5" x14ac:dyDescent="0.25">
      <c r="A1021" s="150">
        <v>1016</v>
      </c>
      <c r="B1021" s="10" t="s">
        <v>1464</v>
      </c>
      <c r="C1021" s="236">
        <v>111682.78014581326</v>
      </c>
      <c r="D1021" s="233"/>
      <c r="E1021" s="232">
        <f t="shared" si="103"/>
        <v>0</v>
      </c>
    </row>
    <row r="1022" spans="1:5" x14ac:dyDescent="0.25">
      <c r="A1022" s="150">
        <v>1017</v>
      </c>
      <c r="B1022" s="10" t="s">
        <v>1465</v>
      </c>
      <c r="C1022" s="236">
        <v>6840.7049283445249</v>
      </c>
      <c r="D1022" s="233"/>
      <c r="E1022" s="232">
        <f t="shared" si="103"/>
        <v>0</v>
      </c>
    </row>
    <row r="1023" spans="1:5" x14ac:dyDescent="0.25">
      <c r="A1023" s="150">
        <v>1018</v>
      </c>
      <c r="B1023" s="10" t="s">
        <v>1466</v>
      </c>
      <c r="C1023" s="236">
        <v>8420.7277749022505</v>
      </c>
      <c r="D1023" s="233"/>
      <c r="E1023" s="232">
        <f t="shared" si="103"/>
        <v>0</v>
      </c>
    </row>
    <row r="1024" spans="1:5" x14ac:dyDescent="0.25">
      <c r="A1024" s="150">
        <v>1019</v>
      </c>
      <c r="B1024" s="10" t="s">
        <v>1467</v>
      </c>
      <c r="C1024" s="236">
        <v>5553.7454140933669</v>
      </c>
      <c r="D1024" s="233"/>
      <c r="E1024" s="232">
        <f t="shared" si="103"/>
        <v>0</v>
      </c>
    </row>
    <row r="1025" spans="1:5" x14ac:dyDescent="0.25">
      <c r="A1025" s="150">
        <v>1020</v>
      </c>
      <c r="B1025" s="10" t="s">
        <v>1468</v>
      </c>
      <c r="C1025" s="236">
        <v>6494.6258653564273</v>
      </c>
      <c r="D1025" s="233"/>
      <c r="E1025" s="232">
        <f t="shared" si="103"/>
        <v>0</v>
      </c>
    </row>
    <row r="1026" spans="1:5" x14ac:dyDescent="0.25">
      <c r="A1026" s="150">
        <v>1021</v>
      </c>
      <c r="B1026" s="10" t="s">
        <v>1469</v>
      </c>
      <c r="C1026" s="236">
        <v>5351.76146044911</v>
      </c>
      <c r="D1026" s="233"/>
      <c r="E1026" s="232">
        <f t="shared" si="103"/>
        <v>0</v>
      </c>
    </row>
    <row r="1027" spans="1:5" x14ac:dyDescent="0.25">
      <c r="A1027" s="150">
        <v>1022</v>
      </c>
      <c r="B1027" s="10" t="s">
        <v>1470</v>
      </c>
      <c r="C1027" s="236">
        <v>15103.288049072475</v>
      </c>
      <c r="D1027" s="233"/>
      <c r="E1027" s="232">
        <f t="shared" si="103"/>
        <v>0</v>
      </c>
    </row>
    <row r="1028" spans="1:5" x14ac:dyDescent="0.25">
      <c r="A1028" s="150">
        <v>1023</v>
      </c>
      <c r="B1028" s="10" t="s">
        <v>1471</v>
      </c>
      <c r="C1028" s="236">
        <v>22715.277885451898</v>
      </c>
      <c r="D1028" s="233"/>
      <c r="E1028" s="232">
        <f t="shared" si="103"/>
        <v>0</v>
      </c>
    </row>
    <row r="1029" spans="1:5" x14ac:dyDescent="0.25">
      <c r="A1029" s="150">
        <v>1024</v>
      </c>
      <c r="B1029" s="10" t="s">
        <v>1472</v>
      </c>
      <c r="C1029" s="236">
        <v>21806.236224793374</v>
      </c>
      <c r="D1029" s="233"/>
      <c r="E1029" s="232">
        <f t="shared" si="103"/>
        <v>0</v>
      </c>
    </row>
    <row r="1030" spans="1:5" x14ac:dyDescent="0.25">
      <c r="A1030" s="150">
        <v>1025</v>
      </c>
      <c r="B1030" s="10" t="s">
        <v>1473</v>
      </c>
      <c r="C1030" s="236">
        <v>15543.083805664426</v>
      </c>
      <c r="D1030" s="233"/>
      <c r="E1030" s="232">
        <f t="shared" si="103"/>
        <v>0</v>
      </c>
    </row>
    <row r="1031" spans="1:5" x14ac:dyDescent="0.25">
      <c r="A1031" s="150">
        <v>1026</v>
      </c>
      <c r="B1031" s="10" t="s">
        <v>1474</v>
      </c>
      <c r="C1031" s="236">
        <v>29186.860957031586</v>
      </c>
      <c r="D1031" s="233"/>
      <c r="E1031" s="232">
        <f t="shared" ref="E1031:E1094" si="104">D1031/C1031</f>
        <v>0</v>
      </c>
    </row>
    <row r="1032" spans="1:5" x14ac:dyDescent="0.25">
      <c r="A1032" s="150">
        <v>1027</v>
      </c>
      <c r="B1032" s="10" t="s">
        <v>1475</v>
      </c>
      <c r="C1032" s="236">
        <v>39922.676986014259</v>
      </c>
      <c r="D1032" s="233"/>
      <c r="E1032" s="232">
        <f t="shared" si="104"/>
        <v>0</v>
      </c>
    </row>
    <row r="1033" spans="1:5" x14ac:dyDescent="0.25">
      <c r="A1033" s="150">
        <v>1028</v>
      </c>
      <c r="B1033" s="10" t="s">
        <v>1476</v>
      </c>
      <c r="C1033" s="236">
        <v>80182.537198729726</v>
      </c>
      <c r="D1033" s="233"/>
      <c r="E1033" s="232">
        <f t="shared" si="104"/>
        <v>0</v>
      </c>
    </row>
    <row r="1034" spans="1:5" x14ac:dyDescent="0.25">
      <c r="A1034" s="150">
        <v>1029</v>
      </c>
      <c r="B1034" s="10" t="s">
        <v>1477</v>
      </c>
      <c r="C1034" s="236">
        <v>22534.955715209224</v>
      </c>
      <c r="D1034" s="233"/>
      <c r="E1034" s="232">
        <f t="shared" si="104"/>
        <v>0</v>
      </c>
    </row>
    <row r="1035" spans="1:5" x14ac:dyDescent="0.25">
      <c r="A1035" s="150">
        <v>1030</v>
      </c>
      <c r="B1035" s="10" t="s">
        <v>1478</v>
      </c>
      <c r="C1035" s="236">
        <v>4842.5580205073347</v>
      </c>
      <c r="D1035" s="233"/>
      <c r="E1035" s="232">
        <f t="shared" si="104"/>
        <v>0</v>
      </c>
    </row>
    <row r="1036" spans="1:5" x14ac:dyDescent="0.25">
      <c r="A1036" s="150">
        <v>1031</v>
      </c>
      <c r="B1036" s="10" t="s">
        <v>1479</v>
      </c>
      <c r="C1036" s="236">
        <v>61862.737778167255</v>
      </c>
      <c r="D1036" s="233"/>
      <c r="E1036" s="232">
        <f t="shared" si="104"/>
        <v>0</v>
      </c>
    </row>
    <row r="1037" spans="1:5" x14ac:dyDescent="0.25">
      <c r="A1037" s="150">
        <v>1032</v>
      </c>
      <c r="B1037" s="10" t="s">
        <v>1480</v>
      </c>
      <c r="C1037" s="236">
        <v>63686.371725798599</v>
      </c>
      <c r="D1037" s="233"/>
      <c r="E1037" s="232">
        <f t="shared" si="104"/>
        <v>0</v>
      </c>
    </row>
    <row r="1038" spans="1:5" x14ac:dyDescent="0.25">
      <c r="A1038" s="150">
        <v>1033</v>
      </c>
      <c r="B1038" s="10" t="s">
        <v>1481</v>
      </c>
      <c r="C1038" s="236">
        <v>236214.5953789615</v>
      </c>
      <c r="D1038" s="233"/>
      <c r="E1038" s="232">
        <f t="shared" si="104"/>
        <v>0</v>
      </c>
    </row>
    <row r="1039" spans="1:5" x14ac:dyDescent="0.25">
      <c r="A1039" s="150">
        <v>1034</v>
      </c>
      <c r="B1039" s="10" t="s">
        <v>1482</v>
      </c>
      <c r="C1039" s="236">
        <v>159569.48114352851</v>
      </c>
      <c r="D1039" s="233"/>
      <c r="E1039" s="232">
        <f t="shared" si="104"/>
        <v>0</v>
      </c>
    </row>
    <row r="1040" spans="1:5" x14ac:dyDescent="0.25">
      <c r="A1040" s="150">
        <v>1035</v>
      </c>
      <c r="B1040" s="10" t="s">
        <v>1483</v>
      </c>
      <c r="C1040" s="236">
        <v>0</v>
      </c>
      <c r="D1040" s="233"/>
      <c r="E1040" s="232" t="e">
        <f t="shared" si="104"/>
        <v>#DIV/0!</v>
      </c>
    </row>
    <row r="1041" spans="1:5" x14ac:dyDescent="0.25">
      <c r="A1041" s="150">
        <v>1036</v>
      </c>
      <c r="B1041" s="10" t="s">
        <v>1484</v>
      </c>
      <c r="C1041" s="236">
        <v>0</v>
      </c>
      <c r="D1041" s="233"/>
      <c r="E1041" s="232" t="e">
        <f t="shared" si="104"/>
        <v>#DIV/0!</v>
      </c>
    </row>
    <row r="1042" spans="1:5" x14ac:dyDescent="0.25">
      <c r="A1042" s="150">
        <v>1037</v>
      </c>
      <c r="B1042" s="10" t="s">
        <v>1485</v>
      </c>
      <c r="C1042" s="236">
        <v>0</v>
      </c>
      <c r="D1042" s="233"/>
      <c r="E1042" s="232" t="e">
        <f t="shared" si="104"/>
        <v>#DIV/0!</v>
      </c>
    </row>
    <row r="1043" spans="1:5" x14ac:dyDescent="0.25">
      <c r="A1043" s="150">
        <v>1038</v>
      </c>
      <c r="B1043" s="10" t="s">
        <v>1486</v>
      </c>
      <c r="C1043" s="236">
        <v>0</v>
      </c>
      <c r="D1043" s="233"/>
      <c r="E1043" s="232" t="e">
        <f t="shared" si="104"/>
        <v>#DIV/0!</v>
      </c>
    </row>
    <row r="1044" spans="1:5" x14ac:dyDescent="0.25">
      <c r="A1044" s="150">
        <v>1039</v>
      </c>
      <c r="B1044" s="10" t="s">
        <v>973</v>
      </c>
      <c r="C1044" s="236">
        <v>650.76423812867245</v>
      </c>
      <c r="D1044" s="233"/>
      <c r="E1044" s="232">
        <f t="shared" si="104"/>
        <v>0</v>
      </c>
    </row>
    <row r="1045" spans="1:5" x14ac:dyDescent="0.25">
      <c r="A1045" s="150">
        <v>1040</v>
      </c>
      <c r="B1045" s="10" t="s">
        <v>974</v>
      </c>
      <c r="C1045" s="236">
        <v>993.47691778559249</v>
      </c>
      <c r="D1045" s="233"/>
      <c r="E1045" s="232">
        <f t="shared" si="104"/>
        <v>0</v>
      </c>
    </row>
    <row r="1046" spans="1:5" x14ac:dyDescent="0.25">
      <c r="A1046" s="150">
        <v>1041</v>
      </c>
      <c r="B1046" s="10" t="s">
        <v>975</v>
      </c>
      <c r="C1046" s="236">
        <v>519023.70705082029</v>
      </c>
      <c r="D1046" s="233"/>
      <c r="E1046" s="232">
        <f t="shared" si="104"/>
        <v>0</v>
      </c>
    </row>
    <row r="1047" spans="1:5" x14ac:dyDescent="0.25">
      <c r="A1047" s="150">
        <v>1042</v>
      </c>
      <c r="B1047" s="10" t="s">
        <v>976</v>
      </c>
      <c r="C1047" s="236">
        <v>401738.35337891424</v>
      </c>
      <c r="D1047" s="233"/>
      <c r="E1047" s="232">
        <f t="shared" si="104"/>
        <v>0</v>
      </c>
    </row>
    <row r="1048" spans="1:5" x14ac:dyDescent="0.25">
      <c r="A1048" s="150">
        <v>1043</v>
      </c>
      <c r="B1048" s="10" t="s">
        <v>977</v>
      </c>
      <c r="C1048" s="236">
        <v>1523061.8294768645</v>
      </c>
      <c r="D1048" s="233"/>
      <c r="E1048" s="232">
        <f t="shared" si="104"/>
        <v>0</v>
      </c>
    </row>
    <row r="1049" spans="1:5" x14ac:dyDescent="0.25">
      <c r="A1049" s="150">
        <v>1044</v>
      </c>
      <c r="B1049" s="10" t="s">
        <v>978</v>
      </c>
      <c r="C1049" s="236">
        <v>1502246.2925955793</v>
      </c>
      <c r="D1049" s="233"/>
      <c r="E1049" s="232">
        <f t="shared" si="104"/>
        <v>0</v>
      </c>
    </row>
    <row r="1050" spans="1:5" x14ac:dyDescent="0.25">
      <c r="A1050" s="150">
        <v>1045</v>
      </c>
      <c r="B1050" s="10" t="s">
        <v>979</v>
      </c>
      <c r="C1050" s="236">
        <v>2814418.4381442517</v>
      </c>
      <c r="D1050" s="233"/>
      <c r="E1050" s="232">
        <f t="shared" si="104"/>
        <v>0</v>
      </c>
    </row>
    <row r="1051" spans="1:5" x14ac:dyDescent="0.25">
      <c r="A1051" s="150">
        <v>1046</v>
      </c>
      <c r="B1051" s="10" t="s">
        <v>980</v>
      </c>
      <c r="C1051" s="236">
        <v>2398421.077655687</v>
      </c>
      <c r="D1051" s="233"/>
      <c r="E1051" s="232">
        <f t="shared" si="104"/>
        <v>0</v>
      </c>
    </row>
    <row r="1052" spans="1:5" x14ac:dyDescent="0.25">
      <c r="A1052" s="150">
        <v>1047</v>
      </c>
      <c r="B1052" s="10" t="s">
        <v>981</v>
      </c>
      <c r="C1052" s="236">
        <v>3414655.0467292373</v>
      </c>
      <c r="D1052" s="233"/>
      <c r="E1052" s="232">
        <f t="shared" si="104"/>
        <v>0</v>
      </c>
    </row>
    <row r="1053" spans="1:5" x14ac:dyDescent="0.25">
      <c r="A1053" s="150">
        <v>1048</v>
      </c>
      <c r="B1053" s="10" t="s">
        <v>982</v>
      </c>
      <c r="C1053" s="236">
        <v>2519258.9144578725</v>
      </c>
      <c r="D1053" s="233"/>
      <c r="E1053" s="232">
        <f t="shared" si="104"/>
        <v>0</v>
      </c>
    </row>
    <row r="1054" spans="1:5" x14ac:dyDescent="0.25">
      <c r="A1054" s="150">
        <v>1049</v>
      </c>
      <c r="B1054" s="10" t="s">
        <v>983</v>
      </c>
      <c r="C1054" s="236">
        <v>2849582.5202413518</v>
      </c>
      <c r="D1054" s="233"/>
      <c r="E1054" s="232">
        <f t="shared" si="104"/>
        <v>0</v>
      </c>
    </row>
    <row r="1055" spans="1:5" x14ac:dyDescent="0.25">
      <c r="A1055" s="150">
        <v>1050</v>
      </c>
      <c r="B1055" s="10" t="s">
        <v>984</v>
      </c>
      <c r="C1055" s="236">
        <v>2450627.0533251455</v>
      </c>
      <c r="D1055" s="233"/>
      <c r="E1055" s="232">
        <f t="shared" si="104"/>
        <v>0</v>
      </c>
    </row>
    <row r="1056" spans="1:5" x14ac:dyDescent="0.25">
      <c r="A1056" s="150">
        <v>1051</v>
      </c>
      <c r="B1056" s="10" t="s">
        <v>985</v>
      </c>
      <c r="C1056" s="236">
        <v>1630548.2052216672</v>
      </c>
      <c r="D1056" s="233"/>
      <c r="E1056" s="232">
        <f t="shared" si="104"/>
        <v>0</v>
      </c>
    </row>
    <row r="1057" spans="1:5" x14ac:dyDescent="0.25">
      <c r="A1057" s="150">
        <v>1052</v>
      </c>
      <c r="B1057" s="10" t="s">
        <v>986</v>
      </c>
      <c r="C1057" s="236">
        <v>1537538.5904639754</v>
      </c>
      <c r="D1057" s="233"/>
      <c r="E1057" s="232">
        <f t="shared" si="104"/>
        <v>0</v>
      </c>
    </row>
    <row r="1058" spans="1:5" x14ac:dyDescent="0.25">
      <c r="A1058" s="150">
        <v>1053</v>
      </c>
      <c r="B1058" s="10" t="s">
        <v>987</v>
      </c>
      <c r="C1058" s="236">
        <v>499694.06122447574</v>
      </c>
      <c r="D1058" s="233"/>
      <c r="E1058" s="232">
        <f t="shared" si="104"/>
        <v>0</v>
      </c>
    </row>
    <row r="1059" spans="1:5" x14ac:dyDescent="0.25">
      <c r="A1059" s="150">
        <v>1054</v>
      </c>
      <c r="B1059" s="10" t="s">
        <v>988</v>
      </c>
      <c r="C1059" s="236">
        <v>359644.50982631021</v>
      </c>
      <c r="D1059" s="233"/>
      <c r="E1059" s="232">
        <f t="shared" si="104"/>
        <v>0</v>
      </c>
    </row>
    <row r="1060" spans="1:5" x14ac:dyDescent="0.25">
      <c r="A1060" s="150">
        <v>1055</v>
      </c>
      <c r="B1060" s="10" t="s">
        <v>989</v>
      </c>
      <c r="C1060" s="236">
        <v>45258.663603816407</v>
      </c>
      <c r="D1060" s="233"/>
      <c r="E1060" s="232">
        <f t="shared" si="104"/>
        <v>0</v>
      </c>
    </row>
    <row r="1061" spans="1:5" x14ac:dyDescent="0.25">
      <c r="A1061" s="150">
        <v>1056</v>
      </c>
      <c r="B1061" s="10" t="s">
        <v>990</v>
      </c>
      <c r="C1061" s="236">
        <v>45043.295832823249</v>
      </c>
      <c r="D1061" s="233"/>
      <c r="E1061" s="232">
        <f t="shared" si="104"/>
        <v>0</v>
      </c>
    </row>
    <row r="1062" spans="1:5" x14ac:dyDescent="0.25">
      <c r="A1062" s="150">
        <v>1057</v>
      </c>
      <c r="B1062" s="10" t="s">
        <v>991</v>
      </c>
      <c r="C1062" s="236">
        <v>33405.869077607298</v>
      </c>
      <c r="D1062" s="233"/>
      <c r="E1062" s="232">
        <f t="shared" si="104"/>
        <v>0</v>
      </c>
    </row>
    <row r="1063" spans="1:5" x14ac:dyDescent="0.25">
      <c r="A1063" s="150">
        <v>1058</v>
      </c>
      <c r="B1063" s="10" t="s">
        <v>992</v>
      </c>
      <c r="C1063" s="236">
        <v>15071.7739803472</v>
      </c>
      <c r="D1063" s="233"/>
      <c r="E1063" s="232">
        <f t="shared" si="104"/>
        <v>0</v>
      </c>
    </row>
    <row r="1064" spans="1:5" x14ac:dyDescent="0.25">
      <c r="A1064" s="150">
        <v>1059</v>
      </c>
      <c r="B1064" s="10" t="s">
        <v>1487</v>
      </c>
      <c r="C1064" s="236">
        <v>18024.375377014185</v>
      </c>
      <c r="D1064" s="233"/>
      <c r="E1064" s="232">
        <f t="shared" si="104"/>
        <v>0</v>
      </c>
    </row>
    <row r="1065" spans="1:5" x14ac:dyDescent="0.25">
      <c r="A1065" s="150">
        <v>1060</v>
      </c>
      <c r="B1065" s="10" t="s">
        <v>1488</v>
      </c>
      <c r="C1065" s="236">
        <v>63470.194851686305</v>
      </c>
      <c r="D1065" s="233"/>
      <c r="E1065" s="232">
        <f t="shared" si="104"/>
        <v>0</v>
      </c>
    </row>
    <row r="1066" spans="1:5" x14ac:dyDescent="0.25">
      <c r="A1066" s="150">
        <v>1061</v>
      </c>
      <c r="B1066" s="10" t="s">
        <v>1489</v>
      </c>
      <c r="C1066" s="236">
        <v>16425.776348823925</v>
      </c>
      <c r="D1066" s="233"/>
      <c r="E1066" s="232">
        <f t="shared" si="104"/>
        <v>0</v>
      </c>
    </row>
    <row r="1067" spans="1:5" x14ac:dyDescent="0.25">
      <c r="A1067" s="150">
        <v>1062</v>
      </c>
      <c r="B1067" s="10" t="s">
        <v>1490</v>
      </c>
      <c r="C1067" s="236">
        <v>14493.889129005029</v>
      </c>
      <c r="D1067" s="233"/>
      <c r="E1067" s="232">
        <f t="shared" si="104"/>
        <v>0</v>
      </c>
    </row>
    <row r="1068" spans="1:5" x14ac:dyDescent="0.25">
      <c r="A1068" s="150">
        <v>1063</v>
      </c>
      <c r="B1068" s="10" t="s">
        <v>1491</v>
      </c>
      <c r="C1068" s="236">
        <v>15535.853932159533</v>
      </c>
      <c r="D1068" s="233"/>
      <c r="E1068" s="232">
        <f t="shared" si="104"/>
        <v>0</v>
      </c>
    </row>
    <row r="1069" spans="1:5" x14ac:dyDescent="0.25">
      <c r="A1069" s="150">
        <v>1064</v>
      </c>
      <c r="B1069" s="10" t="s">
        <v>1492</v>
      </c>
      <c r="C1069" s="236">
        <v>23235.504045410184</v>
      </c>
      <c r="D1069" s="233"/>
      <c r="E1069" s="232">
        <f t="shared" si="104"/>
        <v>0</v>
      </c>
    </row>
    <row r="1070" spans="1:5" x14ac:dyDescent="0.25">
      <c r="A1070" s="150">
        <v>1065</v>
      </c>
      <c r="B1070" s="10" t="s">
        <v>1493</v>
      </c>
      <c r="C1070" s="236">
        <v>50675.609978638458</v>
      </c>
      <c r="D1070" s="233"/>
      <c r="E1070" s="232">
        <f t="shared" si="104"/>
        <v>0</v>
      </c>
    </row>
    <row r="1071" spans="1:5" x14ac:dyDescent="0.25">
      <c r="A1071" s="150">
        <v>1066</v>
      </c>
      <c r="B1071" s="10" t="s">
        <v>1494</v>
      </c>
      <c r="C1071" s="236">
        <v>16904.121003387692</v>
      </c>
      <c r="D1071" s="233"/>
      <c r="E1071" s="232">
        <f t="shared" si="104"/>
        <v>0</v>
      </c>
    </row>
    <row r="1072" spans="1:5" x14ac:dyDescent="0.25">
      <c r="A1072" s="150">
        <v>1067</v>
      </c>
      <c r="B1072" s="10" t="s">
        <v>1495</v>
      </c>
      <c r="C1072" s="236">
        <v>13637.259162871644</v>
      </c>
      <c r="D1072" s="233"/>
      <c r="E1072" s="232">
        <f t="shared" si="104"/>
        <v>0</v>
      </c>
    </row>
    <row r="1073" spans="1:5" x14ac:dyDescent="0.25">
      <c r="A1073" s="150">
        <v>1068</v>
      </c>
      <c r="B1073" s="10" t="s">
        <v>1496</v>
      </c>
      <c r="C1073" s="236">
        <v>3782.3095707779157</v>
      </c>
      <c r="D1073" s="233"/>
      <c r="E1073" s="232">
        <f t="shared" si="104"/>
        <v>0</v>
      </c>
    </row>
    <row r="1074" spans="1:5" x14ac:dyDescent="0.25">
      <c r="A1074" s="150">
        <v>1069</v>
      </c>
      <c r="B1074" s="10" t="s">
        <v>1497</v>
      </c>
      <c r="C1074" s="236">
        <v>186509.6822436825</v>
      </c>
      <c r="D1074" s="233"/>
      <c r="E1074" s="232">
        <f t="shared" si="104"/>
        <v>0</v>
      </c>
    </row>
    <row r="1075" spans="1:5" x14ac:dyDescent="0.25">
      <c r="A1075" s="150">
        <v>1070</v>
      </c>
      <c r="B1075" s="10" t="s">
        <v>1498</v>
      </c>
      <c r="C1075" s="236">
        <v>311258.94301739341</v>
      </c>
      <c r="D1075" s="233"/>
      <c r="E1075" s="232">
        <f t="shared" si="104"/>
        <v>0</v>
      </c>
    </row>
    <row r="1076" spans="1:5" x14ac:dyDescent="0.25">
      <c r="A1076" s="150">
        <v>1071</v>
      </c>
      <c r="B1076" s="10" t="s">
        <v>1499</v>
      </c>
      <c r="C1076" s="236">
        <v>677.85205249022749</v>
      </c>
      <c r="D1076" s="233"/>
      <c r="E1076" s="232">
        <f t="shared" si="104"/>
        <v>0</v>
      </c>
    </row>
    <row r="1077" spans="1:5" x14ac:dyDescent="0.25">
      <c r="A1077" s="150">
        <v>1072</v>
      </c>
      <c r="B1077" s="10" t="s">
        <v>1500</v>
      </c>
      <c r="C1077" s="236">
        <v>5937.2668786009372</v>
      </c>
      <c r="D1077" s="233"/>
      <c r="E1077" s="232">
        <f t="shared" si="104"/>
        <v>0</v>
      </c>
    </row>
    <row r="1078" spans="1:5" x14ac:dyDescent="0.25">
      <c r="A1078" s="150">
        <v>1073</v>
      </c>
      <c r="B1078" s="10" t="s">
        <v>1501</v>
      </c>
      <c r="C1078" s="236">
        <v>12414.831001099074</v>
      </c>
      <c r="D1078" s="233"/>
      <c r="E1078" s="232">
        <f t="shared" si="104"/>
        <v>0</v>
      </c>
    </row>
    <row r="1079" spans="1:5" x14ac:dyDescent="0.25">
      <c r="A1079" s="150">
        <v>1074</v>
      </c>
      <c r="B1079" s="10" t="s">
        <v>1502</v>
      </c>
      <c r="C1079" s="236">
        <v>8197.472894225928</v>
      </c>
      <c r="D1079" s="233"/>
      <c r="E1079" s="232">
        <f t="shared" si="104"/>
        <v>0</v>
      </c>
    </row>
    <row r="1080" spans="1:5" x14ac:dyDescent="0.25">
      <c r="A1080" s="150">
        <v>1075</v>
      </c>
      <c r="B1080" s="10" t="s">
        <v>1503</v>
      </c>
      <c r="C1080" s="236">
        <v>10269.437641113294</v>
      </c>
      <c r="D1080" s="233"/>
      <c r="E1080" s="232">
        <f t="shared" si="104"/>
        <v>0</v>
      </c>
    </row>
    <row r="1081" spans="1:5" x14ac:dyDescent="0.25">
      <c r="A1081" s="150">
        <v>1076</v>
      </c>
      <c r="B1081" s="10" t="s">
        <v>1504</v>
      </c>
      <c r="C1081" s="236">
        <v>7594.3989074707006</v>
      </c>
      <c r="D1081" s="233"/>
      <c r="E1081" s="232">
        <f t="shared" si="104"/>
        <v>0</v>
      </c>
    </row>
    <row r="1082" spans="1:5" x14ac:dyDescent="0.25">
      <c r="A1082" s="150">
        <v>1077</v>
      </c>
      <c r="B1082" s="10" t="s">
        <v>1505</v>
      </c>
      <c r="C1082" s="236">
        <v>9055.4010957641221</v>
      </c>
      <c r="D1082" s="233"/>
      <c r="E1082" s="232">
        <f t="shared" si="104"/>
        <v>0</v>
      </c>
    </row>
    <row r="1083" spans="1:5" x14ac:dyDescent="0.25">
      <c r="A1083" s="150">
        <v>1078</v>
      </c>
      <c r="B1083" s="10" t="s">
        <v>1506</v>
      </c>
      <c r="C1083" s="236">
        <v>9983.2957909547004</v>
      </c>
      <c r="D1083" s="233"/>
      <c r="E1083" s="232">
        <f t="shared" si="104"/>
        <v>0</v>
      </c>
    </row>
    <row r="1084" spans="1:5" x14ac:dyDescent="0.25">
      <c r="A1084" s="150">
        <v>1079</v>
      </c>
      <c r="B1084" s="10" t="s">
        <v>1507</v>
      </c>
      <c r="C1084" s="236">
        <v>11918.132551208826</v>
      </c>
      <c r="D1084" s="233"/>
      <c r="E1084" s="232">
        <f t="shared" si="104"/>
        <v>0</v>
      </c>
    </row>
    <row r="1085" spans="1:5" x14ac:dyDescent="0.25">
      <c r="A1085" s="150">
        <v>1080</v>
      </c>
      <c r="B1085" s="10" t="s">
        <v>1508</v>
      </c>
      <c r="C1085" s="236">
        <v>10395.547423705801</v>
      </c>
      <c r="D1085" s="233"/>
      <c r="E1085" s="232">
        <f t="shared" si="104"/>
        <v>0</v>
      </c>
    </row>
    <row r="1086" spans="1:5" x14ac:dyDescent="0.25">
      <c r="A1086" s="150">
        <v>1081</v>
      </c>
      <c r="B1086" s="10" t="s">
        <v>1509</v>
      </c>
      <c r="C1086" s="236">
        <v>143664.01567552617</v>
      </c>
      <c r="D1086" s="233"/>
      <c r="E1086" s="232">
        <f t="shared" si="104"/>
        <v>0</v>
      </c>
    </row>
    <row r="1087" spans="1:5" x14ac:dyDescent="0.25">
      <c r="A1087" s="150">
        <v>1082</v>
      </c>
      <c r="B1087" s="10" t="s">
        <v>1510</v>
      </c>
      <c r="C1087" s="236">
        <v>87806.620343897725</v>
      </c>
      <c r="D1087" s="233"/>
      <c r="E1087" s="232">
        <f t="shared" si="104"/>
        <v>0</v>
      </c>
    </row>
    <row r="1088" spans="1:5" x14ac:dyDescent="0.25">
      <c r="A1088" s="150">
        <v>1083</v>
      </c>
      <c r="B1088" s="10" t="s">
        <v>1511</v>
      </c>
      <c r="C1088" s="236">
        <v>16870.450377807498</v>
      </c>
      <c r="D1088" s="233"/>
      <c r="E1088" s="232">
        <f t="shared" si="104"/>
        <v>0</v>
      </c>
    </row>
    <row r="1089" spans="1:5" x14ac:dyDescent="0.25">
      <c r="A1089" s="150">
        <v>1084</v>
      </c>
      <c r="B1089" s="10" t="s">
        <v>1512</v>
      </c>
      <c r="C1089" s="236">
        <v>13380.694380249122</v>
      </c>
      <c r="D1089" s="233"/>
      <c r="E1089" s="232">
        <f t="shared" si="104"/>
        <v>0</v>
      </c>
    </row>
    <row r="1090" spans="1:5" x14ac:dyDescent="0.25">
      <c r="A1090" s="150">
        <v>1085</v>
      </c>
      <c r="B1090" s="10" t="s">
        <v>1513</v>
      </c>
      <c r="C1090" s="236">
        <v>7640.3788606873204</v>
      </c>
      <c r="D1090" s="233"/>
      <c r="E1090" s="232">
        <f t="shared" si="104"/>
        <v>0</v>
      </c>
    </row>
    <row r="1091" spans="1:5" x14ac:dyDescent="0.25">
      <c r="A1091" s="150">
        <v>1086</v>
      </c>
      <c r="B1091" s="10" t="s">
        <v>1514</v>
      </c>
      <c r="C1091" s="236">
        <v>10629.851632833583</v>
      </c>
      <c r="D1091" s="233"/>
      <c r="E1091" s="232">
        <f t="shared" si="104"/>
        <v>0</v>
      </c>
    </row>
    <row r="1092" spans="1:5" x14ac:dyDescent="0.25">
      <c r="A1092" s="150">
        <v>1087</v>
      </c>
      <c r="B1092" s="10" t="s">
        <v>1515</v>
      </c>
      <c r="C1092" s="236">
        <v>14243.988493056968</v>
      </c>
      <c r="D1092" s="233"/>
      <c r="E1092" s="232">
        <f t="shared" si="104"/>
        <v>0</v>
      </c>
    </row>
    <row r="1093" spans="1:5" x14ac:dyDescent="0.25">
      <c r="A1093" s="150">
        <v>1088</v>
      </c>
      <c r="B1093" s="10" t="s">
        <v>1516</v>
      </c>
      <c r="C1093" s="236">
        <v>6907.8035782928955</v>
      </c>
      <c r="D1093" s="233"/>
      <c r="E1093" s="232">
        <f t="shared" si="104"/>
        <v>0</v>
      </c>
    </row>
    <row r="1094" spans="1:5" x14ac:dyDescent="0.25">
      <c r="A1094" s="150">
        <v>1089</v>
      </c>
      <c r="B1094" s="10" t="s">
        <v>1517</v>
      </c>
      <c r="C1094" s="236">
        <v>0</v>
      </c>
      <c r="D1094" s="233"/>
      <c r="E1094" s="232" t="e">
        <f t="shared" si="104"/>
        <v>#DIV/0!</v>
      </c>
    </row>
    <row r="1095" spans="1:5" x14ac:dyDescent="0.25">
      <c r="A1095" s="150">
        <v>1090</v>
      </c>
      <c r="B1095" s="10" t="s">
        <v>1518</v>
      </c>
      <c r="C1095" s="236">
        <v>0</v>
      </c>
      <c r="D1095" s="233"/>
      <c r="E1095" s="232" t="e">
        <f t="shared" ref="E1095:E1151" si="105">D1095/C1095</f>
        <v>#DIV/0!</v>
      </c>
    </row>
    <row r="1096" spans="1:5" x14ac:dyDescent="0.25">
      <c r="A1096" s="150">
        <v>1091</v>
      </c>
      <c r="B1096" s="10" t="s">
        <v>1519</v>
      </c>
      <c r="C1096" s="236">
        <v>0</v>
      </c>
      <c r="D1096" s="233"/>
      <c r="E1096" s="232" t="e">
        <f t="shared" si="105"/>
        <v>#DIV/0!</v>
      </c>
    </row>
    <row r="1097" spans="1:5" x14ac:dyDescent="0.25">
      <c r="A1097" s="150">
        <v>1092</v>
      </c>
      <c r="B1097" s="10" t="s">
        <v>1520</v>
      </c>
      <c r="C1097" s="236">
        <v>0</v>
      </c>
      <c r="D1097" s="233"/>
      <c r="E1097" s="232" t="e">
        <f t="shared" si="105"/>
        <v>#DIV/0!</v>
      </c>
    </row>
    <row r="1098" spans="1:5" x14ac:dyDescent="0.25">
      <c r="A1098" s="150">
        <v>1093</v>
      </c>
      <c r="B1098" s="10" t="s">
        <v>993</v>
      </c>
      <c r="C1098" s="236">
        <v>4905.3488803710752</v>
      </c>
      <c r="D1098" s="233"/>
      <c r="E1098" s="232">
        <f t="shared" si="105"/>
        <v>0</v>
      </c>
    </row>
    <row r="1099" spans="1:5" x14ac:dyDescent="0.25">
      <c r="A1099" s="150">
        <v>1094</v>
      </c>
      <c r="B1099" s="10" t="s">
        <v>994</v>
      </c>
      <c r="C1099" s="236">
        <v>825.07900726317996</v>
      </c>
      <c r="D1099" s="233"/>
      <c r="E1099" s="232">
        <f t="shared" si="105"/>
        <v>0</v>
      </c>
    </row>
    <row r="1100" spans="1:5" x14ac:dyDescent="0.25">
      <c r="A1100" s="150">
        <v>1095</v>
      </c>
      <c r="B1100" s="10" t="s">
        <v>995</v>
      </c>
      <c r="C1100" s="236">
        <v>127367.09476656457</v>
      </c>
      <c r="D1100" s="233"/>
      <c r="E1100" s="232">
        <f t="shared" si="105"/>
        <v>0</v>
      </c>
    </row>
    <row r="1101" spans="1:5" x14ac:dyDescent="0.25">
      <c r="A1101" s="150">
        <v>1096</v>
      </c>
      <c r="B1101" s="10" t="s">
        <v>996</v>
      </c>
      <c r="C1101" s="236">
        <v>98121.901070686115</v>
      </c>
      <c r="D1101" s="233"/>
      <c r="E1101" s="232">
        <f t="shared" si="105"/>
        <v>0</v>
      </c>
    </row>
    <row r="1102" spans="1:5" x14ac:dyDescent="0.25">
      <c r="A1102" s="150">
        <v>1097</v>
      </c>
      <c r="B1102" s="10" t="s">
        <v>997</v>
      </c>
      <c r="C1102" s="236">
        <v>767875.99302913947</v>
      </c>
      <c r="D1102" s="233"/>
      <c r="E1102" s="232">
        <f t="shared" si="105"/>
        <v>0</v>
      </c>
    </row>
    <row r="1103" spans="1:5" x14ac:dyDescent="0.25">
      <c r="A1103" s="150">
        <v>1098</v>
      </c>
      <c r="B1103" s="10" t="s">
        <v>998</v>
      </c>
      <c r="C1103" s="236">
        <v>741784.749828003</v>
      </c>
      <c r="D1103" s="233"/>
      <c r="E1103" s="232">
        <f t="shared" si="105"/>
        <v>0</v>
      </c>
    </row>
    <row r="1104" spans="1:5" x14ac:dyDescent="0.25">
      <c r="A1104" s="150">
        <v>1099</v>
      </c>
      <c r="B1104" s="10" t="s">
        <v>999</v>
      </c>
      <c r="C1104" s="236">
        <v>1531953.436352595</v>
      </c>
      <c r="D1104" s="233"/>
      <c r="E1104" s="232">
        <f t="shared" si="105"/>
        <v>0</v>
      </c>
    </row>
    <row r="1105" spans="1:5" x14ac:dyDescent="0.25">
      <c r="A1105" s="150">
        <v>1100</v>
      </c>
      <c r="B1105" s="10" t="s">
        <v>1000</v>
      </c>
      <c r="C1105" s="236">
        <v>1318238.8321318496</v>
      </c>
      <c r="D1105" s="233"/>
      <c r="E1105" s="232">
        <f t="shared" si="105"/>
        <v>0</v>
      </c>
    </row>
    <row r="1106" spans="1:5" x14ac:dyDescent="0.25">
      <c r="A1106" s="150">
        <v>1101</v>
      </c>
      <c r="B1106" s="10" t="s">
        <v>1001</v>
      </c>
      <c r="C1106" s="236">
        <v>2014141.3749695867</v>
      </c>
      <c r="D1106" s="233"/>
      <c r="E1106" s="232">
        <f t="shared" si="105"/>
        <v>0</v>
      </c>
    </row>
    <row r="1107" spans="1:5" x14ac:dyDescent="0.25">
      <c r="A1107" s="150">
        <v>1102</v>
      </c>
      <c r="B1107" s="10" t="s">
        <v>1002</v>
      </c>
      <c r="C1107" s="236">
        <v>1448573.4288158792</v>
      </c>
      <c r="D1107" s="233"/>
      <c r="E1107" s="232">
        <f t="shared" si="105"/>
        <v>0</v>
      </c>
    </row>
    <row r="1108" spans="1:5" x14ac:dyDescent="0.25">
      <c r="A1108" s="150">
        <v>1103</v>
      </c>
      <c r="B1108" s="10" t="s">
        <v>1003</v>
      </c>
      <c r="C1108" s="236">
        <v>1771891.1422638376</v>
      </c>
      <c r="D1108" s="233"/>
      <c r="E1108" s="232">
        <f t="shared" si="105"/>
        <v>0</v>
      </c>
    </row>
    <row r="1109" spans="1:5" x14ac:dyDescent="0.25">
      <c r="A1109" s="150">
        <v>1104</v>
      </c>
      <c r="B1109" s="10" t="s">
        <v>1004</v>
      </c>
      <c r="C1109" s="236">
        <v>1474418.4476828654</v>
      </c>
      <c r="D1109" s="233"/>
      <c r="E1109" s="232">
        <f t="shared" si="105"/>
        <v>0</v>
      </c>
    </row>
    <row r="1110" spans="1:5" x14ac:dyDescent="0.25">
      <c r="A1110" s="150">
        <v>1105</v>
      </c>
      <c r="B1110" s="10" t="s">
        <v>1005</v>
      </c>
      <c r="C1110" s="236">
        <v>988943.26796427369</v>
      </c>
      <c r="D1110" s="233"/>
      <c r="E1110" s="232">
        <f t="shared" si="105"/>
        <v>0</v>
      </c>
    </row>
    <row r="1111" spans="1:5" x14ac:dyDescent="0.25">
      <c r="A1111" s="150">
        <v>1106</v>
      </c>
      <c r="B1111" s="10" t="s">
        <v>1006</v>
      </c>
      <c r="C1111" s="236">
        <v>966363.51436620369</v>
      </c>
      <c r="D1111" s="233"/>
      <c r="E1111" s="232">
        <f t="shared" si="105"/>
        <v>0</v>
      </c>
    </row>
    <row r="1112" spans="1:5" x14ac:dyDescent="0.25">
      <c r="A1112" s="150">
        <v>1107</v>
      </c>
      <c r="B1112" s="10" t="s">
        <v>1007</v>
      </c>
      <c r="C1112" s="236">
        <v>251231.84125827439</v>
      </c>
      <c r="D1112" s="233"/>
      <c r="E1112" s="232">
        <f t="shared" si="105"/>
        <v>0</v>
      </c>
    </row>
    <row r="1113" spans="1:5" x14ac:dyDescent="0.25">
      <c r="A1113" s="150">
        <v>1108</v>
      </c>
      <c r="B1113" s="10" t="s">
        <v>1008</v>
      </c>
      <c r="C1113" s="236">
        <v>258620.60230619481</v>
      </c>
      <c r="D1113" s="233"/>
      <c r="E1113" s="232">
        <f t="shared" si="105"/>
        <v>0</v>
      </c>
    </row>
    <row r="1114" spans="1:5" x14ac:dyDescent="0.25">
      <c r="A1114" s="150">
        <v>1109</v>
      </c>
      <c r="B1114" s="10" t="s">
        <v>1009</v>
      </c>
      <c r="C1114" s="236">
        <v>32401.927621383948</v>
      </c>
      <c r="D1114" s="233"/>
      <c r="E1114" s="232">
        <f t="shared" si="105"/>
        <v>0</v>
      </c>
    </row>
    <row r="1115" spans="1:5" x14ac:dyDescent="0.25">
      <c r="A1115" s="150">
        <v>1110</v>
      </c>
      <c r="B1115" s="10" t="s">
        <v>1010</v>
      </c>
      <c r="C1115" s="236">
        <v>35635.640899353908</v>
      </c>
      <c r="D1115" s="233"/>
      <c r="E1115" s="232">
        <f t="shared" si="105"/>
        <v>0</v>
      </c>
    </row>
    <row r="1116" spans="1:5" x14ac:dyDescent="0.25">
      <c r="A1116" s="150">
        <v>1111</v>
      </c>
      <c r="B1116" s="10" t="s">
        <v>1521</v>
      </c>
      <c r="C1116" s="236">
        <v>9020.3670040583202</v>
      </c>
      <c r="D1116" s="233"/>
      <c r="E1116" s="232">
        <f t="shared" si="105"/>
        <v>0</v>
      </c>
    </row>
    <row r="1117" spans="1:5" x14ac:dyDescent="0.25">
      <c r="A1117" s="150">
        <v>1112</v>
      </c>
      <c r="B1117" s="10" t="s">
        <v>1522</v>
      </c>
      <c r="C1117" s="236">
        <v>5657.8626207275001</v>
      </c>
      <c r="D1117" s="233"/>
      <c r="E1117" s="232">
        <f t="shared" si="105"/>
        <v>0</v>
      </c>
    </row>
    <row r="1118" spans="1:5" x14ac:dyDescent="0.25">
      <c r="A1118" s="150">
        <v>1113</v>
      </c>
      <c r="B1118" s="10" t="s">
        <v>1523</v>
      </c>
      <c r="C1118" s="236">
        <v>24640.354890503226</v>
      </c>
      <c r="D1118" s="233"/>
      <c r="E1118" s="232">
        <f t="shared" si="105"/>
        <v>0</v>
      </c>
    </row>
    <row r="1119" spans="1:5" x14ac:dyDescent="0.25">
      <c r="A1119" s="150">
        <v>1114</v>
      </c>
      <c r="B1119" s="10" t="s">
        <v>1524</v>
      </c>
      <c r="C1119" s="236">
        <v>77938.639537020965</v>
      </c>
      <c r="D1119" s="233"/>
      <c r="E1119" s="232">
        <f t="shared" si="105"/>
        <v>0</v>
      </c>
    </row>
    <row r="1120" spans="1:5" x14ac:dyDescent="0.25">
      <c r="A1120" s="150">
        <v>1115</v>
      </c>
      <c r="B1120" s="10" t="s">
        <v>1525</v>
      </c>
      <c r="C1120" s="236">
        <v>23494.166586058091</v>
      </c>
      <c r="D1120" s="233"/>
      <c r="E1120" s="232">
        <f t="shared" si="105"/>
        <v>0</v>
      </c>
    </row>
    <row r="1121" spans="1:5" x14ac:dyDescent="0.25">
      <c r="A1121" s="150">
        <v>1116</v>
      </c>
      <c r="B1121" s="10" t="s">
        <v>1526</v>
      </c>
      <c r="C1121" s="236">
        <v>10586.032126282</v>
      </c>
      <c r="D1121" s="233"/>
      <c r="E1121" s="232">
        <f t="shared" si="105"/>
        <v>0</v>
      </c>
    </row>
    <row r="1122" spans="1:5" x14ac:dyDescent="0.25">
      <c r="A1122" s="150">
        <v>1117</v>
      </c>
      <c r="B1122" s="10" t="s">
        <v>1527</v>
      </c>
      <c r="C1122" s="236">
        <v>30322.430282699752</v>
      </c>
      <c r="D1122" s="233"/>
      <c r="E1122" s="232">
        <f t="shared" si="105"/>
        <v>0</v>
      </c>
    </row>
    <row r="1123" spans="1:5" x14ac:dyDescent="0.25">
      <c r="A1123" s="150">
        <v>1118</v>
      </c>
      <c r="B1123" s="10" t="s">
        <v>1528</v>
      </c>
      <c r="C1123" s="236">
        <v>56735.683746093775</v>
      </c>
      <c r="D1123" s="233"/>
      <c r="E1123" s="232">
        <f t="shared" si="105"/>
        <v>0</v>
      </c>
    </row>
    <row r="1124" spans="1:5" x14ac:dyDescent="0.25">
      <c r="A1124" s="150">
        <v>1119</v>
      </c>
      <c r="B1124" s="10" t="s">
        <v>1529</v>
      </c>
      <c r="C1124" s="236">
        <v>27754.873526428582</v>
      </c>
      <c r="D1124" s="233"/>
      <c r="E1124" s="232">
        <f t="shared" si="105"/>
        <v>0</v>
      </c>
    </row>
    <row r="1125" spans="1:5" x14ac:dyDescent="0.25">
      <c r="A1125" s="150">
        <v>1120</v>
      </c>
      <c r="B1125" s="10" t="s">
        <v>1530</v>
      </c>
      <c r="C1125" s="236">
        <v>32886.007950806546</v>
      </c>
      <c r="D1125" s="233"/>
      <c r="E1125" s="232">
        <f t="shared" si="105"/>
        <v>0</v>
      </c>
    </row>
    <row r="1126" spans="1:5" x14ac:dyDescent="0.25">
      <c r="A1126" s="150">
        <v>1121</v>
      </c>
      <c r="B1126" s="10" t="s">
        <v>1531</v>
      </c>
      <c r="C1126" s="236">
        <v>20432.691691404449</v>
      </c>
      <c r="D1126" s="233"/>
      <c r="E1126" s="232">
        <f t="shared" si="105"/>
        <v>0</v>
      </c>
    </row>
    <row r="1127" spans="1:5" x14ac:dyDescent="0.25">
      <c r="A1127" s="150">
        <v>1122</v>
      </c>
      <c r="B1127" s="10" t="s">
        <v>1532</v>
      </c>
      <c r="C1127" s="236">
        <v>18350.489740357145</v>
      </c>
      <c r="D1127" s="233"/>
      <c r="E1127" s="232">
        <f t="shared" si="105"/>
        <v>0</v>
      </c>
    </row>
    <row r="1128" spans="1:5" x14ac:dyDescent="0.25">
      <c r="A1128" s="150">
        <v>1123</v>
      </c>
      <c r="B1128" s="10" t="s">
        <v>1533</v>
      </c>
      <c r="C1128" s="236">
        <v>2060.1790690612552</v>
      </c>
      <c r="D1128" s="233"/>
      <c r="E1128" s="232">
        <f t="shared" si="105"/>
        <v>0</v>
      </c>
    </row>
    <row r="1129" spans="1:5" x14ac:dyDescent="0.25">
      <c r="A1129" s="150">
        <v>1124</v>
      </c>
      <c r="B1129" s="10" t="s">
        <v>1534</v>
      </c>
      <c r="C1129" s="236">
        <v>1087.119391357525</v>
      </c>
      <c r="D1129" s="233"/>
      <c r="E1129" s="232">
        <f t="shared" si="105"/>
        <v>0</v>
      </c>
    </row>
    <row r="1130" spans="1:5" x14ac:dyDescent="0.25">
      <c r="A1130" s="150">
        <v>1125</v>
      </c>
      <c r="B1130" s="10" t="s">
        <v>1535</v>
      </c>
      <c r="C1130" s="236">
        <v>7048.1442390059929</v>
      </c>
      <c r="D1130" s="233"/>
      <c r="E1130" s="232">
        <f t="shared" si="105"/>
        <v>0</v>
      </c>
    </row>
    <row r="1131" spans="1:5" x14ac:dyDescent="0.25">
      <c r="A1131" s="150">
        <v>1126</v>
      </c>
      <c r="B1131" s="10" t="s">
        <v>1536</v>
      </c>
      <c r="C1131" s="236">
        <v>1428.3028084525147</v>
      </c>
      <c r="D1131" s="233"/>
      <c r="E1131" s="232">
        <f t="shared" si="105"/>
        <v>0</v>
      </c>
    </row>
    <row r="1132" spans="1:5" x14ac:dyDescent="0.25">
      <c r="A1132" s="150">
        <v>1127</v>
      </c>
      <c r="B1132" s="10" t="s">
        <v>1537</v>
      </c>
      <c r="C1132" s="236">
        <v>14787.426651458725</v>
      </c>
      <c r="D1132" s="233"/>
      <c r="E1132" s="232">
        <f t="shared" si="105"/>
        <v>0</v>
      </c>
    </row>
    <row r="1133" spans="1:5" x14ac:dyDescent="0.25">
      <c r="A1133" s="150">
        <v>1128</v>
      </c>
      <c r="B1133" s="10" t="s">
        <v>1538</v>
      </c>
      <c r="C1133" s="236">
        <v>16887.304013214889</v>
      </c>
      <c r="D1133" s="233"/>
      <c r="E1133" s="232">
        <f t="shared" si="105"/>
        <v>0</v>
      </c>
    </row>
    <row r="1134" spans="1:5" x14ac:dyDescent="0.25">
      <c r="A1134" s="150">
        <v>1129</v>
      </c>
      <c r="B1134" s="10" t="s">
        <v>1539</v>
      </c>
      <c r="C1134" s="236">
        <v>9751.4015923461448</v>
      </c>
      <c r="D1134" s="233"/>
      <c r="E1134" s="232">
        <f t="shared" si="105"/>
        <v>0</v>
      </c>
    </row>
    <row r="1135" spans="1:5" x14ac:dyDescent="0.25">
      <c r="A1135" s="150">
        <v>1130</v>
      </c>
      <c r="B1135" s="10" t="s">
        <v>1540</v>
      </c>
      <c r="C1135" s="236">
        <v>32195.861337951974</v>
      </c>
      <c r="D1135" s="233"/>
      <c r="E1135" s="232">
        <f t="shared" si="105"/>
        <v>0</v>
      </c>
    </row>
    <row r="1136" spans="1:5" x14ac:dyDescent="0.25">
      <c r="A1136" s="150">
        <v>1131</v>
      </c>
      <c r="B1136" s="10" t="s">
        <v>1541</v>
      </c>
      <c r="C1136" s="236">
        <v>18506.03958605952</v>
      </c>
      <c r="D1136" s="233"/>
      <c r="E1136" s="232">
        <f t="shared" si="105"/>
        <v>0</v>
      </c>
    </row>
    <row r="1137" spans="1:5" x14ac:dyDescent="0.25">
      <c r="A1137" s="150">
        <v>1132</v>
      </c>
      <c r="B1137" s="10" t="s">
        <v>1542</v>
      </c>
      <c r="C1137" s="236">
        <v>3937.1071931755901</v>
      </c>
      <c r="D1137" s="233"/>
      <c r="E1137" s="232">
        <f t="shared" si="105"/>
        <v>0</v>
      </c>
    </row>
    <row r="1138" spans="1:5" x14ac:dyDescent="0.25">
      <c r="A1138" s="150">
        <v>1133</v>
      </c>
      <c r="B1138" s="10" t="s">
        <v>1543</v>
      </c>
      <c r="C1138" s="236">
        <v>36038.600763267255</v>
      </c>
      <c r="D1138" s="233"/>
      <c r="E1138" s="232">
        <f t="shared" si="105"/>
        <v>0</v>
      </c>
    </row>
    <row r="1139" spans="1:5" x14ac:dyDescent="0.25">
      <c r="A1139" s="150">
        <v>1134</v>
      </c>
      <c r="B1139" s="10" t="s">
        <v>1544</v>
      </c>
      <c r="C1139" s="236">
        <v>15017.93358886755</v>
      </c>
      <c r="D1139" s="233"/>
      <c r="E1139" s="232">
        <f t="shared" si="105"/>
        <v>0</v>
      </c>
    </row>
    <row r="1140" spans="1:5" x14ac:dyDescent="0.25">
      <c r="A1140" s="150">
        <v>1135</v>
      </c>
      <c r="B1140" s="10" t="s">
        <v>1545</v>
      </c>
      <c r="C1140" s="236">
        <v>12828.151519042651</v>
      </c>
      <c r="D1140" s="233"/>
      <c r="E1140" s="232">
        <f t="shared" si="105"/>
        <v>0</v>
      </c>
    </row>
    <row r="1141" spans="1:5" x14ac:dyDescent="0.25">
      <c r="A1141" s="150">
        <v>1136</v>
      </c>
      <c r="B1141" s="10" t="s">
        <v>1546</v>
      </c>
      <c r="C1141" s="236">
        <v>25193.062891603218</v>
      </c>
      <c r="D1141" s="233"/>
      <c r="E1141" s="232">
        <f t="shared" si="105"/>
        <v>0</v>
      </c>
    </row>
    <row r="1142" spans="1:5" x14ac:dyDescent="0.25">
      <c r="A1142" s="150">
        <v>1137</v>
      </c>
      <c r="B1142" s="10" t="s">
        <v>1547</v>
      </c>
      <c r="C1142" s="236">
        <v>43448.372127745773</v>
      </c>
      <c r="D1142" s="233"/>
      <c r="E1142" s="232">
        <f t="shared" si="105"/>
        <v>0</v>
      </c>
    </row>
    <row r="1143" spans="1:5" x14ac:dyDescent="0.25">
      <c r="A1143" s="150">
        <v>1138</v>
      </c>
      <c r="B1143" s="10" t="s">
        <v>1548</v>
      </c>
      <c r="C1143" s="236">
        <v>11878.962642608425</v>
      </c>
      <c r="D1143" s="233"/>
      <c r="E1143" s="232">
        <f t="shared" si="105"/>
        <v>0</v>
      </c>
    </row>
    <row r="1144" spans="1:5" x14ac:dyDescent="0.25">
      <c r="A1144" s="150">
        <v>1139</v>
      </c>
      <c r="B1144" s="10" t="s">
        <v>1549</v>
      </c>
      <c r="C1144" s="236">
        <v>21588.114623168614</v>
      </c>
      <c r="D1144" s="233"/>
      <c r="E1144" s="232">
        <f t="shared" si="105"/>
        <v>0</v>
      </c>
    </row>
    <row r="1145" spans="1:5" x14ac:dyDescent="0.25">
      <c r="A1145" s="150">
        <v>1140</v>
      </c>
      <c r="B1145" s="10" t="s">
        <v>1550</v>
      </c>
      <c r="C1145" s="236">
        <v>7378.3915092774723</v>
      </c>
      <c r="D1145" s="233"/>
      <c r="E1145" s="232">
        <f t="shared" si="105"/>
        <v>0</v>
      </c>
    </row>
    <row r="1146" spans="1:5" x14ac:dyDescent="0.25">
      <c r="A1146" s="150">
        <v>1141</v>
      </c>
      <c r="B1146" s="10" t="s">
        <v>1551</v>
      </c>
      <c r="C1146" s="236">
        <v>0</v>
      </c>
      <c r="D1146" s="233"/>
      <c r="E1146" s="232" t="e">
        <f t="shared" si="105"/>
        <v>#DIV/0!</v>
      </c>
    </row>
    <row r="1147" spans="1:5" x14ac:dyDescent="0.25">
      <c r="A1147" s="150">
        <v>1142</v>
      </c>
      <c r="B1147" s="10" t="s">
        <v>1552</v>
      </c>
      <c r="C1147" s="236">
        <v>0</v>
      </c>
      <c r="D1147" s="233"/>
      <c r="E1147" s="232" t="e">
        <f t="shared" si="105"/>
        <v>#DIV/0!</v>
      </c>
    </row>
    <row r="1148" spans="1:5" x14ac:dyDescent="0.25">
      <c r="A1148" s="150">
        <v>1143</v>
      </c>
      <c r="B1148" s="10" t="s">
        <v>1553</v>
      </c>
      <c r="C1148" s="236">
        <v>0</v>
      </c>
      <c r="D1148" s="233"/>
      <c r="E1148" s="232" t="e">
        <f t="shared" si="105"/>
        <v>#DIV/0!</v>
      </c>
    </row>
    <row r="1149" spans="1:5" x14ac:dyDescent="0.25">
      <c r="A1149" s="150">
        <v>1144</v>
      </c>
      <c r="B1149" s="10" t="s">
        <v>1554</v>
      </c>
      <c r="C1149" s="236">
        <v>0</v>
      </c>
      <c r="D1149" s="233"/>
      <c r="E1149" s="232" t="e">
        <f t="shared" si="105"/>
        <v>#DIV/0!</v>
      </c>
    </row>
    <row r="1150" spans="1:5" x14ac:dyDescent="0.25">
      <c r="A1150" s="150">
        <v>1145</v>
      </c>
      <c r="B1150" s="10" t="s">
        <v>1555</v>
      </c>
      <c r="C1150" s="236">
        <v>0</v>
      </c>
      <c r="D1150" s="233"/>
      <c r="E1150" s="232" t="e">
        <f t="shared" si="105"/>
        <v>#DIV/0!</v>
      </c>
    </row>
    <row r="1151" spans="1:5" x14ac:dyDescent="0.25">
      <c r="A1151" s="167">
        <v>1146</v>
      </c>
      <c r="B1151" s="165" t="s">
        <v>1556</v>
      </c>
      <c r="C1151" s="236">
        <v>0</v>
      </c>
      <c r="D1151" s="235"/>
      <c r="E1151" s="232" t="e">
        <f t="shared" si="105"/>
        <v>#DIV/0!</v>
      </c>
    </row>
  </sheetData>
  <mergeCells count="8">
    <mergeCell ref="J136:J137"/>
    <mergeCell ref="AM104:AM105"/>
    <mergeCell ref="L2:M2"/>
    <mergeCell ref="O2:Q2"/>
    <mergeCell ref="R2:S2"/>
    <mergeCell ref="J41:J42"/>
    <mergeCell ref="AM41:AM42"/>
    <mergeCell ref="J104:J105"/>
  </mergeCells>
  <conditionalFormatting sqref="K138:AK166">
    <cfRule type="cellIs" dxfId="18" priority="8" operator="equal">
      <formula>0</formula>
    </cfRule>
  </conditionalFormatting>
  <conditionalFormatting sqref="K106:AK134">
    <cfRule type="cellIs" dxfId="17" priority="7" operator="equal">
      <formula>0</formula>
    </cfRule>
  </conditionalFormatting>
  <conditionalFormatting sqref="H6:H578">
    <cfRule type="cellIs" dxfId="16" priority="6" operator="equal">
      <formula>0</formula>
    </cfRule>
  </conditionalFormatting>
  <conditionalFormatting sqref="K43:AK71">
    <cfRule type="dataBar" priority="4">
      <dataBar>
        <cfvo type="min"/>
        <cfvo type="max"/>
        <color theme="4" tint="0.39997558519241921"/>
      </dataBar>
      <extLst>
        <ext xmlns:x14="http://schemas.microsoft.com/office/spreadsheetml/2009/9/main" uri="{B025F937-C7B1-47D3-B67F-A62EFF666E3E}">
          <x14:id>{9FBA4F34-82B6-4669-A8D1-7C6644629BA6}</x14:id>
        </ext>
      </extLst>
    </cfRule>
    <cfRule type="cellIs" dxfId="15" priority="5" operator="equal">
      <formula>"N/A"</formula>
    </cfRule>
  </conditionalFormatting>
  <conditionalFormatting sqref="AN43:BN71">
    <cfRule type="dataBar" priority="2">
      <dataBar>
        <cfvo type="min"/>
        <cfvo type="max"/>
        <color theme="4" tint="0.39997558519241921"/>
      </dataBar>
      <extLst>
        <ext xmlns:x14="http://schemas.microsoft.com/office/spreadsheetml/2009/9/main" uri="{B025F937-C7B1-47D3-B67F-A62EFF666E3E}">
          <x14:id>{854981B3-BE98-46D0-BCAE-C19732A5D6AD}</x14:id>
        </ext>
      </extLst>
    </cfRule>
    <cfRule type="cellIs" dxfId="14" priority="3" operator="equal">
      <formula>"N/A"</formula>
    </cfRule>
  </conditionalFormatting>
  <conditionalFormatting sqref="AN106:BN134">
    <cfRule type="cellIs" dxfId="13" priority="1" operator="equal">
      <formula>0</formula>
    </cfRule>
  </conditionalFormatting>
  <conditionalFormatting sqref="K74:AK102">
    <cfRule type="cellIs" dxfId="12" priority="9" operator="between">
      <formula>0.8*#REF!</formula>
      <formula>1.2*#REF!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BA4F34-82B6-4669-A8D1-7C6644629B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K43:AK71</xm:sqref>
        </x14:conditionalFormatting>
        <x14:conditionalFormatting xmlns:xm="http://schemas.microsoft.com/office/excel/2006/main">
          <x14:cfRule type="dataBar" id="{854981B3-BE98-46D0-BCAE-C19732A5D6A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AN43:BN71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0"/>
  </sheetPr>
  <dimension ref="A1:BL1151"/>
  <sheetViews>
    <sheetView zoomScale="80" zoomScaleNormal="80" workbookViewId="0">
      <selection activeCell="C1" sqref="C1:C1048576"/>
    </sheetView>
  </sheetViews>
  <sheetFormatPr baseColWidth="10" defaultColWidth="11.42578125" defaultRowHeight="15" x14ac:dyDescent="0.25"/>
  <cols>
    <col min="1" max="1" width="8.42578125" style="150" bestFit="1" customWidth="1"/>
    <col min="2" max="2" width="13" style="10" bestFit="1" customWidth="1"/>
    <col min="3" max="3" width="11.5703125"/>
    <col min="4" max="4" width="4.7109375" style="10" customWidth="1"/>
    <col min="5" max="5" width="11.42578125" style="10" bestFit="1" customWidth="1"/>
    <col min="6" max="6" width="7.7109375" style="10" customWidth="1"/>
    <col min="7" max="7" width="4.7109375" style="10" customWidth="1"/>
    <col min="8" max="8" width="11.7109375" style="10" customWidth="1"/>
    <col min="9" max="31" width="7.5703125" style="10" customWidth="1"/>
    <col min="32" max="32" width="8.140625" style="10" customWidth="1"/>
    <col min="33" max="35" width="7.5703125" style="10" customWidth="1"/>
    <col min="36" max="36" width="4.7109375" style="10" customWidth="1"/>
    <col min="37" max="16384" width="11.42578125" style="10"/>
  </cols>
  <sheetData>
    <row r="1" spans="1:33" ht="15.75" thickBot="1" x14ac:dyDescent="0.3">
      <c r="A1" s="147" t="s">
        <v>0</v>
      </c>
      <c r="B1" s="148" t="s">
        <v>1</v>
      </c>
      <c r="T1" s="198" t="s">
        <v>1798</v>
      </c>
      <c r="U1" s="199" t="s">
        <v>1800</v>
      </c>
      <c r="V1" s="198" t="s">
        <v>1795</v>
      </c>
      <c r="W1" s="198" t="s">
        <v>1796</v>
      </c>
      <c r="X1" s="198" t="s">
        <v>1797</v>
      </c>
      <c r="Y1" s="200" t="s">
        <v>1799</v>
      </c>
      <c r="AA1" s="196"/>
      <c r="AC1" s="208" t="s">
        <v>1804</v>
      </c>
      <c r="AD1" s="209"/>
      <c r="AE1" s="210"/>
      <c r="AF1" s="207"/>
      <c r="AG1" s="243" t="s">
        <v>1824</v>
      </c>
    </row>
    <row r="2" spans="1:33" ht="18" thickBot="1" x14ac:dyDescent="0.3">
      <c r="A2" s="229" t="s">
        <v>1816</v>
      </c>
      <c r="B2" s="230" t="s">
        <v>1812</v>
      </c>
      <c r="C2">
        <v>113933715.415207</v>
      </c>
      <c r="I2" s="152" t="s">
        <v>328</v>
      </c>
      <c r="J2" s="248">
        <v>1000000</v>
      </c>
      <c r="K2" s="249"/>
      <c r="M2" s="250" t="s">
        <v>1558</v>
      </c>
      <c r="N2" s="251"/>
      <c r="O2" s="252"/>
      <c r="P2" s="253">
        <f>SUM(I43:AI71)</f>
        <v>79943.406163554231</v>
      </c>
      <c r="Q2" s="254"/>
      <c r="T2" s="194">
        <f>SUM(I43:N48)</f>
        <v>19081.437859249581</v>
      </c>
      <c r="U2" s="195">
        <f>SUM(O43:V48)</f>
        <v>14324.571520267555</v>
      </c>
      <c r="V2" s="194">
        <f>SUM(I49:X52)</f>
        <v>18407.722390613719</v>
      </c>
      <c r="W2" s="194">
        <f>SUM(I53:R71)</f>
        <v>12317.787276150681</v>
      </c>
      <c r="X2" s="194">
        <f>SUM(S53:AI71)</f>
        <v>15811.887117272712</v>
      </c>
      <c r="Y2" s="197">
        <f>SUM(T2:X2)</f>
        <v>79943.406163554246</v>
      </c>
      <c r="AA2" s="196"/>
      <c r="AC2" s="208" t="s">
        <v>1805</v>
      </c>
      <c r="AD2" s="209"/>
      <c r="AE2" s="210"/>
      <c r="AF2" s="207"/>
      <c r="AG2" s="243" t="s">
        <v>1824</v>
      </c>
    </row>
    <row r="3" spans="1:33" ht="15" customHeight="1" thickBot="1" x14ac:dyDescent="0.3">
      <c r="A3" s="231" t="s">
        <v>1816</v>
      </c>
      <c r="B3" s="164" t="s">
        <v>1813</v>
      </c>
      <c r="C3">
        <v>95439396.7489243</v>
      </c>
      <c r="T3" s="201" t="s">
        <v>1801</v>
      </c>
      <c r="U3" s="201"/>
      <c r="V3" s="203">
        <v>5</v>
      </c>
      <c r="W3" s="202" t="s">
        <v>1802</v>
      </c>
      <c r="X3" s="202"/>
      <c r="Y3" s="206" t="s">
        <v>1825</v>
      </c>
      <c r="AC3" s="211" t="s">
        <v>1823</v>
      </c>
      <c r="AD3" s="212"/>
      <c r="AE3" s="212"/>
      <c r="AF3" s="242">
        <f>AE41</f>
        <v>113933715.415207</v>
      </c>
    </row>
    <row r="4" spans="1:33" ht="15.75" thickBot="1" x14ac:dyDescent="0.3">
      <c r="A4" s="231" t="s">
        <v>1817</v>
      </c>
      <c r="B4" s="164" t="s">
        <v>1814</v>
      </c>
      <c r="C4">
        <v>10727182.174742701</v>
      </c>
      <c r="AC4" s="211" t="s">
        <v>1823</v>
      </c>
      <c r="AD4" s="212"/>
      <c r="AE4" s="212"/>
      <c r="AF4" s="242" t="str">
        <f>AH41</f>
        <v>pbRatio</v>
      </c>
    </row>
    <row r="5" spans="1:33" x14ac:dyDescent="0.25">
      <c r="A5" s="167" t="s">
        <v>1817</v>
      </c>
      <c r="B5" s="165" t="s">
        <v>1815</v>
      </c>
      <c r="C5">
        <v>6043232.8919487</v>
      </c>
      <c r="E5" s="148" t="s">
        <v>1794</v>
      </c>
      <c r="F5" s="149" t="s">
        <v>329</v>
      </c>
    </row>
    <row r="6" spans="1:33" x14ac:dyDescent="0.25">
      <c r="A6" s="150">
        <v>1</v>
      </c>
      <c r="B6" s="10" t="s">
        <v>663</v>
      </c>
      <c r="C6">
        <v>0</v>
      </c>
      <c r="E6" s="10" t="s">
        <v>488</v>
      </c>
      <c r="F6" s="151">
        <f>IF(ISNUMBER(I43),I43/SUM($I$43:$AI$71),0)</f>
        <v>0</v>
      </c>
    </row>
    <row r="7" spans="1:33" x14ac:dyDescent="0.25">
      <c r="A7" s="150">
        <v>2</v>
      </c>
      <c r="B7" s="10" t="s">
        <v>664</v>
      </c>
      <c r="C7">
        <v>0</v>
      </c>
      <c r="E7" s="10" t="s">
        <v>489</v>
      </c>
      <c r="F7" s="151">
        <f>IF(ISNUMBER(J43),J43/SUM($I$43:$AI$71),0)</f>
        <v>0</v>
      </c>
    </row>
    <row r="8" spans="1:33" x14ac:dyDescent="0.25">
      <c r="A8" s="150">
        <v>3</v>
      </c>
      <c r="B8" s="10" t="s">
        <v>665</v>
      </c>
      <c r="C8">
        <v>0</v>
      </c>
      <c r="E8" s="10" t="s">
        <v>490</v>
      </c>
      <c r="F8" s="151">
        <f>IF(ISNUMBER(K43),K43/SUM($I$43:$AI$71),0)</f>
        <v>0</v>
      </c>
    </row>
    <row r="9" spans="1:33" x14ac:dyDescent="0.25">
      <c r="A9" s="150">
        <v>4</v>
      </c>
      <c r="B9" s="10" t="s">
        <v>666</v>
      </c>
      <c r="C9">
        <v>0</v>
      </c>
      <c r="E9" s="10" t="s">
        <v>491</v>
      </c>
      <c r="F9" s="151">
        <f>IF(ISNUMBER(L43),L43/SUM($I$43:$AI$71),0)</f>
        <v>0</v>
      </c>
    </row>
    <row r="10" spans="1:33" x14ac:dyDescent="0.25">
      <c r="A10" s="150">
        <v>5</v>
      </c>
      <c r="B10" s="10" t="s">
        <v>667</v>
      </c>
      <c r="C10">
        <v>0</v>
      </c>
      <c r="E10" s="10" t="s">
        <v>492</v>
      </c>
      <c r="F10" s="151">
        <f>IF(ISNUMBER(M43),M43/SUM($I$43:$AI$71),0)</f>
        <v>0</v>
      </c>
    </row>
    <row r="11" spans="1:33" x14ac:dyDescent="0.25">
      <c r="A11" s="150">
        <v>6</v>
      </c>
      <c r="B11" s="10" t="s">
        <v>668</v>
      </c>
      <c r="C11">
        <v>0</v>
      </c>
      <c r="E11" s="10" t="s">
        <v>1559</v>
      </c>
      <c r="F11" s="151">
        <f>IF(ISNUMBER(N43),N43/SUM($I$43:$AI$71),0)</f>
        <v>0</v>
      </c>
    </row>
    <row r="12" spans="1:33" x14ac:dyDescent="0.25">
      <c r="A12" s="150">
        <v>7</v>
      </c>
      <c r="B12" s="10" t="s">
        <v>669</v>
      </c>
      <c r="C12">
        <v>0</v>
      </c>
      <c r="E12" s="10" t="s">
        <v>1560</v>
      </c>
      <c r="F12" s="151">
        <f>IF(ISNUMBER(O43),O43/SUM($I$43:$AI$71),0)</f>
        <v>0</v>
      </c>
    </row>
    <row r="13" spans="1:33" x14ac:dyDescent="0.25">
      <c r="A13" s="150">
        <v>8</v>
      </c>
      <c r="B13" s="10" t="s">
        <v>670</v>
      </c>
      <c r="C13">
        <v>0</v>
      </c>
      <c r="E13" s="10" t="s">
        <v>493</v>
      </c>
      <c r="F13" s="151">
        <f>IF(ISNUMBER(I44),I44/SUM($I$43:$AI$71),0)</f>
        <v>0</v>
      </c>
    </row>
    <row r="14" spans="1:33" x14ac:dyDescent="0.25">
      <c r="A14" s="150">
        <v>9</v>
      </c>
      <c r="B14" s="10" t="s">
        <v>671</v>
      </c>
      <c r="C14">
        <v>6500.2897866211097</v>
      </c>
      <c r="E14" s="10" t="s">
        <v>341</v>
      </c>
      <c r="F14" s="151">
        <f>IF(ISNUMBER(J44),J44/SUM($I$43:$AI$71),0)</f>
        <v>0</v>
      </c>
    </row>
    <row r="15" spans="1:33" x14ac:dyDescent="0.25">
      <c r="A15" s="150">
        <v>10</v>
      </c>
      <c r="B15" s="10" t="s">
        <v>672</v>
      </c>
      <c r="C15">
        <v>34860.209569334998</v>
      </c>
      <c r="E15" s="10" t="s">
        <v>342</v>
      </c>
      <c r="F15" s="151">
        <f>IF(ISNUMBER(K44),K44/SUM($I$43:$AI$71),0)</f>
        <v>0</v>
      </c>
    </row>
    <row r="16" spans="1:33" x14ac:dyDescent="0.25">
      <c r="A16" s="150">
        <v>11</v>
      </c>
      <c r="B16" s="10" t="s">
        <v>1089</v>
      </c>
      <c r="C16">
        <v>16016.946503906</v>
      </c>
      <c r="E16" s="10" t="s">
        <v>343</v>
      </c>
      <c r="F16" s="151">
        <f>IF(ISNUMBER(L44),L44/SUM($I$43:$AI$71),0)</f>
        <v>0</v>
      </c>
    </row>
    <row r="17" spans="1:6" x14ac:dyDescent="0.25">
      <c r="A17" s="150">
        <v>12</v>
      </c>
      <c r="B17" s="10" t="s">
        <v>1090</v>
      </c>
      <c r="C17">
        <v>4642.29779882811</v>
      </c>
      <c r="E17" s="10" t="s">
        <v>344</v>
      </c>
      <c r="F17" s="151">
        <f>IF(ISNUMBER(M44),M44/SUM($I$43:$AI$71),0)</f>
        <v>0</v>
      </c>
    </row>
    <row r="18" spans="1:6" x14ac:dyDescent="0.25">
      <c r="A18" s="150">
        <v>13</v>
      </c>
      <c r="B18" s="10" t="s">
        <v>1091</v>
      </c>
      <c r="C18">
        <v>0</v>
      </c>
      <c r="E18" s="10" t="s">
        <v>345</v>
      </c>
      <c r="F18" s="151">
        <f>IF(ISNUMBER(N44),N44/SUM($I$43:$AI$71),0)</f>
        <v>0</v>
      </c>
    </row>
    <row r="19" spans="1:6" x14ac:dyDescent="0.25">
      <c r="A19" s="150">
        <v>14</v>
      </c>
      <c r="B19" s="10" t="s">
        <v>1092</v>
      </c>
      <c r="C19">
        <v>0</v>
      </c>
      <c r="E19" s="10" t="s">
        <v>1561</v>
      </c>
      <c r="F19" s="151">
        <f>IF(ISNUMBER(O44),O44/SUM($I$43:$AI$71),0)</f>
        <v>0</v>
      </c>
    </row>
    <row r="20" spans="1:6" x14ac:dyDescent="0.25">
      <c r="A20" s="150">
        <v>15</v>
      </c>
      <c r="B20" s="10" t="s">
        <v>673</v>
      </c>
      <c r="C20">
        <v>0</v>
      </c>
      <c r="E20" s="10" t="s">
        <v>1562</v>
      </c>
      <c r="F20" s="151">
        <f>IF(ISNUMBER(P44),P44/SUM($I$43:$AI$71),0)</f>
        <v>0</v>
      </c>
    </row>
    <row r="21" spans="1:6" x14ac:dyDescent="0.25">
      <c r="A21" s="150">
        <v>16</v>
      </c>
      <c r="B21" s="10" t="s">
        <v>674</v>
      </c>
      <c r="C21">
        <v>4292.0865234376397</v>
      </c>
      <c r="E21" s="10" t="s">
        <v>494</v>
      </c>
      <c r="F21" s="151">
        <f>IF(ISNUMBER(I45),I45/SUM($I$43:$AI$71),0)</f>
        <v>0</v>
      </c>
    </row>
    <row r="22" spans="1:6" x14ac:dyDescent="0.25">
      <c r="A22" s="150">
        <v>17</v>
      </c>
      <c r="B22" s="10" t="s">
        <v>25</v>
      </c>
      <c r="C22">
        <v>0</v>
      </c>
      <c r="E22" s="10" t="s">
        <v>346</v>
      </c>
      <c r="F22" s="151">
        <f>IF(ISNUMBER(J45),J45/SUM($I$43:$AI$71),0)</f>
        <v>5.8070153322225431E-4</v>
      </c>
    </row>
    <row r="23" spans="1:6" x14ac:dyDescent="0.25">
      <c r="A23" s="150">
        <v>18</v>
      </c>
      <c r="B23" s="10" t="s">
        <v>26</v>
      </c>
      <c r="C23">
        <v>12987.6883857423</v>
      </c>
      <c r="E23" s="10" t="s">
        <v>347</v>
      </c>
      <c r="F23" s="151">
        <f>IF(ISNUMBER(K45),K45/SUM($I$43:$AI$71),0)</f>
        <v>3.5189447920674259E-3</v>
      </c>
    </row>
    <row r="24" spans="1:6" x14ac:dyDescent="0.25">
      <c r="A24" s="150">
        <v>19</v>
      </c>
      <c r="B24" s="10" t="s">
        <v>27</v>
      </c>
      <c r="C24">
        <v>17260.4690524898</v>
      </c>
      <c r="E24" s="10" t="s">
        <v>348</v>
      </c>
      <c r="F24" s="151">
        <f>IF(ISNUMBER(L45),L45/SUM($I$43:$AI$71),0)</f>
        <v>2.9466871941350487E-3</v>
      </c>
    </row>
    <row r="25" spans="1:6" x14ac:dyDescent="0.25">
      <c r="A25" s="150">
        <v>20</v>
      </c>
      <c r="B25" s="10" t="s">
        <v>28</v>
      </c>
      <c r="C25">
        <v>18848.402879058402</v>
      </c>
      <c r="E25" s="10" t="s">
        <v>349</v>
      </c>
      <c r="F25" s="151">
        <f>IF(ISNUMBER(M45),M45/SUM($I$43:$AI$71),0)</f>
        <v>3.4175815723934597E-3</v>
      </c>
    </row>
    <row r="26" spans="1:6" x14ac:dyDescent="0.25">
      <c r="A26" s="150">
        <v>21</v>
      </c>
      <c r="B26" s="10" t="s">
        <v>29</v>
      </c>
      <c r="C26">
        <v>18099.945848877102</v>
      </c>
      <c r="E26" s="10" t="s">
        <v>350</v>
      </c>
      <c r="F26" s="151">
        <f>IF(ISNUMBER(N45),N45/SUM($I$43:$AI$71),0)</f>
        <v>7.0355751905689717E-3</v>
      </c>
    </row>
    <row r="27" spans="1:6" x14ac:dyDescent="0.25">
      <c r="A27" s="150">
        <v>22</v>
      </c>
      <c r="B27" s="10" t="s">
        <v>30</v>
      </c>
      <c r="C27">
        <v>14508.452900390599</v>
      </c>
      <c r="E27" s="10" t="s">
        <v>351</v>
      </c>
      <c r="F27" s="151">
        <f>IF(ISNUMBER(O45),O45/SUM($I$43:$AI$71),0)</f>
        <v>5.1863791402243344E-3</v>
      </c>
    </row>
    <row r="28" spans="1:6" x14ac:dyDescent="0.25">
      <c r="A28" s="150">
        <v>23</v>
      </c>
      <c r="B28" s="10" t="s">
        <v>31</v>
      </c>
      <c r="C28">
        <v>508124.78767627501</v>
      </c>
      <c r="E28" s="10" t="s">
        <v>1563</v>
      </c>
      <c r="F28" s="151">
        <f>IF(ISNUMBER(P45),P45/SUM($I$43:$AI$71),0)</f>
        <v>1.2950486606521389E-3</v>
      </c>
    </row>
    <row r="29" spans="1:6" x14ac:dyDescent="0.25">
      <c r="A29" s="150">
        <v>24</v>
      </c>
      <c r="B29" s="10" t="s">
        <v>32</v>
      </c>
      <c r="C29">
        <v>225952.47639550999</v>
      </c>
      <c r="E29" s="10" t="s">
        <v>1564</v>
      </c>
      <c r="F29" s="151">
        <f>IF(ISNUMBER(Q45),Q45/SUM($I$43:$AI$71),0)</f>
        <v>0</v>
      </c>
    </row>
    <row r="30" spans="1:6" x14ac:dyDescent="0.25">
      <c r="A30" s="150">
        <v>25</v>
      </c>
      <c r="B30" s="10" t="s">
        <v>33</v>
      </c>
      <c r="C30">
        <v>300416.82796191401</v>
      </c>
      <c r="E30" s="10" t="s">
        <v>495</v>
      </c>
      <c r="F30" s="151">
        <f>IF(ISNUMBER(I46),I46/SUM($I$43:$AI$71),0)</f>
        <v>0</v>
      </c>
    </row>
    <row r="31" spans="1:6" x14ac:dyDescent="0.25">
      <c r="A31" s="150">
        <v>26</v>
      </c>
      <c r="B31" s="10" t="s">
        <v>34</v>
      </c>
      <c r="C31">
        <v>142235.67202343399</v>
      </c>
      <c r="E31" s="10" t="s">
        <v>352</v>
      </c>
      <c r="F31" s="151">
        <f>IF(ISNUMBER(J46),J46/SUM($I$43:$AI$71),0)</f>
        <v>3.441361143804366E-3</v>
      </c>
    </row>
    <row r="32" spans="1:6" x14ac:dyDescent="0.25">
      <c r="A32" s="150">
        <v>27</v>
      </c>
      <c r="B32" s="10" t="s">
        <v>1093</v>
      </c>
      <c r="C32">
        <v>0</v>
      </c>
      <c r="E32" s="10" t="s">
        <v>353</v>
      </c>
      <c r="F32" s="151">
        <f>IF(ISNUMBER(K46),K46/SUM($I$43:$AI$71),0)</f>
        <v>2.2632030375841879E-2</v>
      </c>
    </row>
    <row r="33" spans="1:64" x14ac:dyDescent="0.25">
      <c r="A33" s="150">
        <v>28</v>
      </c>
      <c r="B33" s="10" t="s">
        <v>1094</v>
      </c>
      <c r="C33">
        <v>0</v>
      </c>
      <c r="E33" s="10" t="s">
        <v>354</v>
      </c>
      <c r="F33" s="151">
        <f>IF(ISNUMBER(L46),L46/SUM($I$43:$AI$71),0)</f>
        <v>2.483684471804971E-2</v>
      </c>
    </row>
    <row r="34" spans="1:64" x14ac:dyDescent="0.25">
      <c r="A34" s="150">
        <v>29</v>
      </c>
      <c r="B34" s="10" t="s">
        <v>1095</v>
      </c>
      <c r="C34">
        <v>36892.382378905997</v>
      </c>
      <c r="E34" s="10" t="s">
        <v>355</v>
      </c>
      <c r="F34" s="151">
        <f>IF(ISNUMBER(M46),M46/SUM($I$43:$AI$71),0)</f>
        <v>1.0624243906634736E-2</v>
      </c>
    </row>
    <row r="35" spans="1:64" x14ac:dyDescent="0.25">
      <c r="A35" s="150">
        <v>30</v>
      </c>
      <c r="B35" s="10" t="s">
        <v>1096</v>
      </c>
      <c r="C35">
        <v>0</v>
      </c>
      <c r="E35" s="10" t="s">
        <v>356</v>
      </c>
      <c r="F35" s="151">
        <f>IF(ISNUMBER(N46),N46/SUM($I$43:$AI$71),0)</f>
        <v>1.1830506887914498E-2</v>
      </c>
    </row>
    <row r="36" spans="1:64" x14ac:dyDescent="0.25">
      <c r="A36" s="150">
        <v>31</v>
      </c>
      <c r="B36" s="10" t="s">
        <v>675</v>
      </c>
      <c r="C36">
        <v>0</v>
      </c>
      <c r="E36" s="10" t="s">
        <v>357</v>
      </c>
      <c r="F36" s="151">
        <f>IF(ISNUMBER(O46),O46/SUM($I$43:$AI$71),0)</f>
        <v>1.8007999927443598E-2</v>
      </c>
    </row>
    <row r="37" spans="1:64" x14ac:dyDescent="0.25">
      <c r="A37" s="150">
        <v>32</v>
      </c>
      <c r="B37" s="10" t="s">
        <v>676</v>
      </c>
      <c r="C37">
        <v>0</v>
      </c>
      <c r="E37" s="10" t="s">
        <v>358</v>
      </c>
      <c r="F37" s="151">
        <f>IF(ISNUMBER(P46),P46/SUM($I$43:$AI$71),0)</f>
        <v>1.1461296303756086E-2</v>
      </c>
    </row>
    <row r="38" spans="1:64" x14ac:dyDescent="0.25">
      <c r="A38" s="150">
        <v>33</v>
      </c>
      <c r="B38" s="10" t="s">
        <v>35</v>
      </c>
      <c r="C38">
        <v>15058875.3288312</v>
      </c>
      <c r="E38" s="10" t="s">
        <v>1565</v>
      </c>
      <c r="F38" s="151">
        <f>IF(ISNUMBER(Q46),Q46/SUM($I$43:$AI$71),0)</f>
        <v>3.0162703550879804E-3</v>
      </c>
    </row>
    <row r="39" spans="1:64" x14ac:dyDescent="0.25">
      <c r="A39" s="150">
        <v>34</v>
      </c>
      <c r="B39" s="10" t="s">
        <v>36</v>
      </c>
      <c r="C39">
        <v>11975799.7884626</v>
      </c>
      <c r="E39" s="10" t="s">
        <v>1566</v>
      </c>
      <c r="F39" s="151">
        <f>IF(ISNUMBER(R46),R46/SUM($I$43:$AI$71),0)</f>
        <v>2.2075835896100121E-4</v>
      </c>
    </row>
    <row r="40" spans="1:64" x14ac:dyDescent="0.25">
      <c r="A40" s="150">
        <v>35</v>
      </c>
      <c r="B40" s="10" t="s">
        <v>37</v>
      </c>
      <c r="C40">
        <v>80585410.866298705</v>
      </c>
      <c r="E40" s="10" t="s">
        <v>496</v>
      </c>
      <c r="F40" s="151">
        <f>IF(ISNUMBER(I47),I47/SUM($I$43:$AI$71),0)</f>
        <v>0</v>
      </c>
    </row>
    <row r="41" spans="1:64" x14ac:dyDescent="0.25">
      <c r="A41" s="150">
        <v>36</v>
      </c>
      <c r="B41" s="10" t="s">
        <v>38</v>
      </c>
      <c r="C41">
        <v>78669658.477741197</v>
      </c>
      <c r="E41" s="10" t="s">
        <v>359</v>
      </c>
      <c r="F41" s="151">
        <f>IF(ISNUMBER(J47),J47/SUM($I$43:$AI$71),0)</f>
        <v>3.2474712655509021E-3</v>
      </c>
      <c r="H41" s="246" t="s">
        <v>1557</v>
      </c>
      <c r="I41" s="153"/>
      <c r="J41" s="153"/>
      <c r="AD41" s="237" t="s">
        <v>1818</v>
      </c>
      <c r="AE41" s="241">
        <f>IF(AND(AE72&gt;0.8*'Ratio_M+Cl'!Y65,AE72&lt;1.2*'Ratio_M+Cl'!Y65),HypersildGold_ref!AE104,"pbRatio")</f>
        <v>113933715.415207</v>
      </c>
      <c r="AG41" s="237" t="s">
        <v>1819</v>
      </c>
      <c r="AH41" s="153" t="str">
        <f>IF(AND(AH72&gt;0.8*'Ratio_M+Cl'!Y65,AH72&lt;1.2*'Ratio_M+Cl'!Y65),HypersildGold_ref!AH104,"pbRatio")</f>
        <v>pbRatio</v>
      </c>
      <c r="AK41" s="255" t="s">
        <v>1807</v>
      </c>
      <c r="AL41" s="153"/>
      <c r="AM41" s="153"/>
    </row>
    <row r="42" spans="1:64" ht="15.75" x14ac:dyDescent="0.3">
      <c r="A42" s="150">
        <v>37</v>
      </c>
      <c r="B42" s="10" t="s">
        <v>39</v>
      </c>
      <c r="C42">
        <v>65695016.481073402</v>
      </c>
      <c r="E42" s="10" t="s">
        <v>360</v>
      </c>
      <c r="F42" s="151">
        <f>IF(ISNUMBER(K47),K47/SUM($I$43:$AI$71),0)</f>
        <v>2.763072644670821E-2</v>
      </c>
      <c r="H42" s="247"/>
      <c r="I42" s="173" t="s">
        <v>1012</v>
      </c>
      <c r="J42" s="174" t="s">
        <v>322</v>
      </c>
      <c r="K42" s="174" t="s">
        <v>323</v>
      </c>
      <c r="L42" s="174" t="s">
        <v>324</v>
      </c>
      <c r="M42" s="175" t="s">
        <v>325</v>
      </c>
      <c r="N42" s="174" t="s">
        <v>326</v>
      </c>
      <c r="O42" s="174" t="s">
        <v>2</v>
      </c>
      <c r="P42" s="174" t="s">
        <v>3</v>
      </c>
      <c r="Q42" s="174" t="s">
        <v>4</v>
      </c>
      <c r="R42" s="174" t="s">
        <v>5</v>
      </c>
      <c r="S42" s="174" t="s">
        <v>6</v>
      </c>
      <c r="T42" s="174" t="s">
        <v>7</v>
      </c>
      <c r="U42" s="174" t="s">
        <v>8</v>
      </c>
      <c r="V42" s="174" t="s">
        <v>1016</v>
      </c>
      <c r="W42" s="174" t="s">
        <v>1017</v>
      </c>
      <c r="X42" s="174" t="s">
        <v>1018</v>
      </c>
      <c r="Y42" s="174" t="s">
        <v>1074</v>
      </c>
      <c r="Z42" s="174" t="s">
        <v>1075</v>
      </c>
      <c r="AA42" s="174" t="s">
        <v>1076</v>
      </c>
      <c r="AB42" s="174" t="s">
        <v>1077</v>
      </c>
      <c r="AC42" s="174" t="s">
        <v>1078</v>
      </c>
      <c r="AD42" s="174" t="s">
        <v>1079</v>
      </c>
      <c r="AE42" s="174" t="s">
        <v>1080</v>
      </c>
      <c r="AF42" s="174" t="s">
        <v>1081</v>
      </c>
      <c r="AG42" s="174" t="s">
        <v>1082</v>
      </c>
      <c r="AH42" s="174" t="s">
        <v>1083</v>
      </c>
      <c r="AI42" s="176" t="s">
        <v>1084</v>
      </c>
      <c r="AK42" s="247"/>
      <c r="AL42" s="173" t="s">
        <v>1012</v>
      </c>
      <c r="AM42" s="174" t="s">
        <v>322</v>
      </c>
      <c r="AN42" s="174" t="s">
        <v>323</v>
      </c>
      <c r="AO42" s="174" t="s">
        <v>324</v>
      </c>
      <c r="AP42" s="175" t="s">
        <v>325</v>
      </c>
      <c r="AQ42" s="174" t="s">
        <v>326</v>
      </c>
      <c r="AR42" s="174" t="s">
        <v>2</v>
      </c>
      <c r="AS42" s="174" t="s">
        <v>3</v>
      </c>
      <c r="AT42" s="174" t="s">
        <v>4</v>
      </c>
      <c r="AU42" s="174" t="s">
        <v>5</v>
      </c>
      <c r="AV42" s="174" t="s">
        <v>6</v>
      </c>
      <c r="AW42" s="174" t="s">
        <v>7</v>
      </c>
      <c r="AX42" s="174" t="s">
        <v>8</v>
      </c>
      <c r="AY42" s="174" t="s">
        <v>1016</v>
      </c>
      <c r="AZ42" s="174" t="s">
        <v>1017</v>
      </c>
      <c r="BA42" s="174" t="s">
        <v>1018</v>
      </c>
      <c r="BB42" s="174" t="s">
        <v>1074</v>
      </c>
      <c r="BC42" s="174" t="s">
        <v>1075</v>
      </c>
      <c r="BD42" s="174" t="s">
        <v>1076</v>
      </c>
      <c r="BE42" s="174" t="s">
        <v>1077</v>
      </c>
      <c r="BF42" s="174" t="s">
        <v>1078</v>
      </c>
      <c r="BG42" s="174" t="s">
        <v>1079</v>
      </c>
      <c r="BH42" s="174" t="s">
        <v>1080</v>
      </c>
      <c r="BI42" s="174" t="s">
        <v>1081</v>
      </c>
      <c r="BJ42" s="174" t="s">
        <v>1082</v>
      </c>
      <c r="BK42" s="174" t="s">
        <v>1083</v>
      </c>
      <c r="BL42" s="176" t="s">
        <v>1084</v>
      </c>
    </row>
    <row r="43" spans="1:64" ht="15.75" x14ac:dyDescent="0.3">
      <c r="A43" s="150">
        <v>38</v>
      </c>
      <c r="B43" s="10" t="s">
        <v>40</v>
      </c>
      <c r="C43">
        <v>58880665.252796203</v>
      </c>
      <c r="E43" s="10" t="s">
        <v>361</v>
      </c>
      <c r="F43" s="151">
        <f>IF(ISNUMBER(L47),L47/SUM($I$43:$AI$71),0)</f>
        <v>4.6981947665456998E-2</v>
      </c>
      <c r="H43" s="158" t="s">
        <v>1011</v>
      </c>
      <c r="I43" s="177" t="str">
        <f>IF(AND(ISNUMBER(I74),I74&gt;0.8*'Ratio_M+Cl'!C67,I74&lt;1.2*'Ratio_M+Cl'!C67),I106/'Ratio_M+Cl'!C99,IF(OR(I106="N/A",I138="N/A"),"N/A",""))</f>
        <v/>
      </c>
      <c r="J43" s="177" t="str">
        <f>IF(AND(ISNUMBER(J74),J74&gt;0.8*'Ratio_M+Cl'!D67,J74&lt;1.2*'Ratio_M+Cl'!D67),J106/'Ratio_M+Cl'!D99,IF(OR(J106="N/A",J138="N/A"),"N/A",""))</f>
        <v/>
      </c>
      <c r="K43" s="177" t="str">
        <f>IF(AND(ISNUMBER(K74),K74&gt;0.8*'Ratio_M+Cl'!E67,K74&lt;1.2*'Ratio_M+Cl'!E67),K106/'Ratio_M+Cl'!E99,IF(OR(K106="N/A",K138="N/A"),"N/A",""))</f>
        <v/>
      </c>
      <c r="L43" s="177" t="str">
        <f>IF(AND(ISNUMBER(L74),L74&gt;0.8*'Ratio_M+Cl'!F67,L74&lt;1.2*'Ratio_M+Cl'!F67),L106/'Ratio_M+Cl'!F99,IF(OR(L106="N/A",L138="N/A"),"N/A",""))</f>
        <v/>
      </c>
      <c r="M43" s="178" t="str">
        <f>IF(AND(ISNUMBER(M74),M74&gt;0.8*'Ratio_M+Cl'!G67,M74&lt;1.2*'Ratio_M+Cl'!G67),M106/'Ratio_M+Cl'!G99,IF(OR(M106="N/A",M138="N/A"),"N/A",""))</f>
        <v/>
      </c>
      <c r="N43" s="177" t="str">
        <f>IF(AND(ISNUMBER(N74),N74&gt;0.8*'Ratio_M+Cl'!H67,N74&lt;1.2*'Ratio_M+Cl'!H67),N106/'Ratio_M+Cl'!H99,IF(OR(N106="N/A",N138="N/A"),"N/A",""))</f>
        <v/>
      </c>
      <c r="O43" s="179" t="str">
        <f>IF(AND(ISNUMBER(O74),O74&gt;0.8*'Ratio_M+Cl'!I67,O74&lt;1.2*'Ratio_M+Cl'!I67),O106/'Ratio_M+Cl'!I99,IF(OR(O106="N/A",O138="N/A"),"N/A",""))</f>
        <v/>
      </c>
      <c r="P43" s="177" t="str">
        <f>IF(AND(ISNUMBER(P74),P74&gt;0.8*'Ratio_M+Cl'!J67,P74&lt;1.2*'Ratio_M+Cl'!J67),P106/'Ratio_M+Cl'!J99,IF(OR(P106="N/A",P138="N/A"),"N/A",""))</f>
        <v/>
      </c>
      <c r="Q43" s="177" t="str">
        <f>IF(AND(ISNUMBER(Q74),Q74&gt;0.8*'Ratio_M+Cl'!K67,Q74&lt;1.2*'Ratio_M+Cl'!K67),Q106/'Ratio_M+Cl'!K99,IF(OR(Q106="N/A",Q138="N/A"),"N/A",""))</f>
        <v/>
      </c>
      <c r="R43" s="177" t="str">
        <f>IF(AND(ISNUMBER(R74),R74&gt;0.8*'Ratio_M+Cl'!L67,R74&lt;1.2*'Ratio_M+Cl'!L67),R106/'Ratio_M+Cl'!L99,IF(OR(R106="N/A",R138="N/A"),"N/A",""))</f>
        <v/>
      </c>
      <c r="S43" s="177" t="str">
        <f>IF(AND(ISNUMBER(S74),S74&gt;0.8*'Ratio_M+Cl'!M67,S74&lt;1.2*'Ratio_M+Cl'!M67),S106/'Ratio_M+Cl'!M99,IF(OR(S106="N/A",S138="N/A"),"N/A",""))</f>
        <v/>
      </c>
      <c r="T43" s="177" t="str">
        <f>IF(AND(ISNUMBER(T74),T74&gt;0.8*'Ratio_M+Cl'!N67,T74&lt;1.2*'Ratio_M+Cl'!N67),T106/'Ratio_M+Cl'!N99,IF(OR(T106="N/A",T138="N/A"),"N/A",""))</f>
        <v/>
      </c>
      <c r="U43" s="180" t="str">
        <f>IF(AND(ISNUMBER(U74),U74&gt;0.8*'Ratio_M+Cl'!O67,U74&lt;1.2*'Ratio_M+Cl'!O67),U106/'Ratio_M+Cl'!O99,IF(OR(U106="N/A",U138="N/A"),"N/A",""))</f>
        <v/>
      </c>
      <c r="V43" s="177" t="str">
        <f>IF(AND(ISNUMBER(V74),V74&gt;0.8*'Ratio_M+Cl'!P67,V74&lt;1.2*'Ratio_M+Cl'!P67),V106/'Ratio_M+Cl'!P99,IF(OR(V106="N/A",V138="N/A"),"N/A",""))</f>
        <v/>
      </c>
      <c r="W43" s="177" t="str">
        <f>IF(AND(ISNUMBER(W74),W74&gt;0.8*'Ratio_M+Cl'!Q67,W74&lt;1.2*'Ratio_M+Cl'!Q67),W106/'Ratio_M+Cl'!Q99,IF(OR(W106="N/A",W138="N/A"),"N/A",""))</f>
        <v/>
      </c>
      <c r="X43" s="177" t="str">
        <f>IF(AND(ISNUMBER(X74),X74&gt;0.8*'Ratio_M+Cl'!R67,X74&lt;1.2*'Ratio_M+Cl'!R67),X106/'Ratio_M+Cl'!R99,IF(OR(X106="N/A",X138="N/A"),"N/A",""))</f>
        <v/>
      </c>
      <c r="Y43" s="177" t="str">
        <f>IF(AND(ISNUMBER(Y74),Y74&gt;0.8*'Ratio_M+Cl'!S67,Y74&lt;1.2*'Ratio_M+Cl'!S67),Y106/'Ratio_M+Cl'!S99,IF(OR(Y106="N/A",Y138="N/A"),"N/A",""))</f>
        <v/>
      </c>
      <c r="Z43" s="177" t="str">
        <f>IF(AND(ISNUMBER(Z74),Z74&gt;0.8*'Ratio_M+Cl'!T67,Z74&lt;1.2*'Ratio_M+Cl'!T67),Z106/'Ratio_M+Cl'!T99,IF(OR(Z106="N/A",Z138="N/A"),"N/A",""))</f>
        <v/>
      </c>
      <c r="AA43" s="177" t="str">
        <f>IF(AND(ISNUMBER(AA74),AA74&gt;0.8*'Ratio_M+Cl'!U67,AA74&lt;1.2*'Ratio_M+Cl'!U67),AA106/'Ratio_M+Cl'!U99,IF(OR(AA106="N/A",AA138="N/A"),"N/A",""))</f>
        <v/>
      </c>
      <c r="AB43" s="177" t="str">
        <f>IF(AND(ISNUMBER(AB74),AB74&gt;0.8*'Ratio_M+Cl'!V67,AB74&lt;1.2*'Ratio_M+Cl'!V67),AB106/'Ratio_M+Cl'!V99,IF(OR(AB106="N/A",AB138="N/A"),"N/A",""))</f>
        <v/>
      </c>
      <c r="AC43" s="177" t="str">
        <f>IF(AND(ISNUMBER(AC74),AC74&gt;0.8*'Ratio_M+Cl'!W67,AC74&lt;1.2*'Ratio_M+Cl'!W67),AC106/'Ratio_M+Cl'!W99,IF(OR(AC106="N/A",AC138="N/A"),"N/A",""))</f>
        <v/>
      </c>
      <c r="AD43" s="180" t="str">
        <f>IF(AND(ISNUMBER(AD74),AD74&gt;0.8*'Ratio_M+Cl'!X67,AD74&lt;1.2*'Ratio_M+Cl'!X67),AD106/'Ratio_M+Cl'!X99,IF(OR(AD106="N/A",AD138="N/A"),"N/A",""))</f>
        <v/>
      </c>
      <c r="AE43" s="177" t="str">
        <f>IF(AND(ISNUMBER(AE74),AE74&gt;0.8*'Ratio_M+Cl'!Y67,AE74&lt;1.2*'Ratio_M+Cl'!Y67),AE106/'Ratio_M+Cl'!Y99,IF(OR(AE106="N/A",AE138="N/A"),"N/A",""))</f>
        <v/>
      </c>
      <c r="AF43" s="177" t="str">
        <f>IF(AND(ISNUMBER(AF74),AF74&gt;0.8*'Ratio_M+Cl'!Z67,AF74&lt;1.2*'Ratio_M+Cl'!Z67),AF106/'Ratio_M+Cl'!Z99,IF(OR(AF106="N/A",AF138="N/A"),"N/A",""))</f>
        <v/>
      </c>
      <c r="AG43" s="177" t="str">
        <f>IF(AND(ISNUMBER(AG74),AG74&gt;0.8*'Ratio_M+Cl'!AA67,AG74&lt;1.2*'Ratio_M+Cl'!AA67),AG106/'Ratio_M+Cl'!AA99,IF(OR(AG106="N/A",AG138="N/A"),"N/A",""))</f>
        <v/>
      </c>
      <c r="AH43" s="177" t="str">
        <f>IF(AND(ISNUMBER(AH74),AH74&gt;0.8*'Ratio_M+Cl'!AB67,AH74&lt;1.2*'Ratio_M+Cl'!AB67),AH106/'Ratio_M+Cl'!AB99,IF(OR(AH106="N/A",AH138="N/A"),"N/A",""))</f>
        <v/>
      </c>
      <c r="AI43" s="180" t="str">
        <f>IF(AND(ISNUMBER(AI74),AI74&gt;0.8*'Ratio_M+Cl'!AC67,AI74&lt;1.2*'Ratio_M+Cl'!AC67),AI106/'Ratio_M+Cl'!AC99,IF(OR(AI106="N/A",AI138="N/A"),"N/A",""))</f>
        <v/>
      </c>
      <c r="AK43" s="158" t="s">
        <v>1011</v>
      </c>
      <c r="AL43" s="177" t="str">
        <f>IF(ISNUMBER(I43),I43*10^6/$AF$3,"")</f>
        <v/>
      </c>
      <c r="AM43" s="177" t="str">
        <f t="shared" ref="AM43:BL52" si="0">IF(ISNUMBER(J43),J43*10^6/$AF$3,"")</f>
        <v/>
      </c>
      <c r="AN43" s="177" t="str">
        <f t="shared" si="0"/>
        <v/>
      </c>
      <c r="AO43" s="177" t="str">
        <f t="shared" si="0"/>
        <v/>
      </c>
      <c r="AP43" s="177" t="str">
        <f t="shared" si="0"/>
        <v/>
      </c>
      <c r="AQ43" s="177" t="str">
        <f t="shared" si="0"/>
        <v/>
      </c>
      <c r="AR43" s="177" t="str">
        <f t="shared" si="0"/>
        <v/>
      </c>
      <c r="AS43" s="177" t="str">
        <f t="shared" si="0"/>
        <v/>
      </c>
      <c r="AT43" s="177" t="str">
        <f t="shared" si="0"/>
        <v/>
      </c>
      <c r="AU43" s="177" t="str">
        <f t="shared" si="0"/>
        <v/>
      </c>
      <c r="AV43" s="177" t="str">
        <f t="shared" si="0"/>
        <v/>
      </c>
      <c r="AW43" s="177" t="str">
        <f t="shared" si="0"/>
        <v/>
      </c>
      <c r="AX43" s="177" t="str">
        <f t="shared" si="0"/>
        <v/>
      </c>
      <c r="AY43" s="177" t="str">
        <f t="shared" si="0"/>
        <v/>
      </c>
      <c r="AZ43" s="177" t="str">
        <f t="shared" si="0"/>
        <v/>
      </c>
      <c r="BA43" s="177" t="str">
        <f t="shared" si="0"/>
        <v/>
      </c>
      <c r="BB43" s="177" t="str">
        <f t="shared" si="0"/>
        <v/>
      </c>
      <c r="BC43" s="177" t="str">
        <f t="shared" si="0"/>
        <v/>
      </c>
      <c r="BD43" s="177" t="str">
        <f t="shared" si="0"/>
        <v/>
      </c>
      <c r="BE43" s="177" t="str">
        <f t="shared" si="0"/>
        <v/>
      </c>
      <c r="BF43" s="177" t="str">
        <f t="shared" si="0"/>
        <v/>
      </c>
      <c r="BG43" s="177" t="str">
        <f t="shared" si="0"/>
        <v/>
      </c>
      <c r="BH43" s="177" t="str">
        <f t="shared" si="0"/>
        <v/>
      </c>
      <c r="BI43" s="177" t="str">
        <f t="shared" si="0"/>
        <v/>
      </c>
      <c r="BJ43" s="177" t="str">
        <f t="shared" si="0"/>
        <v/>
      </c>
      <c r="BK43" s="177" t="str">
        <f t="shared" si="0"/>
        <v/>
      </c>
      <c r="BL43" s="177" t="str">
        <f t="shared" si="0"/>
        <v/>
      </c>
    </row>
    <row r="44" spans="1:64" ht="15.75" x14ac:dyDescent="0.3">
      <c r="A44" s="150">
        <v>39</v>
      </c>
      <c r="B44" s="10" t="s">
        <v>41</v>
      </c>
      <c r="C44">
        <v>74145608.494102493</v>
      </c>
      <c r="E44" s="10" t="s">
        <v>362</v>
      </c>
      <c r="F44" s="151">
        <f>IF(ISNUMBER(M47),M47/SUM($I$43:$AI$71),0)</f>
        <v>2.7818286399485439E-2</v>
      </c>
      <c r="H44" s="159" t="s">
        <v>321</v>
      </c>
      <c r="I44" s="181" t="str">
        <f>IF(AND(ISNUMBER(I75),I75&gt;0.8*'Ratio_M+Cl'!C68,I75&lt;1.2*'Ratio_M+Cl'!C68),I107/'Ratio_M+Cl'!C100,IF(OR(I107="N/A",I139="N/A"),"N/A",""))</f>
        <v/>
      </c>
      <c r="J44" s="181" t="str">
        <f>IF(AND(ISNUMBER(J75),J75&gt;0.8*'Ratio_M+Cl'!D68,J75&lt;1.2*'Ratio_M+Cl'!D68),J107/'Ratio_M+Cl'!D100,IF(OR(J107="N/A",J139="N/A"),"N/A",""))</f>
        <v/>
      </c>
      <c r="K44" s="181" t="str">
        <f>IF(AND(ISNUMBER(K75),K75&gt;0.8*'Ratio_M+Cl'!E68,K75&lt;1.2*'Ratio_M+Cl'!E68),K107/'Ratio_M+Cl'!E100,IF(OR(K107="N/A",K139="N/A"),"N/A",""))</f>
        <v/>
      </c>
      <c r="L44" s="181" t="str">
        <f>IF(AND(ISNUMBER(L75),L75&gt;0.8*'Ratio_M+Cl'!F68,L75&lt;1.2*'Ratio_M+Cl'!F68),L107/'Ratio_M+Cl'!F100,IF(OR(L107="N/A",L139="N/A"),"N/A",""))</f>
        <v/>
      </c>
      <c r="M44" s="181" t="str">
        <f>IF(AND(ISNUMBER(M75),M75&gt;0.8*'Ratio_M+Cl'!G68,M75&lt;1.2*'Ratio_M+Cl'!G68),M107/'Ratio_M+Cl'!G100,IF(OR(M107="N/A",M139="N/A"),"N/A",""))</f>
        <v/>
      </c>
      <c r="N44" s="182" t="str">
        <f>IF(AND(ISNUMBER(N75),N75&gt;0.8*'Ratio_M+Cl'!H68,N75&lt;1.2*'Ratio_M+Cl'!H68),N107/'Ratio_M+Cl'!H100,IF(OR(N107="N/A",N139="N/A"),"N/A",""))</f>
        <v/>
      </c>
      <c r="O44" s="183" t="str">
        <f>IF(AND(ISNUMBER(O75),O75&gt;0.8*'Ratio_M+Cl'!I68,O75&lt;1.2*'Ratio_M+Cl'!I68),O107/'Ratio_M+Cl'!I100,IF(OR(O107="N/A",O139="N/A"),"N/A",""))</f>
        <v/>
      </c>
      <c r="P44" s="184" t="str">
        <f>IF(AND(ISNUMBER(P75),P75&gt;0.8*'Ratio_M+Cl'!J68,P75&lt;1.2*'Ratio_M+Cl'!J68),P107/'Ratio_M+Cl'!J100,IF(OR(P107="N/A",P139="N/A"),"N/A",""))</f>
        <v/>
      </c>
      <c r="Q44" s="183" t="str">
        <f>IF(AND(ISNUMBER(Q75),Q75&gt;0.8*'Ratio_M+Cl'!K68,Q75&lt;1.2*'Ratio_M+Cl'!K68),Q107/'Ratio_M+Cl'!K100,IF(OR(Q107="N/A",Q139="N/A"),"N/A",""))</f>
        <v/>
      </c>
      <c r="R44" s="183" t="str">
        <f>IF(AND(ISNUMBER(R75),R75&gt;0.8*'Ratio_M+Cl'!L68,R75&lt;1.2*'Ratio_M+Cl'!L68),R107/'Ratio_M+Cl'!L100,IF(OR(R107="N/A",R139="N/A"),"N/A",""))</f>
        <v/>
      </c>
      <c r="S44" s="183" t="str">
        <f>IF(AND(ISNUMBER(S75),S75&gt;0.8*'Ratio_M+Cl'!M68,S75&lt;1.2*'Ratio_M+Cl'!M68),S107/'Ratio_M+Cl'!M100,IF(OR(S107="N/A",S139="N/A"),"N/A",""))</f>
        <v/>
      </c>
      <c r="T44" s="183" t="str">
        <f>IF(AND(ISNUMBER(T75),T75&gt;0.8*'Ratio_M+Cl'!N68,T75&lt;1.2*'Ratio_M+Cl'!N68),T107/'Ratio_M+Cl'!N100,IF(OR(T107="N/A",T139="N/A"),"N/A",""))</f>
        <v/>
      </c>
      <c r="U44" s="183" t="str">
        <f>IF(AND(ISNUMBER(U75),U75&gt;0.8*'Ratio_M+Cl'!O68,U75&lt;1.2*'Ratio_M+Cl'!O68),U107/'Ratio_M+Cl'!O100,IF(OR(U107="N/A",U139="N/A"),"N/A",""))</f>
        <v/>
      </c>
      <c r="V44" s="183" t="str">
        <f>IF(AND(ISNUMBER(V75),V75&gt;0.8*'Ratio_M+Cl'!P68,V75&lt;1.2*'Ratio_M+Cl'!P68),V107/'Ratio_M+Cl'!P100,IF(OR(V107="N/A",V139="N/A"),"N/A",""))</f>
        <v/>
      </c>
      <c r="W44" s="183" t="str">
        <f>IF(AND(ISNUMBER(W75),W75&gt;0.8*'Ratio_M+Cl'!Q68,W75&lt;1.2*'Ratio_M+Cl'!Q68),W107/'Ratio_M+Cl'!Q100,IF(OR(W107="N/A",W139="N/A"),"N/A",""))</f>
        <v/>
      </c>
      <c r="X44" s="183" t="str">
        <f>IF(AND(ISNUMBER(X75),X75&gt;0.8*'Ratio_M+Cl'!R68,X75&lt;1.2*'Ratio_M+Cl'!R68),X107/'Ratio_M+Cl'!R100,IF(OR(X107="N/A",X139="N/A"),"N/A",""))</f>
        <v/>
      </c>
      <c r="Y44" s="183" t="str">
        <f>IF(AND(ISNUMBER(Y75),Y75&gt;0.8*'Ratio_M+Cl'!S68,Y75&lt;1.2*'Ratio_M+Cl'!S68),Y107/'Ratio_M+Cl'!S100,IF(OR(Y107="N/A",Y139="N/A"),"N/A",""))</f>
        <v/>
      </c>
      <c r="Z44" s="183" t="str">
        <f>IF(AND(ISNUMBER(Z75),Z75&gt;0.8*'Ratio_M+Cl'!T68,Z75&lt;1.2*'Ratio_M+Cl'!T68),Z107/'Ratio_M+Cl'!T100,IF(OR(Z107="N/A",Z139="N/A"),"N/A",""))</f>
        <v/>
      </c>
      <c r="AA44" s="183" t="str">
        <f>IF(AND(ISNUMBER(AA75),AA75&gt;0.8*'Ratio_M+Cl'!U68,AA75&lt;1.2*'Ratio_M+Cl'!U68),AA107/'Ratio_M+Cl'!U100,IF(OR(AA107="N/A",AA139="N/A"),"N/A",""))</f>
        <v/>
      </c>
      <c r="AB44" s="183" t="str">
        <f>IF(AND(ISNUMBER(AB75),AB75&gt;0.8*'Ratio_M+Cl'!V68,AB75&lt;1.2*'Ratio_M+Cl'!V68),AB107/'Ratio_M+Cl'!V100,IF(OR(AB107="N/A",AB139="N/A"),"N/A",""))</f>
        <v/>
      </c>
      <c r="AC44" s="183" t="str">
        <f>IF(AND(ISNUMBER(AC75),AC75&gt;0.8*'Ratio_M+Cl'!W68,AC75&lt;1.2*'Ratio_M+Cl'!W68),AC107/'Ratio_M+Cl'!W100,IF(OR(AC107="N/A",AC139="N/A"),"N/A",""))</f>
        <v/>
      </c>
      <c r="AD44" s="183" t="str">
        <f>IF(AND(ISNUMBER(AD75),AD75&gt;0.8*'Ratio_M+Cl'!X68,AD75&lt;1.2*'Ratio_M+Cl'!X68),AD107/'Ratio_M+Cl'!X100,IF(OR(AD107="N/A",AD139="N/A"),"N/A",""))</f>
        <v/>
      </c>
      <c r="AE44" s="183" t="str">
        <f>IF(AND(ISNUMBER(AE75),AE75&gt;0.8*'Ratio_M+Cl'!Y68,AE75&lt;1.2*'Ratio_M+Cl'!Y68),AE107/'Ratio_M+Cl'!Y100,IF(OR(AE107="N/A",AE139="N/A"),"N/A",""))</f>
        <v/>
      </c>
      <c r="AF44" s="183" t="str">
        <f>IF(AND(ISNUMBER(AF75),AF75&gt;0.8*'Ratio_M+Cl'!Z68,AF75&lt;1.2*'Ratio_M+Cl'!Z68),AF107/'Ratio_M+Cl'!Z100,IF(OR(AF107="N/A",AF139="N/A"),"N/A",""))</f>
        <v/>
      </c>
      <c r="AG44" s="183" t="str">
        <f>IF(AND(ISNUMBER(AG75),AG75&gt;0.8*'Ratio_M+Cl'!AA68,AG75&lt;1.2*'Ratio_M+Cl'!AA68),AG107/'Ratio_M+Cl'!AA100,IF(OR(AG107="N/A",AG139="N/A"),"N/A",""))</f>
        <v/>
      </c>
      <c r="AH44" s="183" t="str">
        <f>IF(AND(ISNUMBER(AH75),AH75&gt;0.8*'Ratio_M+Cl'!AB68,AH75&lt;1.2*'Ratio_M+Cl'!AB68),AH107/'Ratio_M+Cl'!AB100,IF(OR(AH107="N/A",AH139="N/A"),"N/A",""))</f>
        <v/>
      </c>
      <c r="AI44" s="183" t="str">
        <f>IF(AND(ISNUMBER(AI75),AI75&gt;0.8*'Ratio_M+Cl'!AC68,AI75&lt;1.2*'Ratio_M+Cl'!AC68),AI107/'Ratio_M+Cl'!AC100,IF(OR(AI107="N/A",AI139="N/A"),"N/A",""))</f>
        <v/>
      </c>
      <c r="AK44" s="159" t="s">
        <v>321</v>
      </c>
      <c r="AL44" s="177" t="str">
        <f t="shared" ref="AL44:AL70" si="1">IF(ISNUMBER(I44),I44*10^6/$AF$3,"")</f>
        <v/>
      </c>
      <c r="AM44" s="177" t="str">
        <f t="shared" si="0"/>
        <v/>
      </c>
      <c r="AN44" s="177" t="str">
        <f t="shared" si="0"/>
        <v/>
      </c>
      <c r="AO44" s="177" t="str">
        <f t="shared" si="0"/>
        <v/>
      </c>
      <c r="AP44" s="177" t="str">
        <f t="shared" si="0"/>
        <v/>
      </c>
      <c r="AQ44" s="177" t="str">
        <f t="shared" si="0"/>
        <v/>
      </c>
      <c r="AR44" s="177" t="str">
        <f t="shared" si="0"/>
        <v/>
      </c>
      <c r="AS44" s="177" t="str">
        <f t="shared" si="0"/>
        <v/>
      </c>
      <c r="AT44" s="177" t="str">
        <f t="shared" si="0"/>
        <v/>
      </c>
      <c r="AU44" s="177" t="str">
        <f t="shared" si="0"/>
        <v/>
      </c>
      <c r="AV44" s="177" t="str">
        <f t="shared" si="0"/>
        <v/>
      </c>
      <c r="AW44" s="177" t="str">
        <f t="shared" si="0"/>
        <v/>
      </c>
      <c r="AX44" s="177" t="str">
        <f t="shared" si="0"/>
        <v/>
      </c>
      <c r="AY44" s="177" t="str">
        <f t="shared" si="0"/>
        <v/>
      </c>
      <c r="AZ44" s="177" t="str">
        <f t="shared" si="0"/>
        <v/>
      </c>
      <c r="BA44" s="177" t="str">
        <f t="shared" si="0"/>
        <v/>
      </c>
      <c r="BB44" s="177" t="str">
        <f t="shared" si="0"/>
        <v/>
      </c>
      <c r="BC44" s="177" t="str">
        <f t="shared" si="0"/>
        <v/>
      </c>
      <c r="BD44" s="177" t="str">
        <f t="shared" si="0"/>
        <v/>
      </c>
      <c r="BE44" s="177" t="str">
        <f t="shared" si="0"/>
        <v/>
      </c>
      <c r="BF44" s="177" t="str">
        <f t="shared" si="0"/>
        <v/>
      </c>
      <c r="BG44" s="177" t="str">
        <f t="shared" si="0"/>
        <v/>
      </c>
      <c r="BH44" s="177" t="str">
        <f t="shared" si="0"/>
        <v/>
      </c>
      <c r="BI44" s="177" t="str">
        <f t="shared" si="0"/>
        <v/>
      </c>
      <c r="BJ44" s="177" t="str">
        <f t="shared" si="0"/>
        <v/>
      </c>
      <c r="BK44" s="177" t="str">
        <f t="shared" si="0"/>
        <v/>
      </c>
      <c r="BL44" s="177" t="str">
        <f t="shared" si="0"/>
        <v/>
      </c>
    </row>
    <row r="45" spans="1:64" ht="15.75" x14ac:dyDescent="0.3">
      <c r="A45" s="150">
        <v>40</v>
      </c>
      <c r="B45" s="10" t="s">
        <v>42</v>
      </c>
      <c r="C45">
        <v>57732620.2389412</v>
      </c>
      <c r="E45" s="10" t="s">
        <v>363</v>
      </c>
      <c r="F45" s="151">
        <f>IF(ISNUMBER(N47),N47/SUM($I$43:$AI$71),0)</f>
        <v>1.0907977610722361E-2</v>
      </c>
      <c r="H45" s="160" t="s">
        <v>10</v>
      </c>
      <c r="I45" s="183" t="str">
        <f>IF(AND(ISNUMBER(I76),I76&gt;0.8*'Ratio_M+Cl'!C69,I76&lt;1.2*'Ratio_M+Cl'!C69),I108/'Ratio_M+Cl'!C101,IF(OR(I108="N/A",I140="N/A"),"N/A",""))</f>
        <v/>
      </c>
      <c r="J45" s="183">
        <f>IF(AND(ISNUMBER(J76),J76&gt;0.8*'Ratio_M+Cl'!D69,J76&lt;1.2*'Ratio_M+Cl'!D69),J108/'Ratio_M+Cl'!D101,IF(OR(J108="N/A",J140="N/A"),"N/A",""))</f>
        <v>46.423258530185358</v>
      </c>
      <c r="K45" s="180">
        <f>IF(AND(ISNUMBER(K76),K76&gt;0.8*'Ratio_M+Cl'!E69,K76&lt;1.2*'Ratio_M+Cl'!E69),K108/'Ratio_M+Cl'!E101,IF(OR(K108="N/A",K140="N/A"),"N/A",""))</f>
        <v>281.31643277937013</v>
      </c>
      <c r="L45" s="180">
        <f>IF(AND(ISNUMBER(L76),L76&gt;0.8*'Ratio_M+Cl'!F69,L76&lt;1.2*'Ratio_M+Cl'!F69),L108/'Ratio_M+Cl'!F101,IF(OR(L108="N/A",L140="N/A"),"N/A",""))</f>
        <v>235.56821119768216</v>
      </c>
      <c r="M45" s="180">
        <f>IF(AND(ISNUMBER(M76),M76&gt;0.8*'Ratio_M+Cl'!G69,M76&lt;1.2*'Ratio_M+Cl'!G69),M108/'Ratio_M+Cl'!G101,IF(OR(M108="N/A",M140="N/A"),"N/A",""))</f>
        <v>273.21311173892866</v>
      </c>
      <c r="N45" s="183">
        <f>IF(AND(ISNUMBER(N76),N76&gt;0.8*'Ratio_M+Cl'!H69,N76&lt;1.2*'Ratio_M+Cl'!H69),N108/'Ratio_M+Cl'!H101,IF(OR(N108="N/A",N140="N/A"),"N/A",""))</f>
        <v>562.44784505388077</v>
      </c>
      <c r="O45" s="185">
        <f>IF(AND(ISNUMBER(O76),O76&gt;0.8*'Ratio_M+Cl'!I69,O76&lt;1.2*'Ratio_M+Cl'!I69),O108/'Ratio_M+Cl'!I101,IF(OR(O108="N/A",O140="N/A"),"N/A",""))</f>
        <v>414.61681412513911</v>
      </c>
      <c r="P45" s="183">
        <f>IF(AND(ISNUMBER(P76),P76&gt;0.8*'Ratio_M+Cl'!J69,P76&lt;1.2*'Ratio_M+Cl'!J69),P108/'Ratio_M+Cl'!J101,IF(OR(P108="N/A",P140="N/A"),"N/A",""))</f>
        <v>103.53060108008086</v>
      </c>
      <c r="Q45" s="184" t="str">
        <f>IF(AND(ISNUMBER(Q76),Q76&gt;0.8*'Ratio_M+Cl'!K69,Q76&lt;1.2*'Ratio_M+Cl'!K69),Q108/'Ratio_M+Cl'!K101,IF(OR(Q108="N/A",Q140="N/A"),"N/A",""))</f>
        <v/>
      </c>
      <c r="R45" s="183" t="str">
        <f>IF(AND(ISNUMBER(R76),R76&gt;0.8*'Ratio_M+Cl'!L69,R76&lt;1.2*'Ratio_M+Cl'!L69),R108/'Ratio_M+Cl'!L101,IF(OR(R108="N/A",R140="N/A"),"N/A",""))</f>
        <v/>
      </c>
      <c r="S45" s="183" t="str">
        <f>IF(AND(ISNUMBER(S76),S76&gt;0.8*'Ratio_M+Cl'!M69,S76&lt;1.2*'Ratio_M+Cl'!M69),S108/'Ratio_M+Cl'!M101,IF(OR(S108="N/A",S140="N/A"),"N/A",""))</f>
        <v/>
      </c>
      <c r="T45" s="183" t="str">
        <f>IF(AND(ISNUMBER(T76),T76&gt;0.8*'Ratio_M+Cl'!N69,T76&lt;1.2*'Ratio_M+Cl'!N69),T108/'Ratio_M+Cl'!N101,IF(OR(T108="N/A",T140="N/A"),"N/A",""))</f>
        <v/>
      </c>
      <c r="U45" s="183" t="str">
        <f>IF(AND(ISNUMBER(U76),U76&gt;0.8*'Ratio_M+Cl'!O69,U76&lt;1.2*'Ratio_M+Cl'!O69),U108/'Ratio_M+Cl'!O101,IF(OR(U108="N/A",U140="N/A"),"N/A",""))</f>
        <v/>
      </c>
      <c r="V45" s="183" t="str">
        <f>IF(AND(ISNUMBER(V76),V76&gt;0.8*'Ratio_M+Cl'!P69,V76&lt;1.2*'Ratio_M+Cl'!P69),V108/'Ratio_M+Cl'!P101,IF(OR(V108="N/A",V140="N/A"),"N/A",""))</f>
        <v/>
      </c>
      <c r="W45" s="183" t="str">
        <f>IF(AND(ISNUMBER(W76),W76&gt;0.8*'Ratio_M+Cl'!Q69,W76&lt;1.2*'Ratio_M+Cl'!Q69),W108/'Ratio_M+Cl'!Q101,IF(OR(W108="N/A",W140="N/A"),"N/A",""))</f>
        <v/>
      </c>
      <c r="X45" s="183" t="str">
        <f>IF(AND(ISNUMBER(X76),X76&gt;0.8*'Ratio_M+Cl'!R69,X76&lt;1.2*'Ratio_M+Cl'!R69),X108/'Ratio_M+Cl'!R101,IF(OR(X108="N/A",X140="N/A"),"N/A",""))</f>
        <v/>
      </c>
      <c r="Y45" s="183" t="str">
        <f>IF(AND(ISNUMBER(Y76),Y76&gt;0.8*'Ratio_M+Cl'!S69,Y76&lt;1.2*'Ratio_M+Cl'!S69),Y108/'Ratio_M+Cl'!S101,IF(OR(Y108="N/A",Y140="N/A"),"N/A",""))</f>
        <v/>
      </c>
      <c r="Z45" s="183" t="str">
        <f>IF(AND(ISNUMBER(Z76),Z76&gt;0.8*'Ratio_M+Cl'!T69,Z76&lt;1.2*'Ratio_M+Cl'!T69),Z108/'Ratio_M+Cl'!T101,IF(OR(Z108="N/A",Z140="N/A"),"N/A",""))</f>
        <v/>
      </c>
      <c r="AA45" s="183" t="str">
        <f>IF(AND(ISNUMBER(AA76),AA76&gt;0.8*'Ratio_M+Cl'!U69,AA76&lt;1.2*'Ratio_M+Cl'!U69),AA108/'Ratio_M+Cl'!U101,IF(OR(AA108="N/A",AA140="N/A"),"N/A",""))</f>
        <v/>
      </c>
      <c r="AB45" s="183" t="str">
        <f>IF(AND(ISNUMBER(AB76),AB76&gt;0.8*'Ratio_M+Cl'!V69,AB76&lt;1.2*'Ratio_M+Cl'!V69),AB108/'Ratio_M+Cl'!V101,IF(OR(AB108="N/A",AB140="N/A"),"N/A",""))</f>
        <v/>
      </c>
      <c r="AC45" s="183" t="str">
        <f>IF(AND(ISNUMBER(AC76),AC76&gt;0.8*'Ratio_M+Cl'!W69,AC76&lt;1.2*'Ratio_M+Cl'!W69),AC108/'Ratio_M+Cl'!W101,IF(OR(AC108="N/A",AC140="N/A"),"N/A",""))</f>
        <v/>
      </c>
      <c r="AD45" s="183" t="str">
        <f>IF(AND(ISNUMBER(AD76),AD76&gt;0.8*'Ratio_M+Cl'!X69,AD76&lt;1.2*'Ratio_M+Cl'!X69),AD108/'Ratio_M+Cl'!X101,IF(OR(AD108="N/A",AD140="N/A"),"N/A",""))</f>
        <v/>
      </c>
      <c r="AE45" s="183" t="str">
        <f>IF(AND(ISNUMBER(AE76),AE76&gt;0.8*'Ratio_M+Cl'!Y69,AE76&lt;1.2*'Ratio_M+Cl'!Y69),AE108/'Ratio_M+Cl'!Y101,IF(OR(AE108="N/A",AE140="N/A"),"N/A",""))</f>
        <v/>
      </c>
      <c r="AF45" s="183" t="str">
        <f>IF(AND(ISNUMBER(AF76),AF76&gt;0.8*'Ratio_M+Cl'!Z69,AF76&lt;1.2*'Ratio_M+Cl'!Z69),AF108/'Ratio_M+Cl'!Z101,IF(OR(AF108="N/A",AF140="N/A"),"N/A",""))</f>
        <v/>
      </c>
      <c r="AG45" s="183" t="str">
        <f>IF(AND(ISNUMBER(AG76),AG76&gt;0.8*'Ratio_M+Cl'!AA69,AG76&lt;1.2*'Ratio_M+Cl'!AA69),AG108/'Ratio_M+Cl'!AA101,IF(OR(AG108="N/A",AG140="N/A"),"N/A",""))</f>
        <v/>
      </c>
      <c r="AH45" s="183" t="str">
        <f>IF(AND(ISNUMBER(AH76),AH76&gt;0.8*'Ratio_M+Cl'!AB69,AH76&lt;1.2*'Ratio_M+Cl'!AB69),AH108/'Ratio_M+Cl'!AB101,IF(OR(AH108="N/A",AH140="N/A"),"N/A",""))</f>
        <v/>
      </c>
      <c r="AI45" s="183" t="str">
        <f>IF(AND(ISNUMBER(AI76),AI76&gt;0.8*'Ratio_M+Cl'!AC69,AI76&lt;1.2*'Ratio_M+Cl'!AC69),AI108/'Ratio_M+Cl'!AC101,IF(OR(AI108="N/A",AI140="N/A"),"N/A",""))</f>
        <v/>
      </c>
      <c r="AK45" s="160" t="s">
        <v>10</v>
      </c>
      <c r="AL45" s="177" t="str">
        <f t="shared" si="1"/>
        <v/>
      </c>
      <c r="AM45" s="177">
        <f t="shared" si="0"/>
        <v>0.40745848023129716</v>
      </c>
      <c r="AN45" s="177">
        <f t="shared" si="0"/>
        <v>2.469123663299952</v>
      </c>
      <c r="AO45" s="177">
        <f t="shared" si="0"/>
        <v>2.067590004760262</v>
      </c>
      <c r="AP45" s="177">
        <f t="shared" si="0"/>
        <v>2.3980005456967857</v>
      </c>
      <c r="AQ45" s="177">
        <f t="shared" si="0"/>
        <v>4.9366233954906171</v>
      </c>
      <c r="AR45" s="177">
        <f t="shared" si="0"/>
        <v>3.6391055326700883</v>
      </c>
      <c r="AS45" s="177">
        <f t="shared" si="0"/>
        <v>0.90869152035273992</v>
      </c>
      <c r="AT45" s="177" t="str">
        <f t="shared" si="0"/>
        <v/>
      </c>
      <c r="AU45" s="177" t="str">
        <f t="shared" si="0"/>
        <v/>
      </c>
      <c r="AV45" s="177" t="str">
        <f t="shared" si="0"/>
        <v/>
      </c>
      <c r="AW45" s="177" t="str">
        <f t="shared" si="0"/>
        <v/>
      </c>
      <c r="AX45" s="177" t="str">
        <f t="shared" si="0"/>
        <v/>
      </c>
      <c r="AY45" s="177" t="str">
        <f t="shared" si="0"/>
        <v/>
      </c>
      <c r="AZ45" s="177" t="str">
        <f t="shared" si="0"/>
        <v/>
      </c>
      <c r="BA45" s="177" t="str">
        <f t="shared" si="0"/>
        <v/>
      </c>
      <c r="BB45" s="177" t="str">
        <f t="shared" si="0"/>
        <v/>
      </c>
      <c r="BC45" s="177" t="str">
        <f t="shared" si="0"/>
        <v/>
      </c>
      <c r="BD45" s="177" t="str">
        <f t="shared" si="0"/>
        <v/>
      </c>
      <c r="BE45" s="177" t="str">
        <f t="shared" si="0"/>
        <v/>
      </c>
      <c r="BF45" s="177" t="str">
        <f t="shared" si="0"/>
        <v/>
      </c>
      <c r="BG45" s="177" t="str">
        <f t="shared" si="0"/>
        <v/>
      </c>
      <c r="BH45" s="177" t="str">
        <f t="shared" si="0"/>
        <v/>
      </c>
      <c r="BI45" s="177" t="str">
        <f t="shared" si="0"/>
        <v/>
      </c>
      <c r="BJ45" s="177" t="str">
        <f t="shared" si="0"/>
        <v/>
      </c>
      <c r="BK45" s="177" t="str">
        <f t="shared" si="0"/>
        <v/>
      </c>
      <c r="BL45" s="177" t="str">
        <f t="shared" si="0"/>
        <v/>
      </c>
    </row>
    <row r="46" spans="1:64" ht="15.75" x14ac:dyDescent="0.3">
      <c r="A46" s="150">
        <v>41</v>
      </c>
      <c r="B46" s="10" t="s">
        <v>43</v>
      </c>
      <c r="C46">
        <v>144431240.90231299</v>
      </c>
      <c r="E46" s="10" t="s">
        <v>364</v>
      </c>
      <c r="F46" s="151">
        <f>IF(ISNUMBER(O47),O47/SUM($I$43:$AI$71),0)</f>
        <v>1.7221833668998671E-2</v>
      </c>
      <c r="H46" s="160" t="s">
        <v>11</v>
      </c>
      <c r="I46" s="183" t="str">
        <f>IF(AND(ISNUMBER(I77),I77&gt;0.8*'Ratio_M+Cl'!C70,I77&lt;1.2*'Ratio_M+Cl'!C70),I109/'Ratio_M+Cl'!C102,IF(OR(I109="N/A",I141="N/A"),"N/A",""))</f>
        <v/>
      </c>
      <c r="J46" s="183">
        <f>IF(AND(ISNUMBER(J77),J77&gt;0.8*'Ratio_M+Cl'!D70,J77&lt;1.2*'Ratio_M+Cl'!D70),J109/'Ratio_M+Cl'!D102,IF(OR(J109="N/A",J141="N/A"),"N/A",""))</f>
        <v>275.11413167462598</v>
      </c>
      <c r="K46" s="180">
        <f>IF(AND(ISNUMBER(K77),K77&gt;0.8*'Ratio_M+Cl'!E70,K77&lt;1.2*'Ratio_M+Cl'!E70),K109/'Ratio_M+Cl'!E102,IF(OR(K109="N/A",K141="N/A"),"N/A",""))</f>
        <v>1809.2815966418243</v>
      </c>
      <c r="L46" s="180">
        <f>IF(AND(ISNUMBER(L77),L77&gt;0.8*'Ratio_M+Cl'!F70,L77&lt;1.2*'Ratio_M+Cl'!F70),L109/'Ratio_M+Cl'!F102,IF(OR(L109="N/A",L141="N/A"),"N/A",""))</f>
        <v>1985.5419651161747</v>
      </c>
      <c r="M46" s="180">
        <f>IF(AND(ISNUMBER(M77),M77&gt;0.8*'Ratio_M+Cl'!G70,M77&lt;1.2*'Ratio_M+Cl'!G70),M109/'Ratio_M+Cl'!G102,IF(OR(M109="N/A",M141="N/A"),"N/A",""))</f>
        <v>849.33824580876683</v>
      </c>
      <c r="N46" s="183">
        <f>IF(AND(ISNUMBER(N77),N77&gt;0.8*'Ratio_M+Cl'!H70,N77&lt;1.2*'Ratio_M+Cl'!H70),N109/'Ratio_M+Cl'!H102,IF(OR(N109="N/A",N141="N/A"),"N/A",""))</f>
        <v>945.77101726127466</v>
      </c>
      <c r="O46" s="183">
        <f>IF(AND(ISNUMBER(O77),O77&gt;0.8*'Ratio_M+Cl'!I70,O77&lt;1.2*'Ratio_M+Cl'!I70),O109/'Ratio_M+Cl'!I102,IF(OR(O109="N/A",O141="N/A"),"N/A",""))</f>
        <v>1439.6208523928785</v>
      </c>
      <c r="P46" s="185">
        <f>IF(AND(ISNUMBER(P77),P77&gt;0.8*'Ratio_M+Cl'!J70,P77&lt;1.2*'Ratio_M+Cl'!J70),P109/'Ratio_M+Cl'!J102,IF(OR(P109="N/A",P141="N/A"),"N/A",""))</f>
        <v>916.25506557201561</v>
      </c>
      <c r="Q46" s="183">
        <f>IF(AND(ISNUMBER(Q77),Q77&gt;0.8*'Ratio_M+Cl'!K70,Q77&lt;1.2*'Ratio_M+Cl'!K70),Q109/'Ratio_M+Cl'!K102,IF(OR(Q109="N/A",Q141="N/A"),"N/A",""))</f>
        <v>241.13092609588637</v>
      </c>
      <c r="R46" s="184">
        <f>IF(AND(ISNUMBER(R77),R77&gt;0.8*'Ratio_M+Cl'!L70,R77&lt;1.2*'Ratio_M+Cl'!L70),R109/'Ratio_M+Cl'!L102,IF(OR(R109="N/A",R141="N/A"),"N/A",""))</f>
        <v>17.648175154419022</v>
      </c>
      <c r="S46" s="183" t="str">
        <f>IF(AND(ISNUMBER(S77),S77&gt;0.8*'Ratio_M+Cl'!M70,S77&lt;1.2*'Ratio_M+Cl'!M70),S109/'Ratio_M+Cl'!M102,IF(OR(S109="N/A",S141="N/A"),"N/A",""))</f>
        <v/>
      </c>
      <c r="T46" s="183" t="str">
        <f>IF(AND(ISNUMBER(T77),T77&gt;0.8*'Ratio_M+Cl'!N70,T77&lt;1.2*'Ratio_M+Cl'!N70),T109/'Ratio_M+Cl'!N102,IF(OR(T109="N/A",T141="N/A"),"N/A",""))</f>
        <v/>
      </c>
      <c r="U46" s="183" t="str">
        <f>IF(AND(ISNUMBER(U77),U77&gt;0.8*'Ratio_M+Cl'!O70,U77&lt;1.2*'Ratio_M+Cl'!O70),U109/'Ratio_M+Cl'!O102,IF(OR(U109="N/A",U141="N/A"),"N/A",""))</f>
        <v/>
      </c>
      <c r="V46" s="183" t="str">
        <f>IF(AND(ISNUMBER(V77),V77&gt;0.8*'Ratio_M+Cl'!P70,V77&lt;1.2*'Ratio_M+Cl'!P70),V109/'Ratio_M+Cl'!P102,IF(OR(V109="N/A",V141="N/A"),"N/A",""))</f>
        <v/>
      </c>
      <c r="W46" s="183" t="str">
        <f>IF(AND(ISNUMBER(W77),W77&gt;0.8*'Ratio_M+Cl'!Q70,W77&lt;1.2*'Ratio_M+Cl'!Q70),W109/'Ratio_M+Cl'!Q102,IF(OR(W109="N/A",W141="N/A"),"N/A",""))</f>
        <v/>
      </c>
      <c r="X46" s="183" t="str">
        <f>IF(AND(ISNUMBER(X77),X77&gt;0.8*'Ratio_M+Cl'!R70,X77&lt;1.2*'Ratio_M+Cl'!R70),X109/'Ratio_M+Cl'!R102,IF(OR(X109="N/A",X141="N/A"),"N/A",""))</f>
        <v/>
      </c>
      <c r="Y46" s="183" t="str">
        <f>IF(AND(ISNUMBER(Y77),Y77&gt;0.8*'Ratio_M+Cl'!S70,Y77&lt;1.2*'Ratio_M+Cl'!S70),Y109/'Ratio_M+Cl'!S102,IF(OR(Y109="N/A",Y141="N/A"),"N/A",""))</f>
        <v/>
      </c>
      <c r="Z46" s="183" t="str">
        <f>IF(AND(ISNUMBER(Z77),Z77&gt;0.8*'Ratio_M+Cl'!T70,Z77&lt;1.2*'Ratio_M+Cl'!T70),Z109/'Ratio_M+Cl'!T102,IF(OR(Z109="N/A",Z141="N/A"),"N/A",""))</f>
        <v/>
      </c>
      <c r="AA46" s="183" t="str">
        <f>IF(AND(ISNUMBER(AA77),AA77&gt;0.8*'Ratio_M+Cl'!U70,AA77&lt;1.2*'Ratio_M+Cl'!U70),AA109/'Ratio_M+Cl'!U102,IF(OR(AA109="N/A",AA141="N/A"),"N/A",""))</f>
        <v/>
      </c>
      <c r="AB46" s="183" t="str">
        <f>IF(AND(ISNUMBER(AB77),AB77&gt;0.8*'Ratio_M+Cl'!V70,AB77&lt;1.2*'Ratio_M+Cl'!V70),AB109/'Ratio_M+Cl'!V102,IF(OR(AB109="N/A",AB141="N/A"),"N/A",""))</f>
        <v/>
      </c>
      <c r="AC46" s="183" t="str">
        <f>IF(AND(ISNUMBER(AC77),AC77&gt;0.8*'Ratio_M+Cl'!W70,AC77&lt;1.2*'Ratio_M+Cl'!W70),AC109/'Ratio_M+Cl'!W102,IF(OR(AC109="N/A",AC141="N/A"),"N/A",""))</f>
        <v/>
      </c>
      <c r="AD46" s="183" t="str">
        <f>IF(AND(ISNUMBER(AD77),AD77&gt;0.8*'Ratio_M+Cl'!X70,AD77&lt;1.2*'Ratio_M+Cl'!X70),AD109/'Ratio_M+Cl'!X102,IF(OR(AD109="N/A",AD141="N/A"),"N/A",""))</f>
        <v/>
      </c>
      <c r="AE46" s="183" t="str">
        <f>IF(AND(ISNUMBER(AE77),AE77&gt;0.8*'Ratio_M+Cl'!Y70,AE77&lt;1.2*'Ratio_M+Cl'!Y70),AE109/'Ratio_M+Cl'!Y102,IF(OR(AE109="N/A",AE141="N/A"),"N/A",""))</f>
        <v/>
      </c>
      <c r="AF46" s="183" t="str">
        <f>IF(AND(ISNUMBER(AF77),AF77&gt;0.8*'Ratio_M+Cl'!Z70,AF77&lt;1.2*'Ratio_M+Cl'!Z70),AF109/'Ratio_M+Cl'!Z102,IF(OR(AF109="N/A",AF141="N/A"),"N/A",""))</f>
        <v/>
      </c>
      <c r="AG46" s="183" t="str">
        <f>IF(AND(ISNUMBER(AG77),AG77&gt;0.8*'Ratio_M+Cl'!AA70,AG77&lt;1.2*'Ratio_M+Cl'!AA70),AG109/'Ratio_M+Cl'!AA102,IF(OR(AG109="N/A",AG141="N/A"),"N/A",""))</f>
        <v/>
      </c>
      <c r="AH46" s="183" t="str">
        <f>IF(AND(ISNUMBER(AH77),AH77&gt;0.8*'Ratio_M+Cl'!AB70,AH77&lt;1.2*'Ratio_M+Cl'!AB70),AH109/'Ratio_M+Cl'!AB102,IF(OR(AH109="N/A",AH141="N/A"),"N/A",""))</f>
        <v/>
      </c>
      <c r="AI46" s="183" t="str">
        <f>IF(AND(ISNUMBER(AI77),AI77&gt;0.8*'Ratio_M+Cl'!AC70,AI77&lt;1.2*'Ratio_M+Cl'!AC70),AI109/'Ratio_M+Cl'!AC102,IF(OR(AI109="N/A",AI141="N/A"),"N/A",""))</f>
        <v/>
      </c>
      <c r="AK46" s="160" t="s">
        <v>11</v>
      </c>
      <c r="AL46" s="177" t="str">
        <f t="shared" si="1"/>
        <v/>
      </c>
      <c r="AM46" s="177">
        <f t="shared" si="0"/>
        <v>2.4146858607395671</v>
      </c>
      <c r="AN46" s="177">
        <f t="shared" si="0"/>
        <v>15.880124597431807</v>
      </c>
      <c r="AO46" s="177">
        <f t="shared" si="0"/>
        <v>17.427167699045825</v>
      </c>
      <c r="AP46" s="177">
        <f t="shared" si="0"/>
        <v>7.4546699606304925</v>
      </c>
      <c r="AQ46" s="177">
        <f t="shared" si="0"/>
        <v>8.3010635948684293</v>
      </c>
      <c r="AR46" s="177">
        <f t="shared" si="0"/>
        <v>12.635599981502306</v>
      </c>
      <c r="AS46" s="177">
        <f t="shared" si="0"/>
        <v>8.0420011076872235</v>
      </c>
      <c r="AT46" s="177">
        <f t="shared" si="0"/>
        <v>2.1164141379672947</v>
      </c>
      <c r="AU46" s="177">
        <f t="shared" si="0"/>
        <v>0.15489861881624797</v>
      </c>
      <c r="AV46" s="177" t="str">
        <f t="shared" si="0"/>
        <v/>
      </c>
      <c r="AW46" s="177" t="str">
        <f t="shared" si="0"/>
        <v/>
      </c>
      <c r="AX46" s="177" t="str">
        <f t="shared" si="0"/>
        <v/>
      </c>
      <c r="AY46" s="177" t="str">
        <f t="shared" si="0"/>
        <v/>
      </c>
      <c r="AZ46" s="177" t="str">
        <f t="shared" si="0"/>
        <v/>
      </c>
      <c r="BA46" s="177" t="str">
        <f t="shared" si="0"/>
        <v/>
      </c>
      <c r="BB46" s="177" t="str">
        <f t="shared" si="0"/>
        <v/>
      </c>
      <c r="BC46" s="177" t="str">
        <f t="shared" si="0"/>
        <v/>
      </c>
      <c r="BD46" s="177" t="str">
        <f t="shared" si="0"/>
        <v/>
      </c>
      <c r="BE46" s="177" t="str">
        <f t="shared" si="0"/>
        <v/>
      </c>
      <c r="BF46" s="177" t="str">
        <f t="shared" si="0"/>
        <v/>
      </c>
      <c r="BG46" s="177" t="str">
        <f t="shared" si="0"/>
        <v/>
      </c>
      <c r="BH46" s="177" t="str">
        <f t="shared" si="0"/>
        <v/>
      </c>
      <c r="BI46" s="177" t="str">
        <f t="shared" si="0"/>
        <v/>
      </c>
      <c r="BJ46" s="177" t="str">
        <f t="shared" si="0"/>
        <v/>
      </c>
      <c r="BK46" s="177" t="str">
        <f t="shared" si="0"/>
        <v/>
      </c>
      <c r="BL46" s="177" t="str">
        <f t="shared" si="0"/>
        <v/>
      </c>
    </row>
    <row r="47" spans="1:64" ht="15.75" x14ac:dyDescent="0.3">
      <c r="A47" s="150">
        <v>42</v>
      </c>
      <c r="B47" s="10" t="s">
        <v>44</v>
      </c>
      <c r="C47">
        <v>122396287.438087</v>
      </c>
      <c r="E47" s="10" t="s">
        <v>365</v>
      </c>
      <c r="F47" s="151">
        <f>IF(ISNUMBER(P47),P47/SUM($I$43:$AI$71),0)</f>
        <v>2.5128484087257465E-2</v>
      </c>
      <c r="H47" s="160" t="s">
        <v>12</v>
      </c>
      <c r="I47" s="183" t="str">
        <f>IF(AND(ISNUMBER(I78),I78&gt;0.8*'Ratio_M+Cl'!C71,I78&lt;1.2*'Ratio_M+Cl'!C71),I110/'Ratio_M+Cl'!C103,IF(OR(I110="N/A",I142="N/A"),"N/A",""))</f>
        <v/>
      </c>
      <c r="J47" s="183">
        <f>IF(AND(ISNUMBER(J78),J78&gt;0.8*'Ratio_M+Cl'!D71,J78&lt;1.2*'Ratio_M+Cl'!D71),J110/'Ratio_M+Cl'!D103,IF(OR(J110="N/A",J142="N/A"),"N/A",""))</f>
        <v>259.61391438640726</v>
      </c>
      <c r="K47" s="180">
        <f>IF(AND(ISNUMBER(K78),K78&gt;0.8*'Ratio_M+Cl'!E71,K78&lt;1.2*'Ratio_M+Cl'!E71),K110/'Ratio_M+Cl'!E103,IF(OR(K110="N/A",K142="N/A"),"N/A",""))</f>
        <v>2208.8943869232539</v>
      </c>
      <c r="L47" s="180">
        <f>IF(AND(ISNUMBER(L78),L78&gt;0.8*'Ratio_M+Cl'!F71,L78&lt;1.2*'Ratio_M+Cl'!F71),L110/'Ratio_M+Cl'!F103,IF(OR(L110="N/A",L142="N/A"),"N/A",""))</f>
        <v>3755.8969245744775</v>
      </c>
      <c r="M47" s="180">
        <f>IF(AND(ISNUMBER(M78),M78&gt;0.8*'Ratio_M+Cl'!G71,M78&lt;1.2*'Ratio_M+Cl'!G71),M110/'Ratio_M+Cl'!G103,IF(OR(M110="N/A",M142="N/A"),"N/A",""))</f>
        <v>2223.8885684081411</v>
      </c>
      <c r="N47" s="183">
        <f>IF(AND(ISNUMBER(N78),N78&gt;0.8*'Ratio_M+Cl'!H71,N78&lt;1.2*'Ratio_M+Cl'!H71),N110/'Ratio_M+Cl'!H103,IF(OR(N110="N/A",N142="N/A"),"N/A",""))</f>
        <v>872.02088455693354</v>
      </c>
      <c r="O47" s="183">
        <f>IF(AND(ISNUMBER(O78),O78&gt;0.8*'Ratio_M+Cl'!I71,O78&lt;1.2*'Ratio_M+Cl'!I71),O110/'Ratio_M+Cl'!I103,IF(OR(O110="N/A",O142="N/A"),"N/A",""))</f>
        <v>1376.7720438819342</v>
      </c>
      <c r="P47" s="183">
        <f>IF(AND(ISNUMBER(P78),P78&gt;0.8*'Ratio_M+Cl'!J71,P78&lt;1.2*'Ratio_M+Cl'!J71),P110/'Ratio_M+Cl'!J103,IF(OR(P110="N/A",P142="N/A"),"N/A",""))</f>
        <v>2008.856609662033</v>
      </c>
      <c r="Q47" s="185">
        <f>IF(AND(ISNUMBER(Q78),Q78&gt;0.8*'Ratio_M+Cl'!K71,Q78&lt;1.2*'Ratio_M+Cl'!K71),Q110/'Ratio_M+Cl'!K103,IF(OR(Q110="N/A",Q142="N/A"),"N/A",""))</f>
        <v>1272.7874246805188</v>
      </c>
      <c r="R47" s="183">
        <f>IF(AND(ISNUMBER(R78),R78&gt;0.8*'Ratio_M+Cl'!L71,R78&lt;1.2*'Ratio_M+Cl'!L71),R110/'Ratio_M+Cl'!L103,IF(OR(R110="N/A",R142="N/A"),"N/A",""))</f>
        <v>321.21012360470309</v>
      </c>
      <c r="S47" s="184">
        <f>IF(AND(ISNUMBER(S78),S78&gt;0.8*'Ratio_M+Cl'!M71,S78&lt;1.2*'Ratio_M+Cl'!M71),S110/'Ratio_M+Cl'!M103,IF(OR(S110="N/A",S142="N/A"),"N/A",""))</f>
        <v>22.903908282750638</v>
      </c>
      <c r="T47" s="183" t="str">
        <f>IF(AND(ISNUMBER(T78),T78&gt;0.8*'Ratio_M+Cl'!N71,T78&lt;1.2*'Ratio_M+Cl'!N71),T110/'Ratio_M+Cl'!N103,IF(OR(T110="N/A",T142="N/A"),"N/A",""))</f>
        <v/>
      </c>
      <c r="U47" s="183" t="str">
        <f>IF(AND(ISNUMBER(U78),U78&gt;0.8*'Ratio_M+Cl'!O71,U78&lt;1.2*'Ratio_M+Cl'!O71),U110/'Ratio_M+Cl'!O103,IF(OR(U110="N/A",U142="N/A"),"N/A",""))</f>
        <v/>
      </c>
      <c r="V47" s="183" t="str">
        <f>IF(AND(ISNUMBER(V78),V78&gt;0.8*'Ratio_M+Cl'!P71,V78&lt;1.2*'Ratio_M+Cl'!P71),V110/'Ratio_M+Cl'!P103,IF(OR(V110="N/A",V142="N/A"),"N/A",""))</f>
        <v/>
      </c>
      <c r="W47" s="183" t="str">
        <f>IF(AND(ISNUMBER(W78),W78&gt;0.8*'Ratio_M+Cl'!Q71,W78&lt;1.2*'Ratio_M+Cl'!Q71),W110/'Ratio_M+Cl'!Q103,IF(OR(W110="N/A",W142="N/A"),"N/A",""))</f>
        <v/>
      </c>
      <c r="X47" s="183" t="str">
        <f>IF(AND(ISNUMBER(X78),X78&gt;0.8*'Ratio_M+Cl'!R71,X78&lt;1.2*'Ratio_M+Cl'!R71),X110/'Ratio_M+Cl'!R103,IF(OR(X110="N/A",X142="N/A"),"N/A",""))</f>
        <v/>
      </c>
      <c r="Y47" s="183" t="str">
        <f>IF(AND(ISNUMBER(Y78),Y78&gt;0.8*'Ratio_M+Cl'!S71,Y78&lt;1.2*'Ratio_M+Cl'!S71),Y110/'Ratio_M+Cl'!S103,IF(OR(Y110="N/A",Y142="N/A"),"N/A",""))</f>
        <v/>
      </c>
      <c r="Z47" s="183" t="str">
        <f>IF(AND(ISNUMBER(Z78),Z78&gt;0.8*'Ratio_M+Cl'!T71,Z78&lt;1.2*'Ratio_M+Cl'!T71),Z110/'Ratio_M+Cl'!T103,IF(OR(Z110="N/A",Z142="N/A"),"N/A",""))</f>
        <v/>
      </c>
      <c r="AA47" s="183" t="str">
        <f>IF(AND(ISNUMBER(AA78),AA78&gt;0.8*'Ratio_M+Cl'!U71,AA78&lt;1.2*'Ratio_M+Cl'!U71),AA110/'Ratio_M+Cl'!U103,IF(OR(AA110="N/A",AA142="N/A"),"N/A",""))</f>
        <v/>
      </c>
      <c r="AB47" s="183" t="str">
        <f>IF(AND(ISNUMBER(AB78),AB78&gt;0.8*'Ratio_M+Cl'!V71,AB78&lt;1.2*'Ratio_M+Cl'!V71),AB110/'Ratio_M+Cl'!V103,IF(OR(AB110="N/A",AB142="N/A"),"N/A",""))</f>
        <v/>
      </c>
      <c r="AC47" s="183" t="str">
        <f>IF(AND(ISNUMBER(AC78),AC78&gt;0.8*'Ratio_M+Cl'!W71,AC78&lt;1.2*'Ratio_M+Cl'!W71),AC110/'Ratio_M+Cl'!W103,IF(OR(AC110="N/A",AC142="N/A"),"N/A",""))</f>
        <v/>
      </c>
      <c r="AD47" s="183" t="str">
        <f>IF(AND(ISNUMBER(AD78),AD78&gt;0.8*'Ratio_M+Cl'!X71,AD78&lt;1.2*'Ratio_M+Cl'!X71),AD110/'Ratio_M+Cl'!X103,IF(OR(AD110="N/A",AD142="N/A"),"N/A",""))</f>
        <v/>
      </c>
      <c r="AE47" s="183" t="str">
        <f>IF(AND(ISNUMBER(AE78),AE78&gt;0.8*'Ratio_M+Cl'!Y71,AE78&lt;1.2*'Ratio_M+Cl'!Y71),AE110/'Ratio_M+Cl'!Y103,IF(OR(AE110="N/A",AE142="N/A"),"N/A",""))</f>
        <v/>
      </c>
      <c r="AF47" s="183" t="str">
        <f>IF(AND(ISNUMBER(AF78),AF78&gt;0.8*'Ratio_M+Cl'!Z71,AF78&lt;1.2*'Ratio_M+Cl'!Z71),AF110/'Ratio_M+Cl'!Z103,IF(OR(AF110="N/A",AF142="N/A"),"N/A",""))</f>
        <v/>
      </c>
      <c r="AG47" s="183" t="str">
        <f>IF(AND(ISNUMBER(AG78),AG78&gt;0.8*'Ratio_M+Cl'!AA71,AG78&lt;1.2*'Ratio_M+Cl'!AA71),AG110/'Ratio_M+Cl'!AA103,IF(OR(AG110="N/A",AG142="N/A"),"N/A",""))</f>
        <v/>
      </c>
      <c r="AH47" s="183" t="str">
        <f>IF(AND(ISNUMBER(AH78),AH78&gt;0.8*'Ratio_M+Cl'!AB71,AH78&lt;1.2*'Ratio_M+Cl'!AB71),AH110/'Ratio_M+Cl'!AB103,IF(OR(AH110="N/A",AH142="N/A"),"N/A",""))</f>
        <v/>
      </c>
      <c r="AI47" s="183" t="str">
        <f>IF(AND(ISNUMBER(AI78),AI78&gt;0.8*'Ratio_M+Cl'!AC71,AI78&lt;1.2*'Ratio_M+Cl'!AC71),AI110/'Ratio_M+Cl'!AC103,IF(OR(AI110="N/A",AI142="N/A"),"N/A",""))</f>
        <v/>
      </c>
      <c r="AK47" s="160" t="s">
        <v>12</v>
      </c>
      <c r="AL47" s="177" t="str">
        <f t="shared" si="1"/>
        <v/>
      </c>
      <c r="AM47" s="177">
        <f t="shared" si="0"/>
        <v>2.2786399393743988</v>
      </c>
      <c r="AN47" s="177">
        <f t="shared" si="0"/>
        <v>19.387539315060621</v>
      </c>
      <c r="AO47" s="177">
        <f t="shared" si="0"/>
        <v>32.965631910509693</v>
      </c>
      <c r="AP47" s="177">
        <f t="shared" si="0"/>
        <v>19.519143743391989</v>
      </c>
      <c r="AQ47" s="177">
        <f t="shared" si="0"/>
        <v>7.6537562334295899</v>
      </c>
      <c r="AR47" s="177">
        <f t="shared" si="0"/>
        <v>12.083973904165099</v>
      </c>
      <c r="AS47" s="177">
        <f t="shared" si="0"/>
        <v>17.63180110769833</v>
      </c>
      <c r="AT47" s="177">
        <f t="shared" si="0"/>
        <v>11.171297451699157</v>
      </c>
      <c r="AU47" s="177">
        <f t="shared" si="0"/>
        <v>2.8192719111645017</v>
      </c>
      <c r="AV47" s="177">
        <f t="shared" si="0"/>
        <v>0.20102836284485462</v>
      </c>
      <c r="AW47" s="177" t="str">
        <f t="shared" si="0"/>
        <v/>
      </c>
      <c r="AX47" s="177" t="str">
        <f t="shared" si="0"/>
        <v/>
      </c>
      <c r="AY47" s="177" t="str">
        <f t="shared" si="0"/>
        <v/>
      </c>
      <c r="AZ47" s="177" t="str">
        <f t="shared" si="0"/>
        <v/>
      </c>
      <c r="BA47" s="177" t="str">
        <f t="shared" si="0"/>
        <v/>
      </c>
      <c r="BB47" s="177" t="str">
        <f t="shared" si="0"/>
        <v/>
      </c>
      <c r="BC47" s="177" t="str">
        <f t="shared" si="0"/>
        <v/>
      </c>
      <c r="BD47" s="177" t="str">
        <f t="shared" si="0"/>
        <v/>
      </c>
      <c r="BE47" s="177" t="str">
        <f t="shared" si="0"/>
        <v/>
      </c>
      <c r="BF47" s="177" t="str">
        <f t="shared" si="0"/>
        <v/>
      </c>
      <c r="BG47" s="177" t="str">
        <f t="shared" si="0"/>
        <v/>
      </c>
      <c r="BH47" s="177" t="str">
        <f t="shared" si="0"/>
        <v/>
      </c>
      <c r="BI47" s="177" t="str">
        <f t="shared" si="0"/>
        <v/>
      </c>
      <c r="BJ47" s="177" t="str">
        <f t="shared" si="0"/>
        <v/>
      </c>
      <c r="BK47" s="177" t="str">
        <f t="shared" si="0"/>
        <v/>
      </c>
      <c r="BL47" s="177" t="str">
        <f t="shared" si="0"/>
        <v/>
      </c>
    </row>
    <row r="48" spans="1:64" ht="15.75" x14ac:dyDescent="0.3">
      <c r="A48" s="150">
        <v>43</v>
      </c>
      <c r="B48" s="10" t="s">
        <v>45</v>
      </c>
      <c r="C48">
        <v>98534940.969894394</v>
      </c>
      <c r="E48" s="10" t="s">
        <v>366</v>
      </c>
      <c r="F48" s="151">
        <f>IF(ISNUMBER(Q47),Q47/SUM($I$43:$AI$71),0)</f>
        <v>1.5921105764202172E-2</v>
      </c>
      <c r="H48" s="159" t="s">
        <v>13</v>
      </c>
      <c r="I48" s="181" t="str">
        <f>IF(AND(ISNUMBER(I79),I79&gt;0.8*'Ratio_M+Cl'!C72,I79&lt;1.2*'Ratio_M+Cl'!C72),I111/'Ratio_M+Cl'!C104,IF(OR(I111="N/A",I143="N/A"),"N/A",""))</f>
        <v/>
      </c>
      <c r="J48" s="181">
        <f>IF(AND(ISNUMBER(J79),J79&gt;0.8*'Ratio_M+Cl'!D72,J79&lt;1.2*'Ratio_M+Cl'!D72),J111/'Ratio_M+Cl'!D104,IF(OR(J111="N/A",J143="N/A"),"N/A",""))</f>
        <v>75.294420946536832</v>
      </c>
      <c r="K48" s="181">
        <f>IF(AND(ISNUMBER(K79),K79&gt;0.8*'Ratio_M+Cl'!E72,K79&lt;1.2*'Ratio_M+Cl'!E72),K111/'Ratio_M+Cl'!E104,IF(OR(K111="N/A",K143="N/A"),"N/A",""))</f>
        <v>382.48494899284776</v>
      </c>
      <c r="L48" s="181">
        <f>IF(AND(ISNUMBER(L79),L79&gt;0.8*'Ratio_M+Cl'!F72,L79&lt;1.2*'Ratio_M+Cl'!F72),L111/'Ratio_M+Cl'!F104,IF(OR(L111="N/A",L143="N/A"),"N/A",""))</f>
        <v>876.63577535241836</v>
      </c>
      <c r="M48" s="181">
        <f>IF(AND(ISNUMBER(M79),M79&gt;0.8*'Ratio_M+Cl'!G72,M79&lt;1.2*'Ratio_M+Cl'!G72),M111/'Ratio_M+Cl'!G104,IF(OR(M111="N/A",M143="N/A"),"N/A",""))</f>
        <v>796.17299649026336</v>
      </c>
      <c r="N48" s="181">
        <f>IF(AND(ISNUMBER(N79),N79&gt;0.8*'Ratio_M+Cl'!H72,N79&lt;1.2*'Ratio_M+Cl'!H72),N111/'Ratio_M+Cl'!H104,IF(OR(N111="N/A",N143="N/A"),"N/A",""))</f>
        <v>366.51922281558643</v>
      </c>
      <c r="O48" s="181">
        <f>IF(AND(ISNUMBER(O79),O79&gt;0.8*'Ratio_M+Cl'!I72,O79&lt;1.2*'Ratio_M+Cl'!I72),O111/'Ratio_M+Cl'!I104,IF(OR(O111="N/A",O143="N/A"),"N/A",""))</f>
        <v>568.51491815234544</v>
      </c>
      <c r="P48" s="181">
        <f>IF(AND(ISNUMBER(P79),P79&gt;0.8*'Ratio_M+Cl'!J72,P79&lt;1.2*'Ratio_M+Cl'!J72),P111/'Ratio_M+Cl'!J104,IF(OR(P111="N/A",P143="N/A"),"N/A",""))</f>
        <v>1758.4669641648211</v>
      </c>
      <c r="Q48" s="181">
        <f>IF(AND(ISNUMBER(Q79),Q79&gt;0.8*'Ratio_M+Cl'!K72,Q79&lt;1.2*'Ratio_M+Cl'!K72),Q111/'Ratio_M+Cl'!K104,IF(OR(Q111="N/A",Q143="N/A"),"N/A",""))</f>
        <v>2347.5844900830757</v>
      </c>
      <c r="R48" s="182">
        <f>IF(AND(ISNUMBER(R79),R79&gt;0.8*'Ratio_M+Cl'!L72,R79&lt;1.2*'Ratio_M+Cl'!L72),R111/'Ratio_M+Cl'!L104,IF(OR(R111="N/A",R143="N/A"),"N/A",""))</f>
        <v>1250.9115516593454</v>
      </c>
      <c r="S48" s="183">
        <f>IF(AND(ISNUMBER(S79),S79&gt;0.8*'Ratio_M+Cl'!M72,S79&lt;1.2*'Ratio_M+Cl'!M72),S111/'Ratio_M+Cl'!M104,IF(OR(S111="N/A",S143="N/A"),"N/A",""))</f>
        <v>248.61002386090408</v>
      </c>
      <c r="T48" s="184">
        <f>IF(AND(ISNUMBER(T79),T79&gt;0.8*'Ratio_M+Cl'!N72,T79&lt;1.2*'Ratio_M+Cl'!N72),T111/'Ratio_M+Cl'!N104,IF(OR(T111="N/A",T143="N/A"),"N/A",""))</f>
        <v>15.151027814704499</v>
      </c>
      <c r="U48" s="183" t="str">
        <f>IF(AND(ISNUMBER(U79),U79&gt;0.8*'Ratio_M+Cl'!O72,U79&lt;1.2*'Ratio_M+Cl'!O72),U111/'Ratio_M+Cl'!O104,IF(OR(U111="N/A",U143="N/A"),"N/A",""))</f>
        <v/>
      </c>
      <c r="V48" s="183" t="str">
        <f>IF(AND(ISNUMBER(V79),V79&gt;0.8*'Ratio_M+Cl'!P72,V79&lt;1.2*'Ratio_M+Cl'!P72),V111/'Ratio_M+Cl'!P104,IF(OR(V111="N/A",V143="N/A"),"N/A",""))</f>
        <v/>
      </c>
      <c r="W48" s="183" t="str">
        <f>IF(AND(ISNUMBER(W79),W79&gt;0.8*'Ratio_M+Cl'!Q72,W79&lt;1.2*'Ratio_M+Cl'!Q72),W111/'Ratio_M+Cl'!Q104,IF(OR(W111="N/A",W143="N/A"),"N/A",""))</f>
        <v/>
      </c>
      <c r="X48" s="183" t="str">
        <f>IF(AND(ISNUMBER(X79),X79&gt;0.8*'Ratio_M+Cl'!R72,X79&lt;1.2*'Ratio_M+Cl'!R72),X111/'Ratio_M+Cl'!R104,IF(OR(X111="N/A",X143="N/A"),"N/A",""))</f>
        <v/>
      </c>
      <c r="Y48" s="183" t="str">
        <f>IF(AND(ISNUMBER(Y79),Y79&gt;0.8*'Ratio_M+Cl'!S72,Y79&lt;1.2*'Ratio_M+Cl'!S72),Y111/'Ratio_M+Cl'!S104,IF(OR(Y111="N/A",Y143="N/A"),"N/A",""))</f>
        <v/>
      </c>
      <c r="Z48" s="183" t="str">
        <f>IF(AND(ISNUMBER(Z79),Z79&gt;0.8*'Ratio_M+Cl'!T72,Z79&lt;1.2*'Ratio_M+Cl'!T72),Z111/'Ratio_M+Cl'!T104,IF(OR(Z111="N/A",Z143="N/A"),"N/A",""))</f>
        <v/>
      </c>
      <c r="AA48" s="183" t="str">
        <f>IF(AND(ISNUMBER(AA79),AA79&gt;0.8*'Ratio_M+Cl'!U72,AA79&lt;1.2*'Ratio_M+Cl'!U72),AA111/'Ratio_M+Cl'!U104,IF(OR(AA111="N/A",AA143="N/A"),"N/A",""))</f>
        <v/>
      </c>
      <c r="AB48" s="183" t="str">
        <f>IF(AND(ISNUMBER(AB79),AB79&gt;0.8*'Ratio_M+Cl'!V72,AB79&lt;1.2*'Ratio_M+Cl'!V72),AB111/'Ratio_M+Cl'!V104,IF(OR(AB111="N/A",AB143="N/A"),"N/A",""))</f>
        <v/>
      </c>
      <c r="AC48" s="183" t="str">
        <f>IF(AND(ISNUMBER(AC79),AC79&gt;0.8*'Ratio_M+Cl'!W72,AC79&lt;1.2*'Ratio_M+Cl'!W72),AC111/'Ratio_M+Cl'!W104,IF(OR(AC111="N/A",AC143="N/A"),"N/A",""))</f>
        <v/>
      </c>
      <c r="AD48" s="183" t="str">
        <f>IF(AND(ISNUMBER(AD79),AD79&gt;0.8*'Ratio_M+Cl'!X72,AD79&lt;1.2*'Ratio_M+Cl'!X72),AD111/'Ratio_M+Cl'!X104,IF(OR(AD111="N/A",AD143="N/A"),"N/A",""))</f>
        <v/>
      </c>
      <c r="AE48" s="183" t="str">
        <f>IF(AND(ISNUMBER(AE79),AE79&gt;0.8*'Ratio_M+Cl'!Y72,AE79&lt;1.2*'Ratio_M+Cl'!Y72),AE111/'Ratio_M+Cl'!Y104,IF(OR(AE111="N/A",AE143="N/A"),"N/A",""))</f>
        <v/>
      </c>
      <c r="AF48" s="183" t="str">
        <f>IF(AND(ISNUMBER(AF79),AF79&gt;0.8*'Ratio_M+Cl'!Z72,AF79&lt;1.2*'Ratio_M+Cl'!Z72),AF111/'Ratio_M+Cl'!Z104,IF(OR(AF111="N/A",AF143="N/A"),"N/A",""))</f>
        <v/>
      </c>
      <c r="AG48" s="183" t="str">
        <f>IF(AND(ISNUMBER(AG79),AG79&gt;0.8*'Ratio_M+Cl'!AA72,AG79&lt;1.2*'Ratio_M+Cl'!AA72),AG111/'Ratio_M+Cl'!AA104,IF(OR(AG111="N/A",AG143="N/A"),"N/A",""))</f>
        <v/>
      </c>
      <c r="AH48" s="183" t="str">
        <f>IF(AND(ISNUMBER(AH79),AH79&gt;0.8*'Ratio_M+Cl'!AB72,AH79&lt;1.2*'Ratio_M+Cl'!AB72),AH111/'Ratio_M+Cl'!AB104,IF(OR(AH111="N/A",AH143="N/A"),"N/A",""))</f>
        <v/>
      </c>
      <c r="AI48" s="183" t="str">
        <f>IF(AND(ISNUMBER(AI79),AI79&gt;0.8*'Ratio_M+Cl'!AC72,AI79&lt;1.2*'Ratio_M+Cl'!AC72),AI111/'Ratio_M+Cl'!AC104,IF(OR(AI111="N/A",AI143="N/A"),"N/A",""))</f>
        <v/>
      </c>
      <c r="AK48" s="159" t="s">
        <v>13</v>
      </c>
      <c r="AL48" s="177" t="str">
        <f t="shared" si="1"/>
        <v/>
      </c>
      <c r="AM48" s="177">
        <f t="shared" si="0"/>
        <v>0.66086163057302627</v>
      </c>
      <c r="AN48" s="177">
        <f t="shared" si="0"/>
        <v>3.3570830864153192</v>
      </c>
      <c r="AO48" s="177">
        <f t="shared" si="0"/>
        <v>7.6942612830425769</v>
      </c>
      <c r="AP48" s="177">
        <f t="shared" si="0"/>
        <v>6.9880368035816405</v>
      </c>
      <c r="AQ48" s="177">
        <f t="shared" si="0"/>
        <v>3.2169513780875638</v>
      </c>
      <c r="AR48" s="177">
        <f t="shared" si="0"/>
        <v>4.9898742973536381</v>
      </c>
      <c r="AS48" s="177">
        <f t="shared" si="0"/>
        <v>15.434122882383544</v>
      </c>
      <c r="AT48" s="177">
        <f t="shared" si="0"/>
        <v>20.604826951599069</v>
      </c>
      <c r="AU48" s="177">
        <f t="shared" si="0"/>
        <v>10.979292188450684</v>
      </c>
      <c r="AV48" s="177">
        <f t="shared" si="0"/>
        <v>2.1820584271731871</v>
      </c>
      <c r="AW48" s="177">
        <f t="shared" si="0"/>
        <v>0.13298107377162086</v>
      </c>
      <c r="AX48" s="177" t="str">
        <f t="shared" si="0"/>
        <v/>
      </c>
      <c r="AY48" s="177" t="str">
        <f t="shared" si="0"/>
        <v/>
      </c>
      <c r="AZ48" s="177" t="str">
        <f t="shared" si="0"/>
        <v/>
      </c>
      <c r="BA48" s="177" t="str">
        <f t="shared" si="0"/>
        <v/>
      </c>
      <c r="BB48" s="177" t="str">
        <f t="shared" si="0"/>
        <v/>
      </c>
      <c r="BC48" s="177" t="str">
        <f t="shared" si="0"/>
        <v/>
      </c>
      <c r="BD48" s="177" t="str">
        <f t="shared" si="0"/>
        <v/>
      </c>
      <c r="BE48" s="177" t="str">
        <f t="shared" si="0"/>
        <v/>
      </c>
      <c r="BF48" s="177" t="str">
        <f t="shared" si="0"/>
        <v/>
      </c>
      <c r="BG48" s="177" t="str">
        <f t="shared" si="0"/>
        <v/>
      </c>
      <c r="BH48" s="177" t="str">
        <f t="shared" si="0"/>
        <v/>
      </c>
      <c r="BI48" s="177" t="str">
        <f t="shared" si="0"/>
        <v/>
      </c>
      <c r="BJ48" s="177" t="str">
        <f t="shared" si="0"/>
        <v/>
      </c>
      <c r="BK48" s="177" t="str">
        <f t="shared" si="0"/>
        <v/>
      </c>
      <c r="BL48" s="177" t="str">
        <f t="shared" si="0"/>
        <v/>
      </c>
    </row>
    <row r="49" spans="1:64" ht="15.75" x14ac:dyDescent="0.3">
      <c r="A49" s="150">
        <v>44</v>
      </c>
      <c r="B49" s="10" t="s">
        <v>46</v>
      </c>
      <c r="C49">
        <v>95387423.573257402</v>
      </c>
      <c r="E49" s="10" t="s">
        <v>1567</v>
      </c>
      <c r="F49" s="151">
        <f>IF(ISNUMBER(R47),R47/SUM($I$43:$AI$71),0)</f>
        <v>4.0179689485277531E-3</v>
      </c>
      <c r="H49" s="160" t="s">
        <v>14</v>
      </c>
      <c r="I49" s="183">
        <f>IF(AND(ISNUMBER(I80),I80&gt;0.8*'Ratio_M+Cl'!C73,I80&lt;1.2*'Ratio_M+Cl'!C73),I112/'Ratio_M+Cl'!C105,IF(OR(I112="N/A",I144="N/A"),"N/A",""))</f>
        <v>63.176244402937719</v>
      </c>
      <c r="J49" s="183">
        <f>IF(AND(ISNUMBER(J80),J80&gt;0.8*'Ratio_M+Cl'!D73,J80&lt;1.2*'Ratio_M+Cl'!D73),J112/'Ratio_M+Cl'!D105,IF(OR(J112="N/A",J144="N/A"),"N/A",""))</f>
        <v>827.4124201045322</v>
      </c>
      <c r="K49" s="180">
        <f>IF(AND(ISNUMBER(K80),K80&gt;0.8*'Ratio_M+Cl'!E73,K80&lt;1.2*'Ratio_M+Cl'!E73),K112/'Ratio_M+Cl'!E105,IF(OR(K112="N/A",K144="N/A"),"N/A",""))</f>
        <v>1247.3605681768131</v>
      </c>
      <c r="L49" s="180">
        <f>IF(AND(ISNUMBER(L80),L80&gt;0.8*'Ratio_M+Cl'!F73,L80&lt;1.2*'Ratio_M+Cl'!F73),L112/'Ratio_M+Cl'!F105,IF(OR(L112="N/A",L144="N/A"),"N/A",""))</f>
        <v>754.6062214840091</v>
      </c>
      <c r="M49" s="180">
        <f>IF(AND(ISNUMBER(M80),M80&gt;0.8*'Ratio_M+Cl'!G73,M80&lt;1.2*'Ratio_M+Cl'!G73),M112/'Ratio_M+Cl'!G105,IF(OR(M112="N/A",M144="N/A"),"N/A",""))</f>
        <v>371.04838802928225</v>
      </c>
      <c r="N49" s="183">
        <f>IF(AND(ISNUMBER(N80),N80&gt;0.8*'Ratio_M+Cl'!H73,N80&lt;1.2*'Ratio_M+Cl'!H73),N112/'Ratio_M+Cl'!H105,IF(OR(N112="N/A",N144="N/A"),"N/A",""))</f>
        <v>167.87280189747338</v>
      </c>
      <c r="O49" s="183">
        <f>IF(AND(ISNUMBER(O80),O80&gt;0.8*'Ratio_M+Cl'!I73,O80&lt;1.2*'Ratio_M+Cl'!I73),O112/'Ratio_M+Cl'!I105,IF(OR(O112="N/A",O144="N/A"),"N/A",""))</f>
        <v>124.74607971357109</v>
      </c>
      <c r="P49" s="183">
        <f>IF(AND(ISNUMBER(P80),P80&gt;0.8*'Ratio_M+Cl'!J73,P80&lt;1.2*'Ratio_M+Cl'!J73),P112/'Ratio_M+Cl'!J105,IF(OR(P112="N/A",P144="N/A"),"N/A",""))</f>
        <v>597.47197544297342</v>
      </c>
      <c r="Q49" s="183">
        <f>IF(AND(ISNUMBER(Q80),Q80&gt;0.8*'Ratio_M+Cl'!K73,Q80&lt;1.2*'Ratio_M+Cl'!K73),Q112/'Ratio_M+Cl'!K105,IF(OR(Q112="N/A",Q144="N/A"),"N/A",""))</f>
        <v>1570.1832760423404</v>
      </c>
      <c r="R49" s="183">
        <f>IF(AND(ISNUMBER(R80),R80&gt;0.8*'Ratio_M+Cl'!L73,R80&lt;1.2*'Ratio_M+Cl'!L73),R112/'Ratio_M+Cl'!L105,IF(OR(R112="N/A",R144="N/A"),"N/A",""))</f>
        <v>1581.227716922886</v>
      </c>
      <c r="S49" s="185">
        <f>IF(AND(ISNUMBER(S80),S80&gt;0.8*'Ratio_M+Cl'!M73,S80&lt;1.2*'Ratio_M+Cl'!M73),S112/'Ratio_M+Cl'!M105,IF(OR(S112="N/A",S144="N/A"),"N/A",""))</f>
        <v>657.27725674647365</v>
      </c>
      <c r="T49" s="183">
        <f>IF(AND(ISNUMBER(T80),T80&gt;0.8*'Ratio_M+Cl'!N73,T80&lt;1.2*'Ratio_M+Cl'!N73),T112/'Ratio_M+Cl'!N105,IF(OR(T112="N/A",T144="N/A"),"N/A",""))</f>
        <v>111.66884903673821</v>
      </c>
      <c r="U49" s="184" t="str">
        <f>IF(AND(ISNUMBER(U80),U80&gt;0.8*'Ratio_M+Cl'!O73,U80&lt;1.2*'Ratio_M+Cl'!O73),U112/'Ratio_M+Cl'!O105,IF(OR(U112="N/A",U144="N/A"),"N/A",""))</f>
        <v/>
      </c>
      <c r="V49" s="183" t="str">
        <f>IF(AND(ISNUMBER(V80),V80&gt;0.8*'Ratio_M+Cl'!P73,V80&lt;1.2*'Ratio_M+Cl'!P73),V112/'Ratio_M+Cl'!P105,IF(OR(V112="N/A",V144="N/A"),"N/A",""))</f>
        <v/>
      </c>
      <c r="W49" s="183" t="str">
        <f>IF(AND(ISNUMBER(W80),W80&gt;0.8*'Ratio_M+Cl'!Q73,W80&lt;1.2*'Ratio_M+Cl'!Q73),W112/'Ratio_M+Cl'!Q105,IF(OR(W112="N/A",W144="N/A"),"N/A",""))</f>
        <v/>
      </c>
      <c r="X49" s="183" t="str">
        <f>IF(AND(ISNUMBER(X80),X80&gt;0.8*'Ratio_M+Cl'!R73,X80&lt;1.2*'Ratio_M+Cl'!R73),X112/'Ratio_M+Cl'!R105,IF(OR(X112="N/A",X144="N/A"),"N/A",""))</f>
        <v/>
      </c>
      <c r="Y49" s="183" t="str">
        <f>IF(AND(ISNUMBER(Y80),Y80&gt;0.8*'Ratio_M+Cl'!S73,Y80&lt;1.2*'Ratio_M+Cl'!S73),Y112/'Ratio_M+Cl'!S105,IF(OR(Y112="N/A",Y144="N/A"),"N/A",""))</f>
        <v/>
      </c>
      <c r="Z49" s="183" t="str">
        <f>IF(AND(ISNUMBER(Z80),Z80&gt;0.8*'Ratio_M+Cl'!T73,Z80&lt;1.2*'Ratio_M+Cl'!T73),Z112/'Ratio_M+Cl'!T105,IF(OR(Z112="N/A",Z144="N/A"),"N/A",""))</f>
        <v/>
      </c>
      <c r="AA49" s="183" t="str">
        <f>IF(AND(ISNUMBER(AA80),AA80&gt;0.8*'Ratio_M+Cl'!U73,AA80&lt;1.2*'Ratio_M+Cl'!U73),AA112/'Ratio_M+Cl'!U105,IF(OR(AA112="N/A",AA144="N/A"),"N/A",""))</f>
        <v/>
      </c>
      <c r="AB49" s="183" t="str">
        <f>IF(AND(ISNUMBER(AB80),AB80&gt;0.8*'Ratio_M+Cl'!V73,AB80&lt;1.2*'Ratio_M+Cl'!V73),AB112/'Ratio_M+Cl'!V105,IF(OR(AB112="N/A",AB144="N/A"),"N/A",""))</f>
        <v/>
      </c>
      <c r="AC49" s="183" t="str">
        <f>IF(AND(ISNUMBER(AC80),AC80&gt;0.8*'Ratio_M+Cl'!W73,AC80&lt;1.2*'Ratio_M+Cl'!W73),AC112/'Ratio_M+Cl'!W105,IF(OR(AC112="N/A",AC144="N/A"),"N/A",""))</f>
        <v/>
      </c>
      <c r="AD49" s="183" t="str">
        <f>IF(AND(ISNUMBER(AD80),AD80&gt;0.8*'Ratio_M+Cl'!X73,AD80&lt;1.2*'Ratio_M+Cl'!X73),AD112/'Ratio_M+Cl'!X105,IF(OR(AD112="N/A",AD144="N/A"),"N/A",""))</f>
        <v/>
      </c>
      <c r="AE49" s="183" t="str">
        <f>IF(AND(ISNUMBER(AE80),AE80&gt;0.8*'Ratio_M+Cl'!Y73,AE80&lt;1.2*'Ratio_M+Cl'!Y73),AE112/'Ratio_M+Cl'!Y105,IF(OR(AE112="N/A",AE144="N/A"),"N/A",""))</f>
        <v/>
      </c>
      <c r="AF49" s="183" t="str">
        <f>IF(AND(ISNUMBER(AF80),AF80&gt;0.8*'Ratio_M+Cl'!Z73,AF80&lt;1.2*'Ratio_M+Cl'!Z73),AF112/'Ratio_M+Cl'!Z105,IF(OR(AF112="N/A",AF144="N/A"),"N/A",""))</f>
        <v/>
      </c>
      <c r="AG49" s="183" t="str">
        <f>IF(AND(ISNUMBER(AG80),AG80&gt;0.8*'Ratio_M+Cl'!AA73,AG80&lt;1.2*'Ratio_M+Cl'!AA73),AG112/'Ratio_M+Cl'!AA105,IF(OR(AG112="N/A",AG144="N/A"),"N/A",""))</f>
        <v/>
      </c>
      <c r="AH49" s="183" t="str">
        <f>IF(AND(ISNUMBER(AH80),AH80&gt;0.8*'Ratio_M+Cl'!AB73,AH80&lt;1.2*'Ratio_M+Cl'!AB73),AH112/'Ratio_M+Cl'!AB105,IF(OR(AH112="N/A",AH144="N/A"),"N/A",""))</f>
        <v/>
      </c>
      <c r="AI49" s="183" t="str">
        <f>IF(AND(ISNUMBER(AI80),AI80&gt;0.8*'Ratio_M+Cl'!AC73,AI80&lt;1.2*'Ratio_M+Cl'!AC73),AI112/'Ratio_M+Cl'!AC105,IF(OR(AI112="N/A",AI144="N/A"),"N/A",""))</f>
        <v/>
      </c>
      <c r="AK49" s="160" t="s">
        <v>14</v>
      </c>
      <c r="AL49" s="177">
        <f t="shared" si="1"/>
        <v>0.55449999302406172</v>
      </c>
      <c r="AM49" s="177">
        <f t="shared" si="0"/>
        <v>7.2622262610255888</v>
      </c>
      <c r="AN49" s="177">
        <f t="shared" si="0"/>
        <v>10.94812508861907</v>
      </c>
      <c r="AO49" s="177">
        <f t="shared" si="0"/>
        <v>6.6232038403558473</v>
      </c>
      <c r="AP49" s="177">
        <f t="shared" si="0"/>
        <v>3.2567040114252044</v>
      </c>
      <c r="AQ49" s="177">
        <f t="shared" si="0"/>
        <v>1.4734251515075845</v>
      </c>
      <c r="AR49" s="177">
        <f t="shared" si="0"/>
        <v>1.0949004801516455</v>
      </c>
      <c r="AS49" s="177">
        <f t="shared" si="0"/>
        <v>5.2440313498564919</v>
      </c>
      <c r="AT49" s="177">
        <f t="shared" si="0"/>
        <v>13.781550705339011</v>
      </c>
      <c r="AU49" s="177">
        <f t="shared" si="0"/>
        <v>13.878488129351707</v>
      </c>
      <c r="AV49" s="177">
        <f t="shared" si="0"/>
        <v>5.7689442879236195</v>
      </c>
      <c r="AW49" s="177">
        <f t="shared" si="0"/>
        <v>0.98012119265824893</v>
      </c>
      <c r="AX49" s="177" t="str">
        <f t="shared" si="0"/>
        <v/>
      </c>
      <c r="AY49" s="177" t="str">
        <f t="shared" si="0"/>
        <v/>
      </c>
      <c r="AZ49" s="177" t="str">
        <f t="shared" si="0"/>
        <v/>
      </c>
      <c r="BA49" s="177" t="str">
        <f t="shared" si="0"/>
        <v/>
      </c>
      <c r="BB49" s="177" t="str">
        <f t="shared" si="0"/>
        <v/>
      </c>
      <c r="BC49" s="177" t="str">
        <f t="shared" si="0"/>
        <v/>
      </c>
      <c r="BD49" s="177" t="str">
        <f t="shared" si="0"/>
        <v/>
      </c>
      <c r="BE49" s="177" t="str">
        <f t="shared" si="0"/>
        <v/>
      </c>
      <c r="BF49" s="177" t="str">
        <f t="shared" si="0"/>
        <v/>
      </c>
      <c r="BG49" s="177" t="str">
        <f t="shared" si="0"/>
        <v/>
      </c>
      <c r="BH49" s="177" t="str">
        <f t="shared" si="0"/>
        <v/>
      </c>
      <c r="BI49" s="177" t="str">
        <f t="shared" si="0"/>
        <v/>
      </c>
      <c r="BJ49" s="177" t="str">
        <f t="shared" si="0"/>
        <v/>
      </c>
      <c r="BK49" s="177" t="str">
        <f t="shared" si="0"/>
        <v/>
      </c>
      <c r="BL49" s="177" t="str">
        <f t="shared" si="0"/>
        <v/>
      </c>
    </row>
    <row r="50" spans="1:64" ht="15.75" x14ac:dyDescent="0.3">
      <c r="A50" s="150">
        <v>45</v>
      </c>
      <c r="B50" s="10" t="s">
        <v>1097</v>
      </c>
      <c r="C50">
        <v>23927090.090063099</v>
      </c>
      <c r="E50" s="10" t="s">
        <v>1568</v>
      </c>
      <c r="F50" s="151">
        <f>IF(ISNUMBER(S47),S47/SUM($I$43:$AI$71),0)</f>
        <v>2.8650153129442722E-4</v>
      </c>
      <c r="H50" s="160" t="s">
        <v>15</v>
      </c>
      <c r="I50" s="183">
        <f>IF(AND(ISNUMBER(I81),I81&gt;0.8*'Ratio_M+Cl'!C74,I81&lt;1.2*'Ratio_M+Cl'!C74),I113/'Ratio_M+Cl'!C106,IF(OR(I113="N/A",I145="N/A"),"N/A",""))</f>
        <v>74.767436075103944</v>
      </c>
      <c r="J50" s="183">
        <f>IF(AND(ISNUMBER(J81),J81&gt;0.8*'Ratio_M+Cl'!D74,J81&lt;1.2*'Ratio_M+Cl'!D74),J113/'Ratio_M+Cl'!D106,IF(OR(J113="N/A",J145="N/A"),"N/A",""))</f>
        <v>722.96534049124148</v>
      </c>
      <c r="K50" s="180">
        <f>IF(AND(ISNUMBER(K81),K81&gt;0.8*'Ratio_M+Cl'!E74,K81&lt;1.2*'Ratio_M+Cl'!E74),K113/'Ratio_M+Cl'!E106,IF(OR(K113="N/A",K145="N/A"),"N/A",""))</f>
        <v>1256.940131808791</v>
      </c>
      <c r="L50" s="180">
        <f>IF(AND(ISNUMBER(L81),L81&gt;0.8*'Ratio_M+Cl'!F74,L81&lt;1.2*'Ratio_M+Cl'!F74),L113/'Ratio_M+Cl'!F106,IF(OR(L113="N/A",L145="N/A"),"N/A",""))</f>
        <v>903.95066568063271</v>
      </c>
      <c r="M50" s="180">
        <f>IF(AND(ISNUMBER(M81),M81&gt;0.8*'Ratio_M+Cl'!G74,M81&lt;1.2*'Ratio_M+Cl'!G74),M113/'Ratio_M+Cl'!G106,IF(OR(M113="N/A",M145="N/A"),"N/A",""))</f>
        <v>414.37851703005362</v>
      </c>
      <c r="N50" s="183">
        <f>IF(AND(ISNUMBER(N81),N81&gt;0.8*'Ratio_M+Cl'!H74,N81&lt;1.2*'Ratio_M+Cl'!H74),N113/'Ratio_M+Cl'!H106,IF(OR(N113="N/A",N145="N/A"),"N/A",""))</f>
        <v>192.32800395041076</v>
      </c>
      <c r="O50" s="183">
        <f>IF(AND(ISNUMBER(O81),O81&gt;0.8*'Ratio_M+Cl'!I74,O81&lt;1.2*'Ratio_M+Cl'!I74),O113/'Ratio_M+Cl'!I106,IF(OR(O113="N/A",O145="N/A"),"N/A",""))</f>
        <v>77.80792279668465</v>
      </c>
      <c r="P50" s="183" t="str">
        <f>IF(AND(ISNUMBER(P81),P81&gt;0.8*'Ratio_M+Cl'!J74,P81&lt;1.2*'Ratio_M+Cl'!J74),P113/'Ratio_M+Cl'!J106,IF(OR(P113="N/A",P145="N/A"),"N/A",""))</f>
        <v/>
      </c>
      <c r="Q50" s="183">
        <f>IF(AND(ISNUMBER(Q81),Q81&gt;0.8*'Ratio_M+Cl'!K74,Q81&lt;1.2*'Ratio_M+Cl'!K74),Q113/'Ratio_M+Cl'!K106,IF(OR(Q113="N/A",Q145="N/A"),"N/A",""))</f>
        <v>30.583808462999077</v>
      </c>
      <c r="R50" s="183">
        <f>IF(AND(ISNUMBER(R81),R81&gt;0.8*'Ratio_M+Cl'!L74,R81&lt;1.2*'Ratio_M+Cl'!L74),R113/'Ratio_M+Cl'!L106,IF(OR(R113="N/A",R145="N/A"),"N/A",""))</f>
        <v>63.689568578239104</v>
      </c>
      <c r="S50" s="183">
        <f>IF(AND(ISNUMBER(S81),S81&gt;0.8*'Ratio_M+Cl'!M74,S81&lt;1.2*'Ratio_M+Cl'!M74),S113/'Ratio_M+Cl'!M106,IF(OR(S113="N/A",S145="N/A"),"N/A",""))</f>
        <v>59.115880298881613</v>
      </c>
      <c r="T50" s="185">
        <f>IF(AND(ISNUMBER(T81),T81&gt;0.8*'Ratio_M+Cl'!N74,T81&lt;1.2*'Ratio_M+Cl'!N74),T113/'Ratio_M+Cl'!N106,IF(OR(T113="N/A",T145="N/A"),"N/A",""))</f>
        <v>23.204603266668663</v>
      </c>
      <c r="U50" s="183" t="str">
        <f>IF(AND(ISNUMBER(U81),U81&gt;0.8*'Ratio_M+Cl'!O74,U81&lt;1.2*'Ratio_M+Cl'!O74),U113/'Ratio_M+Cl'!O106,IF(OR(U113="N/A",U145="N/A"),"N/A",""))</f>
        <v/>
      </c>
      <c r="V50" s="184" t="str">
        <f>IF(AND(ISNUMBER(V81),V81&gt;0.8*'Ratio_M+Cl'!P74,V81&lt;1.2*'Ratio_M+Cl'!P74),V113/'Ratio_M+Cl'!P106,IF(OR(V113="N/A",V145="N/A"),"N/A",""))</f>
        <v/>
      </c>
      <c r="W50" s="183" t="str">
        <f>IF(AND(ISNUMBER(W81),W81&gt;0.8*'Ratio_M+Cl'!Q74,W81&lt;1.2*'Ratio_M+Cl'!Q74),W113/'Ratio_M+Cl'!Q106,IF(OR(W113="N/A",W145="N/A"),"N/A",""))</f>
        <v/>
      </c>
      <c r="X50" s="183" t="str">
        <f>IF(AND(ISNUMBER(X81),X81&gt;0.8*'Ratio_M+Cl'!R74,X81&lt;1.2*'Ratio_M+Cl'!R74),X113/'Ratio_M+Cl'!R106,IF(OR(X113="N/A",X145="N/A"),"N/A",""))</f>
        <v/>
      </c>
      <c r="Y50" s="183" t="str">
        <f>IF(AND(ISNUMBER(Y81),Y81&gt;0.8*'Ratio_M+Cl'!S74,Y81&lt;1.2*'Ratio_M+Cl'!S74),Y113/'Ratio_M+Cl'!S106,IF(OR(Y113="N/A",Y145="N/A"),"N/A",""))</f>
        <v/>
      </c>
      <c r="Z50" s="183" t="str">
        <f>IF(AND(ISNUMBER(Z81),Z81&gt;0.8*'Ratio_M+Cl'!T74,Z81&lt;1.2*'Ratio_M+Cl'!T74),Z113/'Ratio_M+Cl'!T106,IF(OR(Z113="N/A",Z145="N/A"),"N/A",""))</f>
        <v/>
      </c>
      <c r="AA50" s="183" t="str">
        <f>IF(AND(ISNUMBER(AA81),AA81&gt;0.8*'Ratio_M+Cl'!U74,AA81&lt;1.2*'Ratio_M+Cl'!U74),AA113/'Ratio_M+Cl'!U106,IF(OR(AA113="N/A",AA145="N/A"),"N/A",""))</f>
        <v/>
      </c>
      <c r="AB50" s="183" t="str">
        <f>IF(AND(ISNUMBER(AB81),AB81&gt;0.8*'Ratio_M+Cl'!V74,AB81&lt;1.2*'Ratio_M+Cl'!V74),AB113/'Ratio_M+Cl'!V106,IF(OR(AB113="N/A",AB145="N/A"),"N/A",""))</f>
        <v/>
      </c>
      <c r="AC50" s="183" t="str">
        <f>IF(AND(ISNUMBER(AC81),AC81&gt;0.8*'Ratio_M+Cl'!W74,AC81&lt;1.2*'Ratio_M+Cl'!W74),AC113/'Ratio_M+Cl'!W106,IF(OR(AC113="N/A",AC145="N/A"),"N/A",""))</f>
        <v/>
      </c>
      <c r="AD50" s="183" t="str">
        <f>IF(AND(ISNUMBER(AD81),AD81&gt;0.8*'Ratio_M+Cl'!X74,AD81&lt;1.2*'Ratio_M+Cl'!X74),AD113/'Ratio_M+Cl'!X106,IF(OR(AD113="N/A",AD145="N/A"),"N/A",""))</f>
        <v/>
      </c>
      <c r="AE50" s="183" t="str">
        <f>IF(AND(ISNUMBER(AE81),AE81&gt;0.8*'Ratio_M+Cl'!Y74,AE81&lt;1.2*'Ratio_M+Cl'!Y74),AE113/'Ratio_M+Cl'!Y106,IF(OR(AE113="N/A",AE145="N/A"),"N/A",""))</f>
        <v/>
      </c>
      <c r="AF50" s="183" t="str">
        <f>IF(AND(ISNUMBER(AF81),AF81&gt;0.8*'Ratio_M+Cl'!Z74,AF81&lt;1.2*'Ratio_M+Cl'!Z74),AF113/'Ratio_M+Cl'!Z106,IF(OR(AF113="N/A",AF145="N/A"),"N/A",""))</f>
        <v/>
      </c>
      <c r="AG50" s="183" t="str">
        <f>IF(AND(ISNUMBER(AG81),AG81&gt;0.8*'Ratio_M+Cl'!AA74,AG81&lt;1.2*'Ratio_M+Cl'!AA74),AG113/'Ratio_M+Cl'!AA106,IF(OR(AG113="N/A",AG145="N/A"),"N/A",""))</f>
        <v/>
      </c>
      <c r="AH50" s="183" t="str">
        <f>IF(AND(ISNUMBER(AH81),AH81&gt;0.8*'Ratio_M+Cl'!AB74,AH81&lt;1.2*'Ratio_M+Cl'!AB74),AH113/'Ratio_M+Cl'!AB106,IF(OR(AH113="N/A",AH145="N/A"),"N/A",""))</f>
        <v/>
      </c>
      <c r="AI50" s="183" t="str">
        <f>IF(AND(ISNUMBER(AI81),AI81&gt;0.8*'Ratio_M+Cl'!AC74,AI81&lt;1.2*'Ratio_M+Cl'!AC74),AI113/'Ratio_M+Cl'!AC106,IF(OR(AI113="N/A",AI145="N/A"),"N/A",""))</f>
        <v/>
      </c>
      <c r="AK50" s="160" t="s">
        <v>15</v>
      </c>
      <c r="AL50" s="177">
        <f t="shared" si="1"/>
        <v>0.65623626687350667</v>
      </c>
      <c r="AM50" s="177">
        <f t="shared" si="0"/>
        <v>6.34549077818229</v>
      </c>
      <c r="AN50" s="177">
        <f t="shared" si="0"/>
        <v>11.032205236423144</v>
      </c>
      <c r="AO50" s="177">
        <f t="shared" si="0"/>
        <v>7.9340049816367202</v>
      </c>
      <c r="AP50" s="177">
        <f t="shared" si="0"/>
        <v>3.637013991160913</v>
      </c>
      <c r="AQ50" s="177">
        <f t="shared" si="0"/>
        <v>1.6880692712382157</v>
      </c>
      <c r="AR50" s="177">
        <f t="shared" si="0"/>
        <v>0.68292271969829443</v>
      </c>
      <c r="AS50" s="177" t="str">
        <f t="shared" si="0"/>
        <v/>
      </c>
      <c r="AT50" s="177">
        <f t="shared" si="0"/>
        <v>0.26843510151093503</v>
      </c>
      <c r="AU50" s="177">
        <f t="shared" si="0"/>
        <v>0.55900545634043552</v>
      </c>
      <c r="AV50" s="177">
        <f t="shared" si="0"/>
        <v>0.51886204257841029</v>
      </c>
      <c r="AW50" s="177">
        <f t="shared" si="0"/>
        <v>0.20366757269439043</v>
      </c>
      <c r="AX50" s="177" t="str">
        <f t="shared" si="0"/>
        <v/>
      </c>
      <c r="AY50" s="177" t="str">
        <f t="shared" si="0"/>
        <v/>
      </c>
      <c r="AZ50" s="177" t="str">
        <f t="shared" si="0"/>
        <v/>
      </c>
      <c r="BA50" s="177" t="str">
        <f t="shared" si="0"/>
        <v/>
      </c>
      <c r="BB50" s="177" t="str">
        <f t="shared" si="0"/>
        <v/>
      </c>
      <c r="BC50" s="177" t="str">
        <f t="shared" si="0"/>
        <v/>
      </c>
      <c r="BD50" s="177" t="str">
        <f t="shared" si="0"/>
        <v/>
      </c>
      <c r="BE50" s="177" t="str">
        <f t="shared" si="0"/>
        <v/>
      </c>
      <c r="BF50" s="177" t="str">
        <f t="shared" si="0"/>
        <v/>
      </c>
      <c r="BG50" s="177" t="str">
        <f t="shared" si="0"/>
        <v/>
      </c>
      <c r="BH50" s="177" t="str">
        <f t="shared" si="0"/>
        <v/>
      </c>
      <c r="BI50" s="177" t="str">
        <f t="shared" si="0"/>
        <v/>
      </c>
      <c r="BJ50" s="177" t="str">
        <f t="shared" si="0"/>
        <v/>
      </c>
      <c r="BK50" s="177" t="str">
        <f t="shared" si="0"/>
        <v/>
      </c>
      <c r="BL50" s="177" t="str">
        <f t="shared" si="0"/>
        <v/>
      </c>
    </row>
    <row r="51" spans="1:64" ht="15.75" x14ac:dyDescent="0.3">
      <c r="A51" s="150">
        <v>46</v>
      </c>
      <c r="B51" s="10" t="s">
        <v>1098</v>
      </c>
      <c r="C51">
        <v>22269343.797118202</v>
      </c>
      <c r="E51" s="10" t="s">
        <v>497</v>
      </c>
      <c r="F51" s="151">
        <f>IF(ISNUMBER(I48),I48/SUM($I$43:$AI$71),0)</f>
        <v>0</v>
      </c>
      <c r="H51" s="160" t="s">
        <v>16</v>
      </c>
      <c r="I51" s="183">
        <f>IF(AND(ISNUMBER(I82),I82&gt;0.8*'Ratio_M+Cl'!C75,I82&lt;1.2*'Ratio_M+Cl'!C75),I114/'Ratio_M+Cl'!C107,IF(OR(I114="N/A",I146="N/A"),"N/A",""))</f>
        <v>68.229917375797001</v>
      </c>
      <c r="J51" s="183">
        <f>IF(AND(ISNUMBER(J82),J82&gt;0.8*'Ratio_M+Cl'!D75,J82&lt;1.2*'Ratio_M+Cl'!D75),J114/'Ratio_M+Cl'!D107,IF(OR(J114="N/A",J146="N/A"),"N/A",""))</f>
        <v>602.8681946629838</v>
      </c>
      <c r="K51" s="180">
        <f>IF(AND(ISNUMBER(K82),K82&gt;0.8*'Ratio_M+Cl'!E75,K82&lt;1.2*'Ratio_M+Cl'!E75),K114/'Ratio_M+Cl'!E107,IF(OR(K114="N/A",K146="N/A"),"N/A",""))</f>
        <v>1184.7065654067867</v>
      </c>
      <c r="L51" s="180">
        <f>IF(AND(ISNUMBER(L82),L82&gt;0.8*'Ratio_M+Cl'!F75,L82&lt;1.2*'Ratio_M+Cl'!F75),L114/'Ratio_M+Cl'!F107,IF(OR(L114="N/A",L146="N/A"),"N/A",""))</f>
        <v>1029.0479694352205</v>
      </c>
      <c r="M51" s="180">
        <f>IF(AND(ISNUMBER(M82),M82&gt;0.8*'Ratio_M+Cl'!G75,M82&lt;1.2*'Ratio_M+Cl'!G75),M114/'Ratio_M+Cl'!G107,IF(OR(M114="N/A",M146="N/A"),"N/A",""))</f>
        <v>557.95802963133247</v>
      </c>
      <c r="N51" s="183">
        <f>IF(AND(ISNUMBER(N82),N82&gt;0.8*'Ratio_M+Cl'!H75,N82&lt;1.2*'Ratio_M+Cl'!H75),N114/'Ratio_M+Cl'!H107,IF(OR(N114="N/A",N146="N/A"),"N/A",""))</f>
        <v>287.54005136597038</v>
      </c>
      <c r="O51" s="183">
        <f>IF(AND(ISNUMBER(O82),O82&gt;0.8*'Ratio_M+Cl'!I75,O82&lt;1.2*'Ratio_M+Cl'!I75),O114/'Ratio_M+Cl'!I107,IF(OR(O114="N/A",O146="N/A"),"N/A",""))</f>
        <v>143.61133032725732</v>
      </c>
      <c r="P51" s="183">
        <f>IF(AND(ISNUMBER(P82),P82&gt;0.8*'Ratio_M+Cl'!J75,P82&lt;1.2*'Ratio_M+Cl'!J75),P114/'Ratio_M+Cl'!J107,IF(OR(P114="N/A",P146="N/A"),"N/A",""))</f>
        <v>43.555578229712452</v>
      </c>
      <c r="Q51" s="183" t="str">
        <f>IF(AND(ISNUMBER(Q82),Q82&gt;0.8*'Ratio_M+Cl'!K75,Q82&lt;1.2*'Ratio_M+Cl'!K75),Q114/'Ratio_M+Cl'!K107,IF(OR(Q114="N/A",Q146="N/A"),"N/A",""))</f>
        <v/>
      </c>
      <c r="R51" s="183" t="str">
        <f>IF(AND(ISNUMBER(R82),R82&gt;0.8*'Ratio_M+Cl'!L75,R82&lt;1.2*'Ratio_M+Cl'!L75),R114/'Ratio_M+Cl'!L107,IF(OR(R114="N/A",R146="N/A"),"N/A",""))</f>
        <v/>
      </c>
      <c r="S51" s="183" t="str">
        <f>IF(AND(ISNUMBER(S82),S82&gt;0.8*'Ratio_M+Cl'!M75,S82&lt;1.2*'Ratio_M+Cl'!M75),S114/'Ratio_M+Cl'!M107,IF(OR(S114="N/A",S146="N/A"),"N/A",""))</f>
        <v/>
      </c>
      <c r="T51" s="183" t="str">
        <f>IF(AND(ISNUMBER(T82),T82&gt;0.8*'Ratio_M+Cl'!N75,T82&lt;1.2*'Ratio_M+Cl'!N75),T114/'Ratio_M+Cl'!N107,IF(OR(T114="N/A",T146="N/A"),"N/A",""))</f>
        <v/>
      </c>
      <c r="U51" s="185" t="str">
        <f>IF(AND(ISNUMBER(U82),U82&gt;0.8*'Ratio_M+Cl'!O75,U82&lt;1.2*'Ratio_M+Cl'!O75),U114/'Ratio_M+Cl'!O107,IF(OR(U114="N/A",U146="N/A"),"N/A",""))</f>
        <v/>
      </c>
      <c r="V51" s="183" t="str">
        <f>IF(AND(ISNUMBER(V82),V82&gt;0.8*'Ratio_M+Cl'!P75,V82&lt;1.2*'Ratio_M+Cl'!P75),V114/'Ratio_M+Cl'!P107,IF(OR(V114="N/A",V146="N/A"),"N/A",""))</f>
        <v/>
      </c>
      <c r="W51" s="184" t="str">
        <f>IF(AND(ISNUMBER(W82),W82&gt;0.8*'Ratio_M+Cl'!Q75,W82&lt;1.2*'Ratio_M+Cl'!Q75),W114/'Ratio_M+Cl'!Q107,IF(OR(W114="N/A",W146="N/A"),"N/A",""))</f>
        <v/>
      </c>
      <c r="X51" s="183" t="str">
        <f>IF(AND(ISNUMBER(X82),X82&gt;0.8*'Ratio_M+Cl'!R75,X82&lt;1.2*'Ratio_M+Cl'!R75),X114/'Ratio_M+Cl'!R107,IF(OR(X114="N/A",X146="N/A"),"N/A",""))</f>
        <v/>
      </c>
      <c r="Y51" s="183" t="str">
        <f>IF(AND(ISNUMBER(Y82),Y82&gt;0.8*'Ratio_M+Cl'!S75,Y82&lt;1.2*'Ratio_M+Cl'!S75),Y114/'Ratio_M+Cl'!S107,IF(OR(Y114="N/A",Y146="N/A"),"N/A",""))</f>
        <v/>
      </c>
      <c r="Z51" s="183" t="str">
        <f>IF(AND(ISNUMBER(Z82),Z82&gt;0.8*'Ratio_M+Cl'!T75,Z82&lt;1.2*'Ratio_M+Cl'!T75),Z114/'Ratio_M+Cl'!T107,IF(OR(Z114="N/A",Z146="N/A"),"N/A",""))</f>
        <v/>
      </c>
      <c r="AA51" s="183" t="str">
        <f>IF(AND(ISNUMBER(AA82),AA82&gt;0.8*'Ratio_M+Cl'!U75,AA82&lt;1.2*'Ratio_M+Cl'!U75),AA114/'Ratio_M+Cl'!U107,IF(OR(AA114="N/A",AA146="N/A"),"N/A",""))</f>
        <v/>
      </c>
      <c r="AB51" s="183" t="str">
        <f>IF(AND(ISNUMBER(AB82),AB82&gt;0.8*'Ratio_M+Cl'!V75,AB82&lt;1.2*'Ratio_M+Cl'!V75),AB114/'Ratio_M+Cl'!V107,IF(OR(AB114="N/A",AB146="N/A"),"N/A",""))</f>
        <v/>
      </c>
      <c r="AC51" s="183" t="str">
        <f>IF(AND(ISNUMBER(AC82),AC82&gt;0.8*'Ratio_M+Cl'!W75,AC82&lt;1.2*'Ratio_M+Cl'!W75),AC114/'Ratio_M+Cl'!W107,IF(OR(AC114="N/A",AC146="N/A"),"N/A",""))</f>
        <v/>
      </c>
      <c r="AD51" s="183" t="str">
        <f>IF(AND(ISNUMBER(AD82),AD82&gt;0.8*'Ratio_M+Cl'!X75,AD82&lt;1.2*'Ratio_M+Cl'!X75),AD114/'Ratio_M+Cl'!X107,IF(OR(AD114="N/A",AD146="N/A"),"N/A",""))</f>
        <v/>
      </c>
      <c r="AE51" s="183" t="str">
        <f>IF(AND(ISNUMBER(AE82),AE82&gt;0.8*'Ratio_M+Cl'!Y75,AE82&lt;1.2*'Ratio_M+Cl'!Y75),AE114/'Ratio_M+Cl'!Y107,IF(OR(AE114="N/A",AE146="N/A"),"N/A",""))</f>
        <v/>
      </c>
      <c r="AF51" s="183" t="str">
        <f>IF(AND(ISNUMBER(AF82),AF82&gt;0.8*'Ratio_M+Cl'!Z75,AF82&lt;1.2*'Ratio_M+Cl'!Z75),AF114/'Ratio_M+Cl'!Z107,IF(OR(AF114="N/A",AF146="N/A"),"N/A",""))</f>
        <v/>
      </c>
      <c r="AG51" s="183" t="str">
        <f>IF(AND(ISNUMBER(AG82),AG82&gt;0.8*'Ratio_M+Cl'!AA75,AG82&lt;1.2*'Ratio_M+Cl'!AA75),AG114/'Ratio_M+Cl'!AA107,IF(OR(AG114="N/A",AG146="N/A"),"N/A",""))</f>
        <v/>
      </c>
      <c r="AH51" s="183" t="str">
        <f>IF(AND(ISNUMBER(AH82),AH82&gt;0.8*'Ratio_M+Cl'!AB75,AH82&lt;1.2*'Ratio_M+Cl'!AB75),AH114/'Ratio_M+Cl'!AB107,IF(OR(AH114="N/A",AH146="N/A"),"N/A",""))</f>
        <v/>
      </c>
      <c r="AI51" s="183" t="str">
        <f>IF(AND(ISNUMBER(AI82),AI82&gt;0.8*'Ratio_M+Cl'!AC75,AI82&lt;1.2*'Ratio_M+Cl'!AC75),AI114/'Ratio_M+Cl'!AC107,IF(OR(AI114="N/A",AI146="N/A"),"N/A",""))</f>
        <v/>
      </c>
      <c r="AK51" s="160" t="s">
        <v>16</v>
      </c>
      <c r="AL51" s="177">
        <f t="shared" si="1"/>
        <v>0.5988562483646539</v>
      </c>
      <c r="AM51" s="177">
        <f t="shared" si="0"/>
        <v>5.2913941449724504</v>
      </c>
      <c r="AN51" s="177">
        <f t="shared" si="0"/>
        <v>10.398208827732665</v>
      </c>
      <c r="AO51" s="177">
        <f t="shared" si="0"/>
        <v>9.0319881668483806</v>
      </c>
      <c r="AP51" s="177">
        <f t="shared" si="0"/>
        <v>4.8972161365753246</v>
      </c>
      <c r="AQ51" s="177">
        <f t="shared" si="0"/>
        <v>2.5237485701058051</v>
      </c>
      <c r="AR51" s="177">
        <f t="shared" si="0"/>
        <v>1.2604814106508915</v>
      </c>
      <c r="AS51" s="177">
        <f t="shared" si="0"/>
        <v>0.38228875509750104</v>
      </c>
      <c r="AT51" s="177" t="str">
        <f t="shared" si="0"/>
        <v/>
      </c>
      <c r="AU51" s="177" t="str">
        <f t="shared" si="0"/>
        <v/>
      </c>
      <c r="AV51" s="177" t="str">
        <f t="shared" si="0"/>
        <v/>
      </c>
      <c r="AW51" s="177" t="str">
        <f t="shared" si="0"/>
        <v/>
      </c>
      <c r="AX51" s="177" t="str">
        <f t="shared" si="0"/>
        <v/>
      </c>
      <c r="AY51" s="177" t="str">
        <f t="shared" si="0"/>
        <v/>
      </c>
      <c r="AZ51" s="177" t="str">
        <f t="shared" si="0"/>
        <v/>
      </c>
      <c r="BA51" s="177" t="str">
        <f t="shared" si="0"/>
        <v/>
      </c>
      <c r="BB51" s="177" t="str">
        <f t="shared" si="0"/>
        <v/>
      </c>
      <c r="BC51" s="177" t="str">
        <f t="shared" si="0"/>
        <v/>
      </c>
      <c r="BD51" s="177" t="str">
        <f t="shared" si="0"/>
        <v/>
      </c>
      <c r="BE51" s="177" t="str">
        <f t="shared" si="0"/>
        <v/>
      </c>
      <c r="BF51" s="177" t="str">
        <f t="shared" si="0"/>
        <v/>
      </c>
      <c r="BG51" s="177" t="str">
        <f t="shared" si="0"/>
        <v/>
      </c>
      <c r="BH51" s="177" t="str">
        <f t="shared" si="0"/>
        <v/>
      </c>
      <c r="BI51" s="177" t="str">
        <f t="shared" si="0"/>
        <v/>
      </c>
      <c r="BJ51" s="177" t="str">
        <f t="shared" si="0"/>
        <v/>
      </c>
      <c r="BK51" s="177" t="str">
        <f t="shared" si="0"/>
        <v/>
      </c>
      <c r="BL51" s="177" t="str">
        <f t="shared" si="0"/>
        <v/>
      </c>
    </row>
    <row r="52" spans="1:64" ht="15.75" x14ac:dyDescent="0.3">
      <c r="A52" s="150">
        <v>47</v>
      </c>
      <c r="B52" s="10" t="s">
        <v>1099</v>
      </c>
      <c r="C52">
        <v>597661.54004490399</v>
      </c>
      <c r="E52" s="10" t="s">
        <v>367</v>
      </c>
      <c r="F52" s="151">
        <f>IF(ISNUMBER(J48),J48/SUM($I$43:$AI$71),0)</f>
        <v>9.4184654569876404E-4</v>
      </c>
      <c r="H52" s="159" t="s">
        <v>17</v>
      </c>
      <c r="I52" s="181">
        <f>IF(AND(ISNUMBER(I83),I83&gt;0.8*'Ratio_M+Cl'!C76,I83&lt;1.2*'Ratio_M+Cl'!C76),I115/'Ratio_M+Cl'!C108,IF(OR(I115="N/A",I147="N/A"),"N/A",""))</f>
        <v>27.759951065492778</v>
      </c>
      <c r="J52" s="181">
        <f>IF(AND(ISNUMBER(J83),J83&gt;0.8*'Ratio_M+Cl'!D76,J83&lt;1.2*'Ratio_M+Cl'!D76),J115/'Ratio_M+Cl'!D108,IF(OR(J115="N/A",J147="N/A"),"N/A",""))</f>
        <v>286.05435073891675</v>
      </c>
      <c r="K52" s="181">
        <f>IF(AND(ISNUMBER(K83),K83&gt;0.8*'Ratio_M+Cl'!E76,K83&lt;1.2*'Ratio_M+Cl'!E76),K115/'Ratio_M+Cl'!E108,IF(OR(K115="N/A",K147="N/A"),"N/A",""))</f>
        <v>663.20184625739637</v>
      </c>
      <c r="L52" s="181">
        <f>IF(AND(ISNUMBER(L83),L83&gt;0.8*'Ratio_M+Cl'!F76,L83&lt;1.2*'Ratio_M+Cl'!F76),L115/'Ratio_M+Cl'!F108,IF(OR(L115="N/A",L147="N/A"),"N/A",""))</f>
        <v>702.39052259689549</v>
      </c>
      <c r="M52" s="181">
        <f>IF(AND(ISNUMBER(M83),M83&gt;0.8*'Ratio_M+Cl'!G76,M83&lt;1.2*'Ratio_M+Cl'!G76),M115/'Ratio_M+Cl'!G108,IF(OR(M115="N/A",M147="N/A"),"N/A",""))</f>
        <v>471.05107424199792</v>
      </c>
      <c r="N52" s="181">
        <f>IF(AND(ISNUMBER(N83),N83&gt;0.8*'Ratio_M+Cl'!H76,N83&lt;1.2*'Ratio_M+Cl'!H76),N115/'Ratio_M+Cl'!H108,IF(OR(N115="N/A",N147="N/A"),"N/A",""))</f>
        <v>254.58266258921282</v>
      </c>
      <c r="O52" s="181">
        <f>IF(AND(ISNUMBER(O83),O83&gt;0.8*'Ratio_M+Cl'!I76,O83&lt;1.2*'Ratio_M+Cl'!I76),O115/'Ratio_M+Cl'!I108,IF(OR(O115="N/A",O147="N/A"),"N/A",""))</f>
        <v>131.46863609246469</v>
      </c>
      <c r="P52" s="181">
        <f>IF(AND(ISNUMBER(P83),P83&gt;0.8*'Ratio_M+Cl'!J76,P83&lt;1.2*'Ratio_M+Cl'!J76),P115/'Ratio_M+Cl'!J108,IF(OR(P115="N/A",P147="N/A"),"N/A",""))</f>
        <v>50.570873391079317</v>
      </c>
      <c r="Q52" s="181">
        <f>IF(AND(ISNUMBER(Q83),Q83&gt;0.8*'Ratio_M+Cl'!K76,Q83&lt;1.2*'Ratio_M+Cl'!K76),Q115/'Ratio_M+Cl'!K108,IF(OR(Q115="N/A",Q147="N/A"),"N/A",""))</f>
        <v>9.3411607654683877</v>
      </c>
      <c r="R52" s="181" t="str">
        <f>IF(AND(ISNUMBER(R83),R83&gt;0.8*'Ratio_M+Cl'!L76,R83&lt;1.2*'Ratio_M+Cl'!L76),R115/'Ratio_M+Cl'!L108,IF(OR(R115="N/A",R147="N/A"),"N/A",""))</f>
        <v/>
      </c>
      <c r="S52" s="181" t="str">
        <f>IF(AND(ISNUMBER(S83),S83&gt;0.8*'Ratio_M+Cl'!M76,S83&lt;1.2*'Ratio_M+Cl'!M76),S115/'Ratio_M+Cl'!M108,IF(OR(S115="N/A",S147="N/A"),"N/A",""))</f>
        <v/>
      </c>
      <c r="T52" s="181" t="str">
        <f>IF(AND(ISNUMBER(T83),T83&gt;0.8*'Ratio_M+Cl'!N76,T83&lt;1.2*'Ratio_M+Cl'!N76),T115/'Ratio_M+Cl'!N108,IF(OR(T115="N/A",T147="N/A"),"N/A",""))</f>
        <v/>
      </c>
      <c r="U52" s="181" t="str">
        <f>IF(AND(ISNUMBER(U83),U83&gt;0.8*'Ratio_M+Cl'!O76,U83&lt;1.2*'Ratio_M+Cl'!O76),U115/'Ratio_M+Cl'!O108,IF(OR(U115="N/A",U147="N/A"),"N/A",""))</f>
        <v/>
      </c>
      <c r="V52" s="182" t="str">
        <f>IF(AND(ISNUMBER(V83),V83&gt;0.8*'Ratio_M+Cl'!P76,V83&lt;1.2*'Ratio_M+Cl'!P76),V115/'Ratio_M+Cl'!P108,IF(OR(V115="N/A",V147="N/A"),"N/A",""))</f>
        <v/>
      </c>
      <c r="W52" s="183" t="str">
        <f>IF(AND(ISNUMBER(W83),W83&gt;0.8*'Ratio_M+Cl'!Q76,W83&lt;1.2*'Ratio_M+Cl'!Q76),W115/'Ratio_M+Cl'!Q108,IF(OR(W115="N/A",W147="N/A"),"N/A",""))</f>
        <v/>
      </c>
      <c r="X52" s="184" t="str">
        <f>IF(AND(ISNUMBER(X83),X83&gt;0.8*'Ratio_M+Cl'!R76,X83&lt;1.2*'Ratio_M+Cl'!R76),X115/'Ratio_M+Cl'!R108,IF(OR(X115="N/A",X147="N/A"),"N/A",""))</f>
        <v/>
      </c>
      <c r="Y52" s="183" t="str">
        <f>IF(AND(ISNUMBER(Y83),Y83&gt;0.8*'Ratio_M+Cl'!S76,Y83&lt;1.2*'Ratio_M+Cl'!S76),Y115/'Ratio_M+Cl'!S108,IF(OR(Y115="N/A",Y147="N/A"),"N/A",""))</f>
        <v/>
      </c>
      <c r="Z52" s="183" t="str">
        <f>IF(AND(ISNUMBER(Z83),Z83&gt;0.8*'Ratio_M+Cl'!T76,Z83&lt;1.2*'Ratio_M+Cl'!T76),Z115/'Ratio_M+Cl'!T108,IF(OR(Z115="N/A",Z147="N/A"),"N/A",""))</f>
        <v/>
      </c>
      <c r="AA52" s="183" t="str">
        <f>IF(AND(ISNUMBER(AA83),AA83&gt;0.8*'Ratio_M+Cl'!U76,AA83&lt;1.2*'Ratio_M+Cl'!U76),AA115/'Ratio_M+Cl'!U108,IF(OR(AA115="N/A",AA147="N/A"),"N/A",""))</f>
        <v/>
      </c>
      <c r="AB52" s="183" t="str">
        <f>IF(AND(ISNUMBER(AB83),AB83&gt;0.8*'Ratio_M+Cl'!V76,AB83&lt;1.2*'Ratio_M+Cl'!V76),AB115/'Ratio_M+Cl'!V108,IF(OR(AB115="N/A",AB147="N/A"),"N/A",""))</f>
        <v/>
      </c>
      <c r="AC52" s="183" t="str">
        <f>IF(AND(ISNUMBER(AC83),AC83&gt;0.8*'Ratio_M+Cl'!W76,AC83&lt;1.2*'Ratio_M+Cl'!W76),AC115/'Ratio_M+Cl'!W108,IF(OR(AC115="N/A",AC147="N/A"),"N/A",""))</f>
        <v/>
      </c>
      <c r="AD52" s="183" t="str">
        <f>IF(AND(ISNUMBER(AD83),AD83&gt;0.8*'Ratio_M+Cl'!X76,AD83&lt;1.2*'Ratio_M+Cl'!X76),AD115/'Ratio_M+Cl'!X108,IF(OR(AD115="N/A",AD147="N/A"),"N/A",""))</f>
        <v/>
      </c>
      <c r="AE52" s="183" t="str">
        <f>IF(AND(ISNUMBER(AE83),AE83&gt;0.8*'Ratio_M+Cl'!Y76,AE83&lt;1.2*'Ratio_M+Cl'!Y76),AE115/'Ratio_M+Cl'!Y108,IF(OR(AE115="N/A",AE147="N/A"),"N/A",""))</f>
        <v/>
      </c>
      <c r="AF52" s="183" t="str">
        <f>IF(AND(ISNUMBER(AF83),AF83&gt;0.8*'Ratio_M+Cl'!Z76,AF83&lt;1.2*'Ratio_M+Cl'!Z76),AF115/'Ratio_M+Cl'!Z108,IF(OR(AF115="N/A",AF147="N/A"),"N/A",""))</f>
        <v/>
      </c>
      <c r="AG52" s="183" t="str">
        <f>IF(AND(ISNUMBER(AG83),AG83&gt;0.8*'Ratio_M+Cl'!AA76,AG83&lt;1.2*'Ratio_M+Cl'!AA76),AG115/'Ratio_M+Cl'!AA108,IF(OR(AG115="N/A",AG147="N/A"),"N/A",""))</f>
        <v/>
      </c>
      <c r="AH52" s="183" t="str">
        <f>IF(AND(ISNUMBER(AH83),AH83&gt;0.8*'Ratio_M+Cl'!AB76,AH83&lt;1.2*'Ratio_M+Cl'!AB76),AH115/'Ratio_M+Cl'!AB108,IF(OR(AH115="N/A",AH147="N/A"),"N/A",""))</f>
        <v/>
      </c>
      <c r="AI52" s="183" t="str">
        <f>IF(AND(ISNUMBER(AI83),AI83&gt;0.8*'Ratio_M+Cl'!AC76,AI83&lt;1.2*'Ratio_M+Cl'!AC76),AI115/'Ratio_M+Cl'!AC108,IF(OR(AI115="N/A",AI147="N/A"),"N/A",""))</f>
        <v/>
      </c>
      <c r="AK52" s="159" t="s">
        <v>17</v>
      </c>
      <c r="AL52" s="177">
        <f t="shared" si="1"/>
        <v>0.24365001145032081</v>
      </c>
      <c r="AM52" s="177">
        <f t="shared" si="0"/>
        <v>2.5107085264133886</v>
      </c>
      <c r="AN52" s="177">
        <f t="shared" si="0"/>
        <v>5.82094460661183</v>
      </c>
      <c r="AO52" s="177">
        <f t="shared" si="0"/>
        <v>6.1649049189450533</v>
      </c>
      <c r="AP52" s="177">
        <f t="shared" si="0"/>
        <v>4.1344309059469646</v>
      </c>
      <c r="AQ52" s="177">
        <f t="shared" si="0"/>
        <v>2.2344804754364489</v>
      </c>
      <c r="AR52" s="177">
        <f t="shared" si="0"/>
        <v>1.1539045805129362</v>
      </c>
      <c r="AS52" s="177">
        <f t="shared" si="0"/>
        <v>0.44386223346429637</v>
      </c>
      <c r="AT52" s="177">
        <f t="shared" si="0"/>
        <v>8.19876779356008E-2</v>
      </c>
      <c r="AU52" s="177" t="str">
        <f t="shared" si="0"/>
        <v/>
      </c>
      <c r="AV52" s="177" t="str">
        <f t="shared" si="0"/>
        <v/>
      </c>
      <c r="AW52" s="177" t="str">
        <f t="shared" si="0"/>
        <v/>
      </c>
      <c r="AX52" s="177" t="str">
        <f t="shared" si="0"/>
        <v/>
      </c>
      <c r="AY52" s="177" t="str">
        <f t="shared" si="0"/>
        <v/>
      </c>
      <c r="AZ52" s="177" t="str">
        <f t="shared" si="0"/>
        <v/>
      </c>
      <c r="BA52" s="177" t="str">
        <f t="shared" si="0"/>
        <v/>
      </c>
      <c r="BB52" s="177" t="str">
        <f t="shared" si="0"/>
        <v/>
      </c>
      <c r="BC52" s="177" t="str">
        <f t="shared" si="0"/>
        <v/>
      </c>
      <c r="BD52" s="177" t="str">
        <f t="shared" si="0"/>
        <v/>
      </c>
      <c r="BE52" s="177" t="str">
        <f t="shared" si="0"/>
        <v/>
      </c>
      <c r="BF52" s="177" t="str">
        <f t="shared" si="0"/>
        <v/>
      </c>
      <c r="BG52" s="177" t="str">
        <f t="shared" si="0"/>
        <v/>
      </c>
      <c r="BH52" s="177" t="str">
        <f t="shared" ref="BH52:BH70" si="2">IF(ISNUMBER(AE52),AE52*10^6/$AF$3,"")</f>
        <v/>
      </c>
      <c r="BI52" s="177" t="str">
        <f t="shared" ref="BI52:BI70" si="3">IF(ISNUMBER(AF52),AF52*10^6/$AF$3,"")</f>
        <v/>
      </c>
      <c r="BJ52" s="177" t="str">
        <f t="shared" ref="BJ52:BJ70" si="4">IF(ISNUMBER(AG52),AG52*10^6/$AF$3,"")</f>
        <v/>
      </c>
      <c r="BK52" s="177" t="str">
        <f t="shared" ref="BK52:BK70" si="5">IF(ISNUMBER(AH52),AH52*10^6/$AF$3,"")</f>
        <v/>
      </c>
      <c r="BL52" s="177" t="str">
        <f t="shared" ref="BL52:BL70" si="6">IF(ISNUMBER(AI52),AI52*10^6/$AF$3,"")</f>
        <v/>
      </c>
    </row>
    <row r="53" spans="1:64" ht="15.75" x14ac:dyDescent="0.3">
      <c r="A53" s="150">
        <v>48</v>
      </c>
      <c r="B53" s="10" t="s">
        <v>1100</v>
      </c>
      <c r="C53">
        <v>347867.465252936</v>
      </c>
      <c r="E53" s="10" t="s">
        <v>368</v>
      </c>
      <c r="F53" s="151">
        <f>IF(ISNUMBER(K48),K48/SUM($I$43:$AI$71),0)</f>
        <v>4.7844464896871081E-3</v>
      </c>
      <c r="H53" s="160" t="s">
        <v>9</v>
      </c>
      <c r="I53" s="183" t="str">
        <f>IF(AND(ISNUMBER(I84),I84&gt;0.8*'Ratio_M+Cl'!C77,I84&lt;1.2*'Ratio_M+Cl'!C77),I116/'Ratio_M+Cl'!C109,IF(OR(I116="N/A",I148="N/A"),"N/A",""))</f>
        <v/>
      </c>
      <c r="J53" s="183">
        <f>IF(AND(ISNUMBER(J84),J84&gt;0.8*'Ratio_M+Cl'!D77,J84&lt;1.2*'Ratio_M+Cl'!D77),J116/'Ratio_M+Cl'!D109,IF(OR(J116="N/A",J148="N/A"),"N/A",""))</f>
        <v>24.529928153566889</v>
      </c>
      <c r="K53" s="180">
        <f>IF(AND(ISNUMBER(K84),K84&gt;0.8*'Ratio_M+Cl'!E77,K84&lt;1.2*'Ratio_M+Cl'!E77),K116/'Ratio_M+Cl'!E109,IF(OR(K116="N/A",K148="N/A"),"N/A",""))</f>
        <v>74.784514310519825</v>
      </c>
      <c r="L53" s="180">
        <f>IF(AND(ISNUMBER(L84),L84&gt;0.8*'Ratio_M+Cl'!F77,L84&lt;1.2*'Ratio_M+Cl'!F77),L116/'Ratio_M+Cl'!F109,IF(OR(L116="N/A",L148="N/A"),"N/A",""))</f>
        <v>97.602312134110832</v>
      </c>
      <c r="M53" s="180">
        <f>IF(AND(ISNUMBER(M84),M84&gt;0.8*'Ratio_M+Cl'!G77,M84&lt;1.2*'Ratio_M+Cl'!G77),M116/'Ratio_M+Cl'!G109,IF(OR(M116="N/A",M148="N/A"),"N/A",""))</f>
        <v>82.082459274542344</v>
      </c>
      <c r="N53" s="183">
        <f>IF(AND(ISNUMBER(N84),N84&gt;0.8*'Ratio_M+Cl'!H77,N84&lt;1.2*'Ratio_M+Cl'!H77),N116/'Ratio_M+Cl'!H109,IF(OR(N116="N/A",N148="N/A"),"N/A",""))</f>
        <v>43.780137708389546</v>
      </c>
      <c r="O53" s="183">
        <f>IF(AND(ISNUMBER(O84),O84&gt;0.8*'Ratio_M+Cl'!I77,O84&lt;1.2*'Ratio_M+Cl'!I77),O116/'Ratio_M+Cl'!I109,IF(OR(O116="N/A",O148="N/A"),"N/A",""))</f>
        <v>20.323230848465244</v>
      </c>
      <c r="P53" s="183" t="str">
        <f>IF(AND(ISNUMBER(P84),P84&gt;0.8*'Ratio_M+Cl'!J77,P84&lt;1.2*'Ratio_M+Cl'!J77),P116/'Ratio_M+Cl'!J109,IF(OR(P116="N/A",P148="N/A"),"N/A",""))</f>
        <v/>
      </c>
      <c r="Q53" s="183" t="str">
        <f>IF(AND(ISNUMBER(Q84),Q84&gt;0.8*'Ratio_M+Cl'!K77,Q84&lt;1.2*'Ratio_M+Cl'!K77),Q116/'Ratio_M+Cl'!K109,IF(OR(Q116="N/A",Q148="N/A"),"N/A",""))</f>
        <v/>
      </c>
      <c r="R53" s="183" t="str">
        <f>IF(AND(ISNUMBER(R84),R84&gt;0.8*'Ratio_M+Cl'!L77,R84&lt;1.2*'Ratio_M+Cl'!L77),R116/'Ratio_M+Cl'!L109,IF(OR(R116="N/A",R148="N/A"),"N/A",""))</f>
        <v/>
      </c>
      <c r="S53" s="183" t="str">
        <f>IF(AND(ISNUMBER(S84),S84&gt;0.8*'Ratio_M+Cl'!M77,S84&lt;1.2*'Ratio_M+Cl'!M77),S116/'Ratio_M+Cl'!M109,IF(OR(S116="N/A",S148="N/A"),"N/A",""))</f>
        <v/>
      </c>
      <c r="T53" s="183">
        <f>IF(AND(ISNUMBER(T84),T84&gt;0.8*'Ratio_M+Cl'!N77,T84&lt;1.2*'Ratio_M+Cl'!N77),T116/'Ratio_M+Cl'!N109,IF(OR(T116="N/A",T148="N/A"),"N/A",""))</f>
        <v>18.181857355203146</v>
      </c>
      <c r="U53" s="183">
        <f>IF(AND(ISNUMBER(U84),U84&gt;0.8*'Ratio_M+Cl'!O77,U84&lt;1.2*'Ratio_M+Cl'!O77),U116/'Ratio_M+Cl'!O109,IF(OR(U116="N/A",U148="N/A"),"N/A",""))</f>
        <v>27.430010652344667</v>
      </c>
      <c r="V53" s="183" t="str">
        <f>IF(AND(ISNUMBER(V84),V84&gt;0.8*'Ratio_M+Cl'!P77,V84&lt;1.2*'Ratio_M+Cl'!P77),V116/'Ratio_M+Cl'!P109,IF(OR(V116="N/A",V148="N/A"),"N/A",""))</f>
        <v/>
      </c>
      <c r="W53" s="185" t="str">
        <f>IF(AND(ISNUMBER(W84),W84&gt;0.8*'Ratio_M+Cl'!Q77,W84&lt;1.2*'Ratio_M+Cl'!Q77),W116/'Ratio_M+Cl'!Q109,IF(OR(W116="N/A",W148="N/A"),"N/A",""))</f>
        <v/>
      </c>
      <c r="X53" s="183" t="str">
        <f>IF(AND(ISNUMBER(X84),X84&gt;0.8*'Ratio_M+Cl'!R77,X84&lt;1.2*'Ratio_M+Cl'!R77),X116/'Ratio_M+Cl'!R109,IF(OR(X116="N/A",X148="N/A"),"N/A",""))</f>
        <v/>
      </c>
      <c r="Y53" s="184" t="str">
        <f>IF(AND(ISNUMBER(Y84),Y84&gt;0.8*'Ratio_M+Cl'!S77,Y84&lt;1.2*'Ratio_M+Cl'!S77),Y116/'Ratio_M+Cl'!S109,IF(OR(Y116="N/A",Y148="N/A"),"N/A",""))</f>
        <v/>
      </c>
      <c r="Z53" s="183" t="str">
        <f>IF(AND(ISNUMBER(Z84),Z84&gt;0.8*'Ratio_M+Cl'!T77,Z84&lt;1.2*'Ratio_M+Cl'!T77),Z116/'Ratio_M+Cl'!T109,IF(OR(Z116="N/A",Z148="N/A"),"N/A",""))</f>
        <v/>
      </c>
      <c r="AA53" s="183" t="str">
        <f>IF(AND(ISNUMBER(AA84),AA84&gt;0.8*'Ratio_M+Cl'!U77,AA84&lt;1.2*'Ratio_M+Cl'!U77),AA116/'Ratio_M+Cl'!U109,IF(OR(AA116="N/A",AA148="N/A"),"N/A",""))</f>
        <v/>
      </c>
      <c r="AB53" s="183" t="str">
        <f>IF(AND(ISNUMBER(AB84),AB84&gt;0.8*'Ratio_M+Cl'!V77,AB84&lt;1.2*'Ratio_M+Cl'!V77),AB116/'Ratio_M+Cl'!V109,IF(OR(AB116="N/A",AB148="N/A"),"N/A",""))</f>
        <v/>
      </c>
      <c r="AC53" s="183" t="str">
        <f>IF(AND(ISNUMBER(AC84),AC84&gt;0.8*'Ratio_M+Cl'!W77,AC84&lt;1.2*'Ratio_M+Cl'!W77),AC116/'Ratio_M+Cl'!W109,IF(OR(AC116="N/A",AC148="N/A"),"N/A",""))</f>
        <v/>
      </c>
      <c r="AD53" s="183" t="str">
        <f>IF(AND(ISNUMBER(AD84),AD84&gt;0.8*'Ratio_M+Cl'!X77,AD84&lt;1.2*'Ratio_M+Cl'!X77),AD116/'Ratio_M+Cl'!X109,IF(OR(AD116="N/A",AD148="N/A"),"N/A",""))</f>
        <v/>
      </c>
      <c r="AE53" s="183" t="str">
        <f>IF(AND(ISNUMBER(AE84),AE84&gt;0.8*'Ratio_M+Cl'!Y77,AE84&lt;1.2*'Ratio_M+Cl'!Y77),AE116/'Ratio_M+Cl'!Y109,IF(OR(AE116="N/A",AE148="N/A"),"N/A",""))</f>
        <v/>
      </c>
      <c r="AF53" s="183" t="str">
        <f>IF(AND(ISNUMBER(AF84),AF84&gt;0.8*'Ratio_M+Cl'!Z77,AF84&lt;1.2*'Ratio_M+Cl'!Z77),AF116/'Ratio_M+Cl'!Z109,IF(OR(AF116="N/A",AF148="N/A"),"N/A",""))</f>
        <v/>
      </c>
      <c r="AG53" s="183" t="str">
        <f>IF(AND(ISNUMBER(AG84),AG84&gt;0.8*'Ratio_M+Cl'!AA77,AG84&lt;1.2*'Ratio_M+Cl'!AA77),AG116/'Ratio_M+Cl'!AA109,IF(OR(AG116="N/A",AG148="N/A"),"N/A",""))</f>
        <v/>
      </c>
      <c r="AH53" s="183" t="str">
        <f>IF(AND(ISNUMBER(AH84),AH84&gt;0.8*'Ratio_M+Cl'!AB77,AH84&lt;1.2*'Ratio_M+Cl'!AB77),AH116/'Ratio_M+Cl'!AB109,IF(OR(AH116="N/A",AH148="N/A"),"N/A",""))</f>
        <v/>
      </c>
      <c r="AI53" s="183" t="str">
        <f>IF(AND(ISNUMBER(AI84),AI84&gt;0.8*'Ratio_M+Cl'!AC77,AI84&lt;1.2*'Ratio_M+Cl'!AC77),AI116/'Ratio_M+Cl'!AC109,IF(OR(AI116="N/A",AI148="N/A"),"N/A",""))</f>
        <v/>
      </c>
      <c r="AK53" s="160" t="s">
        <v>9</v>
      </c>
      <c r="AL53" s="177" t="str">
        <f t="shared" si="1"/>
        <v/>
      </c>
      <c r="AM53" s="177">
        <f t="shared" ref="AM53:AM70" si="7">IF(ISNUMBER(J53),J53*10^6/$AF$3,"")</f>
        <v>0.21529999319492765</v>
      </c>
      <c r="AN53" s="177">
        <f t="shared" ref="AN53:AN70" si="8">IF(ISNUMBER(K53),K53*10^6/$AF$3,"")</f>
        <v>0.65638616311232989</v>
      </c>
      <c r="AO53" s="177">
        <f t="shared" ref="AO53:AO70" si="9">IF(ISNUMBER(L53),L53*10^6/$AF$3,"")</f>
        <v>0.8566587316003883</v>
      </c>
      <c r="AP53" s="177">
        <f t="shared" ref="AP53:AP70" si="10">IF(ISNUMBER(M53),M53*10^6/$AF$3,"")</f>
        <v>0.72044046817406437</v>
      </c>
      <c r="AQ53" s="177">
        <f t="shared" ref="AQ53:AQ70" si="11">IF(ISNUMBER(N53),N53*10^6/$AF$3,"")</f>
        <v>0.38425972109170858</v>
      </c>
      <c r="AR53" s="177">
        <f t="shared" ref="AR53:AR70" si="12">IF(ISNUMBER(O53),O53*10^6/$AF$3,"")</f>
        <v>0.17837767138903166</v>
      </c>
      <c r="AS53" s="177" t="str">
        <f t="shared" ref="AS53:AS70" si="13">IF(ISNUMBER(P53),P53*10^6/$AF$3,"")</f>
        <v/>
      </c>
      <c r="AT53" s="177" t="str">
        <f t="shared" ref="AT53:AT70" si="14">IF(ISNUMBER(Q53),Q53*10^6/$AF$3,"")</f>
        <v/>
      </c>
      <c r="AU53" s="177" t="str">
        <f t="shared" ref="AU53:AU70" si="15">IF(ISNUMBER(R53),R53*10^6/$AF$3,"")</f>
        <v/>
      </c>
      <c r="AV53" s="177" t="str">
        <f t="shared" ref="AV53:AV70" si="16">IF(ISNUMBER(S53),S53*10^6/$AF$3,"")</f>
        <v/>
      </c>
      <c r="AW53" s="177">
        <f t="shared" ref="AW53:AW70" si="17">IF(ISNUMBER(T53),T53*10^6/$AF$3,"")</f>
        <v>0.15958276519767009</v>
      </c>
      <c r="AX53" s="177">
        <f t="shared" ref="AX53:AX70" si="18">IF(ISNUMBER(U53),U53*10^6/$AF$3,"")</f>
        <v>0.24075411349820264</v>
      </c>
      <c r="AY53" s="177" t="str">
        <f t="shared" ref="AY53:AY70" si="19">IF(ISNUMBER(V53),V53*10^6/$AF$3,"")</f>
        <v/>
      </c>
      <c r="AZ53" s="177" t="str">
        <f t="shared" ref="AZ53:AZ70" si="20">IF(ISNUMBER(W53),W53*10^6/$AF$3,"")</f>
        <v/>
      </c>
      <c r="BA53" s="177" t="str">
        <f t="shared" ref="BA53:BA70" si="21">IF(ISNUMBER(X53),X53*10^6/$AF$3,"")</f>
        <v/>
      </c>
      <c r="BB53" s="177" t="str">
        <f t="shared" ref="BB53:BB70" si="22">IF(ISNUMBER(Y53),Y53*10^6/$AF$3,"")</f>
        <v/>
      </c>
      <c r="BC53" s="177" t="str">
        <f t="shared" ref="BC53:BC70" si="23">IF(ISNUMBER(Z53),Z53*10^6/$AF$3,"")</f>
        <v/>
      </c>
      <c r="BD53" s="177" t="str">
        <f t="shared" ref="BD53:BD70" si="24">IF(ISNUMBER(AA53),AA53*10^6/$AF$3,"")</f>
        <v/>
      </c>
      <c r="BE53" s="177" t="str">
        <f t="shared" ref="BE53:BE70" si="25">IF(ISNUMBER(AB53),AB53*10^6/$AF$3,"")</f>
        <v/>
      </c>
      <c r="BF53" s="177" t="str">
        <f t="shared" ref="BF53:BF70" si="26">IF(ISNUMBER(AC53),AC53*10^6/$AF$3,"")</f>
        <v/>
      </c>
      <c r="BG53" s="177" t="str">
        <f t="shared" ref="BG53:BG70" si="27">IF(ISNUMBER(AD53),AD53*10^6/$AF$3,"")</f>
        <v/>
      </c>
      <c r="BH53" s="177" t="str">
        <f t="shared" si="2"/>
        <v/>
      </c>
      <c r="BI53" s="177" t="str">
        <f t="shared" si="3"/>
        <v/>
      </c>
      <c r="BJ53" s="177" t="str">
        <f t="shared" si="4"/>
        <v/>
      </c>
      <c r="BK53" s="177" t="str">
        <f t="shared" si="5"/>
        <v/>
      </c>
      <c r="BL53" s="177" t="str">
        <f t="shared" si="6"/>
        <v/>
      </c>
    </row>
    <row r="54" spans="1:64" ht="15.75" x14ac:dyDescent="0.3">
      <c r="A54" s="150">
        <v>49</v>
      </c>
      <c r="B54" s="10" t="s">
        <v>677</v>
      </c>
      <c r="C54">
        <v>22154.4494501958</v>
      </c>
      <c r="E54" s="10" t="s">
        <v>369</v>
      </c>
      <c r="F54" s="151">
        <f>IF(ISNUMBER(L48),L48/SUM($I$43:$AI$71),0)</f>
        <v>1.0965704583051303E-2</v>
      </c>
      <c r="H54" s="160" t="s">
        <v>18</v>
      </c>
      <c r="I54" s="183" t="str">
        <f>IF(AND(ISNUMBER(I85),I85&gt;0.8*'Ratio_M+Cl'!C78,I85&lt;1.2*'Ratio_M+Cl'!C78),I117/'Ratio_M+Cl'!C110,IF(OR(I117="N/A",I149="N/A"),"N/A",""))</f>
        <v/>
      </c>
      <c r="J54" s="183">
        <f>IF(AND(ISNUMBER(J85),J85&gt;0.8*'Ratio_M+Cl'!D78,J85&lt;1.2*'Ratio_M+Cl'!D78),J117/'Ratio_M+Cl'!D110,IF(OR(J117="N/A",J149="N/A"),"N/A",""))</f>
        <v>5.1599263711010366</v>
      </c>
      <c r="K54" s="180">
        <f>IF(AND(ISNUMBER(K85),K85&gt;0.8*'Ratio_M+Cl'!E78,K85&lt;1.2*'Ratio_M+Cl'!E78),K117/'Ratio_M+Cl'!E110,IF(OR(K117="N/A",K149="N/A"),"N/A",""))</f>
        <v>4.2725645002902839</v>
      </c>
      <c r="L54" s="180" t="str">
        <f>IF(AND(ISNUMBER(L85),L85&gt;0.8*'Ratio_M+Cl'!F78,L85&lt;1.2*'Ratio_M+Cl'!F78),L117/'Ratio_M+Cl'!F110,IF(OR(L117="N/A",L149="N/A"),"N/A",""))</f>
        <v/>
      </c>
      <c r="M54" s="180" t="str">
        <f>IF(AND(ISNUMBER(M85),M85&gt;0.8*'Ratio_M+Cl'!G78,M85&lt;1.2*'Ratio_M+Cl'!G78),M117/'Ratio_M+Cl'!G110,IF(OR(M117="N/A",M149="N/A"),"N/A",""))</f>
        <v/>
      </c>
      <c r="N54" s="183" t="str">
        <f>IF(AND(ISNUMBER(N85),N85&gt;0.8*'Ratio_M+Cl'!H78,N85&lt;1.2*'Ratio_M+Cl'!H78),N117/'Ratio_M+Cl'!H110,IF(OR(N117="N/A",N149="N/A"),"N/A",""))</f>
        <v/>
      </c>
      <c r="O54" s="183" t="str">
        <f>IF(AND(ISNUMBER(O85),O85&gt;0.8*'Ratio_M+Cl'!I78,O85&lt;1.2*'Ratio_M+Cl'!I78),O117/'Ratio_M+Cl'!I110,IF(OR(O117="N/A",O149="N/A"),"N/A",""))</f>
        <v/>
      </c>
      <c r="P54" s="183" t="str">
        <f>IF(AND(ISNUMBER(P85),P85&gt;0.8*'Ratio_M+Cl'!J78,P85&lt;1.2*'Ratio_M+Cl'!J78),P117/'Ratio_M+Cl'!J110,IF(OR(P117="N/A",P149="N/A"),"N/A",""))</f>
        <v/>
      </c>
      <c r="Q54" s="183" t="str">
        <f>IF(AND(ISNUMBER(Q85),Q85&gt;0.8*'Ratio_M+Cl'!K78,Q85&lt;1.2*'Ratio_M+Cl'!K78),Q117/'Ratio_M+Cl'!K110,IF(OR(Q117="N/A",Q149="N/A"),"N/A",""))</f>
        <v/>
      </c>
      <c r="R54" s="183" t="str">
        <f>IF(AND(ISNUMBER(R85),R85&gt;0.8*'Ratio_M+Cl'!L78,R85&lt;1.2*'Ratio_M+Cl'!L78),R117/'Ratio_M+Cl'!L110,IF(OR(R117="N/A",R149="N/A"),"N/A",""))</f>
        <v/>
      </c>
      <c r="S54" s="183" t="str">
        <f>IF(AND(ISNUMBER(S85),S85&gt;0.8*'Ratio_M+Cl'!M78,S85&lt;1.2*'Ratio_M+Cl'!M78),S117/'Ratio_M+Cl'!M110,IF(OR(S117="N/A",S149="N/A"),"N/A",""))</f>
        <v/>
      </c>
      <c r="T54" s="183">
        <f>IF(AND(ISNUMBER(T85),T85&gt;0.8*'Ratio_M+Cl'!N78,T85&lt;1.2*'Ratio_M+Cl'!N78),T117/'Ratio_M+Cl'!N110,IF(OR(T117="N/A",T149="N/A"),"N/A",""))</f>
        <v>40.621076694840028</v>
      </c>
      <c r="U54" s="183">
        <f>IF(AND(ISNUMBER(U85),U85&gt;0.8*'Ratio_M+Cl'!O78,U85&lt;1.2*'Ratio_M+Cl'!O78),U117/'Ratio_M+Cl'!O110,IF(OR(U117="N/A",U149="N/A"),"N/A",""))</f>
        <v>96.817835845464515</v>
      </c>
      <c r="V54" s="183">
        <f>IF(AND(ISNUMBER(V85),V85&gt;0.8*'Ratio_M+Cl'!P78,V85&lt;1.2*'Ratio_M+Cl'!P78),V117/'Ratio_M+Cl'!P110,IF(OR(V117="N/A",V149="N/A"),"N/A",""))</f>
        <v>108.81804032135665</v>
      </c>
      <c r="W54" s="183">
        <f>IF(AND(ISNUMBER(W85),W85&gt;0.8*'Ratio_M+Cl'!Q78,W85&lt;1.2*'Ratio_M+Cl'!Q78),W117/'Ratio_M+Cl'!Q110,IF(OR(W117="N/A",W149="N/A"),"N/A",""))</f>
        <v>58.048773568928574</v>
      </c>
      <c r="X54" s="185">
        <f>IF(AND(ISNUMBER(X85),X85&gt;0.8*'Ratio_M+Cl'!R78,X85&lt;1.2*'Ratio_M+Cl'!R78),X117/'Ratio_M+Cl'!R110,IF(OR(X117="N/A",X149="N/A"),"N/A",""))</f>
        <v>9.2835087169600232</v>
      </c>
      <c r="Y54" s="183" t="str">
        <f>IF(AND(ISNUMBER(Y85),Y85&gt;0.8*'Ratio_M+Cl'!S78,Y85&lt;1.2*'Ratio_M+Cl'!S78),Y117/'Ratio_M+Cl'!S110,IF(OR(Y117="N/A",Y149="N/A"),"N/A",""))</f>
        <v/>
      </c>
      <c r="Z54" s="184" t="str">
        <f>IF(AND(ISNUMBER(Z85),Z85&gt;0.8*'Ratio_M+Cl'!T78,Z85&lt;1.2*'Ratio_M+Cl'!T78),Z117/'Ratio_M+Cl'!T110,IF(OR(Z117="N/A",Z149="N/A"),"N/A",""))</f>
        <v/>
      </c>
      <c r="AA54" s="183" t="str">
        <f>IF(AND(ISNUMBER(AA85),AA85&gt;0.8*'Ratio_M+Cl'!U78,AA85&lt;1.2*'Ratio_M+Cl'!U78),AA117/'Ratio_M+Cl'!U110,IF(OR(AA117="N/A",AA149="N/A"),"N/A",""))</f>
        <v/>
      </c>
      <c r="AB54" s="183" t="str">
        <f>IF(AND(ISNUMBER(AB85),AB85&gt;0.8*'Ratio_M+Cl'!V78,AB85&lt;1.2*'Ratio_M+Cl'!V78),AB117/'Ratio_M+Cl'!V110,IF(OR(AB117="N/A",AB149="N/A"),"N/A",""))</f>
        <v/>
      </c>
      <c r="AC54" s="183" t="str">
        <f>IF(AND(ISNUMBER(AC85),AC85&gt;0.8*'Ratio_M+Cl'!W78,AC85&lt;1.2*'Ratio_M+Cl'!W78),AC117/'Ratio_M+Cl'!W110,IF(OR(AC117="N/A",AC149="N/A"),"N/A",""))</f>
        <v/>
      </c>
      <c r="AD54" s="183" t="str">
        <f>IF(AND(ISNUMBER(AD85),AD85&gt;0.8*'Ratio_M+Cl'!X78,AD85&lt;1.2*'Ratio_M+Cl'!X78),AD117/'Ratio_M+Cl'!X110,IF(OR(AD117="N/A",AD149="N/A"),"N/A",""))</f>
        <v/>
      </c>
      <c r="AE54" s="183" t="str">
        <f>IF(AND(ISNUMBER(AE85),AE85&gt;0.8*'Ratio_M+Cl'!Y78,AE85&lt;1.2*'Ratio_M+Cl'!Y78),AE117/'Ratio_M+Cl'!Y110,IF(OR(AE117="N/A",AE149="N/A"),"N/A",""))</f>
        <v/>
      </c>
      <c r="AF54" s="183" t="str">
        <f>IF(AND(ISNUMBER(AF85),AF85&gt;0.8*'Ratio_M+Cl'!Z78,AF85&lt;1.2*'Ratio_M+Cl'!Z78),AF117/'Ratio_M+Cl'!Z110,IF(OR(AF117="N/A",AF149="N/A"),"N/A",""))</f>
        <v/>
      </c>
      <c r="AG54" s="183" t="str">
        <f>IF(AND(ISNUMBER(AG85),AG85&gt;0.8*'Ratio_M+Cl'!AA78,AG85&lt;1.2*'Ratio_M+Cl'!AA78),AG117/'Ratio_M+Cl'!AA110,IF(OR(AG117="N/A",AG149="N/A"),"N/A",""))</f>
        <v/>
      </c>
      <c r="AH54" s="183" t="str">
        <f>IF(AND(ISNUMBER(AH85),AH85&gt;0.8*'Ratio_M+Cl'!AB78,AH85&lt;1.2*'Ratio_M+Cl'!AB78),AH117/'Ratio_M+Cl'!AB110,IF(OR(AH117="N/A",AH149="N/A"),"N/A",""))</f>
        <v/>
      </c>
      <c r="AI54" s="183" t="str">
        <f>IF(AND(ISNUMBER(AI85),AI85&gt;0.8*'Ratio_M+Cl'!AC78,AI85&lt;1.2*'Ratio_M+Cl'!AC78),AI117/'Ratio_M+Cl'!AC110,IF(OR(AI117="N/A",AI149="N/A"),"N/A",""))</f>
        <v/>
      </c>
      <c r="AK54" s="160" t="s">
        <v>18</v>
      </c>
      <c r="AL54" s="177" t="str">
        <f t="shared" si="1"/>
        <v/>
      </c>
      <c r="AM54" s="177">
        <f t="shared" si="7"/>
        <v>4.5288844941962891E-2</v>
      </c>
      <c r="AN54" s="177">
        <f t="shared" si="8"/>
        <v>3.7500440363239615E-2</v>
      </c>
      <c r="AO54" s="177" t="str">
        <f t="shared" si="9"/>
        <v/>
      </c>
      <c r="AP54" s="177" t="str">
        <f t="shared" si="10"/>
        <v/>
      </c>
      <c r="AQ54" s="177" t="str">
        <f t="shared" si="11"/>
        <v/>
      </c>
      <c r="AR54" s="177" t="str">
        <f t="shared" si="12"/>
        <v/>
      </c>
      <c r="AS54" s="177" t="str">
        <f t="shared" si="13"/>
        <v/>
      </c>
      <c r="AT54" s="177" t="str">
        <f t="shared" si="14"/>
        <v/>
      </c>
      <c r="AU54" s="177" t="str">
        <f t="shared" si="15"/>
        <v/>
      </c>
      <c r="AV54" s="177" t="str">
        <f t="shared" si="16"/>
        <v/>
      </c>
      <c r="AW54" s="177">
        <f t="shared" si="17"/>
        <v>0.35653253777255683</v>
      </c>
      <c r="AX54" s="177">
        <f t="shared" si="18"/>
        <v>0.84977335718959635</v>
      </c>
      <c r="AY54" s="177">
        <f t="shared" si="19"/>
        <v>0.95509954998652191</v>
      </c>
      <c r="AZ54" s="177">
        <f t="shared" si="20"/>
        <v>0.50949601140788103</v>
      </c>
      <c r="BA54" s="177">
        <f t="shared" si="21"/>
        <v>8.1481663993211023E-2</v>
      </c>
      <c r="BB54" s="177" t="str">
        <f t="shared" si="22"/>
        <v/>
      </c>
      <c r="BC54" s="177" t="str">
        <f t="shared" si="23"/>
        <v/>
      </c>
      <c r="BD54" s="177" t="str">
        <f t="shared" si="24"/>
        <v/>
      </c>
      <c r="BE54" s="177" t="str">
        <f t="shared" si="25"/>
        <v/>
      </c>
      <c r="BF54" s="177" t="str">
        <f t="shared" si="26"/>
        <v/>
      </c>
      <c r="BG54" s="177" t="str">
        <f t="shared" si="27"/>
        <v/>
      </c>
      <c r="BH54" s="177" t="str">
        <f t="shared" si="2"/>
        <v/>
      </c>
      <c r="BI54" s="177" t="str">
        <f t="shared" si="3"/>
        <v/>
      </c>
      <c r="BJ54" s="177" t="str">
        <f t="shared" si="4"/>
        <v/>
      </c>
      <c r="BK54" s="177" t="str">
        <f t="shared" si="5"/>
        <v/>
      </c>
      <c r="BL54" s="177" t="str">
        <f t="shared" si="6"/>
        <v/>
      </c>
    </row>
    <row r="55" spans="1:64" ht="15.75" x14ac:dyDescent="0.3">
      <c r="A55" s="150">
        <v>50</v>
      </c>
      <c r="B55" s="10" t="s">
        <v>678</v>
      </c>
      <c r="C55">
        <v>11890.49191214</v>
      </c>
      <c r="E55" s="10" t="s">
        <v>370</v>
      </c>
      <c r="F55" s="151">
        <f>IF(ISNUMBER(M48),M48/SUM($I$43:$AI$71),0)</f>
        <v>9.9592078283653913E-3</v>
      </c>
      <c r="H55" s="160" t="s">
        <v>19</v>
      </c>
      <c r="I55" s="183">
        <f>IF(AND(ISNUMBER(I86),I86&gt;0.8*'Ratio_M+Cl'!C79,I86&lt;1.2*'Ratio_M+Cl'!C79),I118/'Ratio_M+Cl'!C111,IF(OR(I118="N/A",I150="N/A"),"N/A",""))</f>
        <v>13.251768956220477</v>
      </c>
      <c r="J55" s="183">
        <f>IF(AND(ISNUMBER(J86),J86&gt;0.8*'Ratio_M+Cl'!D79,J86&lt;1.2*'Ratio_M+Cl'!D79),J118/'Ratio_M+Cl'!D111,IF(OR(J118="N/A",J150="N/A"),"N/A",""))</f>
        <v>47.298510286526131</v>
      </c>
      <c r="K55" s="180">
        <f>IF(AND(ISNUMBER(K86),K86&gt;0.8*'Ratio_M+Cl'!E79,K86&lt;1.2*'Ratio_M+Cl'!E79),K118/'Ratio_M+Cl'!E111,IF(OR(K118="N/A",K150="N/A"),"N/A",""))</f>
        <v>51.274607896133539</v>
      </c>
      <c r="L55" s="180">
        <f>IF(AND(ISNUMBER(L86),L86&gt;0.8*'Ratio_M+Cl'!F79,L86&lt;1.2*'Ratio_M+Cl'!F79),L118/'Ratio_M+Cl'!F111,IF(OR(L118="N/A",L150="N/A"),"N/A",""))</f>
        <v>33.166440522551547</v>
      </c>
      <c r="M55" s="180">
        <f>IF(AND(ISNUMBER(M86),M86&gt;0.8*'Ratio_M+Cl'!G79,M86&lt;1.2*'Ratio_M+Cl'!G79),M118/'Ratio_M+Cl'!G111,IF(OR(M118="N/A",M150="N/A"),"N/A",""))</f>
        <v>12.932113315838592</v>
      </c>
      <c r="N55" s="183" t="str">
        <f>IF(AND(ISNUMBER(N86),N86&gt;0.8*'Ratio_M+Cl'!H79,N86&lt;1.2*'Ratio_M+Cl'!H79),N118/'Ratio_M+Cl'!H111,IF(OR(N118="N/A",N150="N/A"),"N/A",""))</f>
        <v/>
      </c>
      <c r="O55" s="183" t="str">
        <f>IF(AND(ISNUMBER(O86),O86&gt;0.8*'Ratio_M+Cl'!I79,O86&lt;1.2*'Ratio_M+Cl'!I79),O118/'Ratio_M+Cl'!I111,IF(OR(O118="N/A",O150="N/A"),"N/A",""))</f>
        <v/>
      </c>
      <c r="P55" s="183" t="str">
        <f>IF(AND(ISNUMBER(P86),P86&gt;0.8*'Ratio_M+Cl'!J79,P86&lt;1.2*'Ratio_M+Cl'!J79),P118/'Ratio_M+Cl'!J111,IF(OR(P118="N/A",P150="N/A"),"N/A",""))</f>
        <v/>
      </c>
      <c r="Q55" s="183" t="str">
        <f>IF(AND(ISNUMBER(Q86),Q86&gt;0.8*'Ratio_M+Cl'!K79,Q86&lt;1.2*'Ratio_M+Cl'!K79),Q118/'Ratio_M+Cl'!K111,IF(OR(Q118="N/A",Q150="N/A"),"N/A",""))</f>
        <v/>
      </c>
      <c r="R55" s="183" t="str">
        <f>IF(AND(ISNUMBER(R86),R86&gt;0.8*'Ratio_M+Cl'!L79,R86&lt;1.2*'Ratio_M+Cl'!L79),R118/'Ratio_M+Cl'!L111,IF(OR(R118="N/A",R150="N/A"),"N/A",""))</f>
        <v/>
      </c>
      <c r="S55" s="183" t="str">
        <f>IF(AND(ISNUMBER(S86),S86&gt;0.8*'Ratio_M+Cl'!M79,S86&lt;1.2*'Ratio_M+Cl'!M79),S118/'Ratio_M+Cl'!M111,IF(OR(S118="N/A",S150="N/A"),"N/A",""))</f>
        <v/>
      </c>
      <c r="T55" s="183">
        <f>IF(AND(ISNUMBER(T86),T86&gt;0.8*'Ratio_M+Cl'!N79,T86&lt;1.2*'Ratio_M+Cl'!N79),T118/'Ratio_M+Cl'!N111,IF(OR(T118="N/A",T150="N/A"),"N/A",""))</f>
        <v>21.008066024903396</v>
      </c>
      <c r="U55" s="183">
        <f>IF(AND(ISNUMBER(U86),U86&gt;0.8*'Ratio_M+Cl'!O79,U86&lt;1.2*'Ratio_M+Cl'!O79),U118/'Ratio_M+Cl'!O111,IF(OR(U118="N/A",U150="N/A"),"N/A",""))</f>
        <v>94.352470767404085</v>
      </c>
      <c r="V55" s="183">
        <f>IF(AND(ISNUMBER(V86),V86&gt;0.8*'Ratio_M+Cl'!P79,V86&lt;1.2*'Ratio_M+Cl'!P79),V118/'Ratio_M+Cl'!P111,IF(OR(V118="N/A",V150="N/A"),"N/A",""))</f>
        <v>183.60259884996029</v>
      </c>
      <c r="W55" s="183">
        <f>IF(AND(ISNUMBER(W86),W86&gt;0.8*'Ratio_M+Cl'!Q79,W86&lt;1.2*'Ratio_M+Cl'!Q79),W118/'Ratio_M+Cl'!Q111,IF(OR(W118="N/A",W150="N/A"),"N/A",""))</f>
        <v>172.9158113405098</v>
      </c>
      <c r="X55" s="183">
        <f>IF(AND(ISNUMBER(X86),X86&gt;0.8*'Ratio_M+Cl'!R79,X86&lt;1.2*'Ratio_M+Cl'!R79),X118/'Ratio_M+Cl'!R111,IF(OR(X118="N/A",X150="N/A"),"N/A",""))</f>
        <v>83.618208245616771</v>
      </c>
      <c r="Y55" s="185">
        <f>IF(AND(ISNUMBER(Y86),Y86&gt;0.8*'Ratio_M+Cl'!S79,Y86&lt;1.2*'Ratio_M+Cl'!S79),Y118/'Ratio_M+Cl'!S111,IF(OR(Y118="N/A",Y150="N/A"),"N/A",""))</f>
        <v>14.311129758237284</v>
      </c>
      <c r="Z55" s="183" t="str">
        <f>IF(AND(ISNUMBER(Z86),Z86&gt;0.8*'Ratio_M+Cl'!T79,Z86&lt;1.2*'Ratio_M+Cl'!T79),Z118/'Ratio_M+Cl'!T111,IF(OR(Z118="N/A",Z150="N/A"),"N/A",""))</f>
        <v/>
      </c>
      <c r="AA55" s="184" t="str">
        <f>IF(AND(ISNUMBER(AA86),AA86&gt;0.8*'Ratio_M+Cl'!U79,AA86&lt;1.2*'Ratio_M+Cl'!U79),AA118/'Ratio_M+Cl'!U111,IF(OR(AA118="N/A",AA150="N/A"),"N/A",""))</f>
        <v/>
      </c>
      <c r="AB55" s="183" t="str">
        <f>IF(AND(ISNUMBER(AB86),AB86&gt;0.8*'Ratio_M+Cl'!V79,AB86&lt;1.2*'Ratio_M+Cl'!V79),AB118/'Ratio_M+Cl'!V111,IF(OR(AB118="N/A",AB150="N/A"),"N/A",""))</f>
        <v/>
      </c>
      <c r="AC55" s="183" t="str">
        <f>IF(AND(ISNUMBER(AC86),AC86&gt;0.8*'Ratio_M+Cl'!W79,AC86&lt;1.2*'Ratio_M+Cl'!W79),AC118/'Ratio_M+Cl'!W111,IF(OR(AC118="N/A",AC150="N/A"),"N/A",""))</f>
        <v/>
      </c>
      <c r="AD55" s="183" t="str">
        <f>IF(AND(ISNUMBER(AD86),AD86&gt;0.8*'Ratio_M+Cl'!X79,AD86&lt;1.2*'Ratio_M+Cl'!X79),AD118/'Ratio_M+Cl'!X111,IF(OR(AD118="N/A",AD150="N/A"),"N/A",""))</f>
        <v/>
      </c>
      <c r="AE55" s="183" t="str">
        <f>IF(AND(ISNUMBER(AE86),AE86&gt;0.8*'Ratio_M+Cl'!Y79,AE86&lt;1.2*'Ratio_M+Cl'!Y79),AE118/'Ratio_M+Cl'!Y111,IF(OR(AE118="N/A",AE150="N/A"),"N/A",""))</f>
        <v/>
      </c>
      <c r="AF55" s="183" t="str">
        <f>IF(AND(ISNUMBER(AF86),AF86&gt;0.8*'Ratio_M+Cl'!Z79,AF86&lt;1.2*'Ratio_M+Cl'!Z79),AF118/'Ratio_M+Cl'!Z111,IF(OR(AF118="N/A",AF150="N/A"),"N/A",""))</f>
        <v/>
      </c>
      <c r="AG55" s="183" t="str">
        <f>IF(AND(ISNUMBER(AG86),AG86&gt;0.8*'Ratio_M+Cl'!AA79,AG86&lt;1.2*'Ratio_M+Cl'!AA79),AG118/'Ratio_M+Cl'!AA111,IF(OR(AG118="N/A",AG150="N/A"),"N/A",""))</f>
        <v/>
      </c>
      <c r="AH55" s="183" t="str">
        <f>IF(AND(ISNUMBER(AH86),AH86&gt;0.8*'Ratio_M+Cl'!AB79,AH86&lt;1.2*'Ratio_M+Cl'!AB79),AH118/'Ratio_M+Cl'!AB111,IF(OR(AH118="N/A",AH150="N/A"),"N/A",""))</f>
        <v/>
      </c>
      <c r="AI55" s="183" t="str">
        <f>IF(AND(ISNUMBER(AI86),AI86&gt;0.8*'Ratio_M+Cl'!AC79,AI86&lt;1.2*'Ratio_M+Cl'!AC79),AI118/'Ratio_M+Cl'!AC111,IF(OR(AI118="N/A",AI150="N/A"),"N/A",""))</f>
        <v/>
      </c>
      <c r="AK55" s="160" t="s">
        <v>19</v>
      </c>
      <c r="AL55" s="177">
        <f t="shared" si="1"/>
        <v>0.11631121576196517</v>
      </c>
      <c r="AM55" s="177">
        <f t="shared" si="7"/>
        <v>0.41514059393355907</v>
      </c>
      <c r="AN55" s="177">
        <f t="shared" si="8"/>
        <v>0.45003893456185667</v>
      </c>
      <c r="AO55" s="177">
        <f t="shared" si="9"/>
        <v>0.2911029487775727</v>
      </c>
      <c r="AP55" s="177">
        <f t="shared" si="10"/>
        <v>0.113505587601618</v>
      </c>
      <c r="AQ55" s="177" t="str">
        <f t="shared" si="11"/>
        <v/>
      </c>
      <c r="AR55" s="177" t="str">
        <f t="shared" si="12"/>
        <v/>
      </c>
      <c r="AS55" s="177" t="str">
        <f t="shared" si="13"/>
        <v/>
      </c>
      <c r="AT55" s="177" t="str">
        <f t="shared" si="14"/>
        <v/>
      </c>
      <c r="AU55" s="177" t="str">
        <f t="shared" si="15"/>
        <v/>
      </c>
      <c r="AV55" s="177" t="str">
        <f t="shared" si="16"/>
        <v/>
      </c>
      <c r="AW55" s="177">
        <f t="shared" si="17"/>
        <v>0.18438849245233513</v>
      </c>
      <c r="AX55" s="177">
        <f t="shared" si="18"/>
        <v>0.82813476610989756</v>
      </c>
      <c r="AY55" s="177">
        <f t="shared" si="19"/>
        <v>1.6114861012024404</v>
      </c>
      <c r="AZ55" s="177">
        <f t="shared" si="20"/>
        <v>1.5176878126931541</v>
      </c>
      <c r="BA55" s="177">
        <f t="shared" si="21"/>
        <v>0.73391978784232681</v>
      </c>
      <c r="BB55" s="177">
        <f t="shared" si="22"/>
        <v>0.12560926066602357</v>
      </c>
      <c r="BC55" s="177" t="str">
        <f t="shared" si="23"/>
        <v/>
      </c>
      <c r="BD55" s="177" t="str">
        <f t="shared" si="24"/>
        <v/>
      </c>
      <c r="BE55" s="177" t="str">
        <f t="shared" si="25"/>
        <v/>
      </c>
      <c r="BF55" s="177" t="str">
        <f t="shared" si="26"/>
        <v/>
      </c>
      <c r="BG55" s="177" t="str">
        <f t="shared" si="27"/>
        <v/>
      </c>
      <c r="BH55" s="177" t="str">
        <f t="shared" si="2"/>
        <v/>
      </c>
      <c r="BI55" s="177" t="str">
        <f t="shared" si="3"/>
        <v/>
      </c>
      <c r="BJ55" s="177" t="str">
        <f t="shared" si="4"/>
        <v/>
      </c>
      <c r="BK55" s="177" t="str">
        <f t="shared" si="5"/>
        <v/>
      </c>
      <c r="BL55" s="177" t="str">
        <f t="shared" si="6"/>
        <v/>
      </c>
    </row>
    <row r="56" spans="1:64" ht="15.75" x14ac:dyDescent="0.3">
      <c r="A56" s="150">
        <v>51</v>
      </c>
      <c r="B56" s="10" t="s">
        <v>47</v>
      </c>
      <c r="C56">
        <v>88274198.919481307</v>
      </c>
      <c r="E56" s="10" t="s">
        <v>371</v>
      </c>
      <c r="F56" s="151">
        <f>IF(ISNUMBER(N48),N48/SUM($I$43:$AI$71),0)</f>
        <v>4.5847336310105907E-3</v>
      </c>
      <c r="H56" s="160" t="s">
        <v>20</v>
      </c>
      <c r="I56" s="183">
        <f>IF(AND(ISNUMBER(I87),I87&gt;0.8*'Ratio_M+Cl'!C80,I87&lt;1.2*'Ratio_M+Cl'!C80),I119/'Ratio_M+Cl'!C112,IF(OR(I119="N/A",I151="N/A"),"N/A",""))</f>
        <v>37.20681283001403</v>
      </c>
      <c r="J56" s="183">
        <f>IF(AND(ISNUMBER(J87),J87&gt;0.8*'Ratio_M+Cl'!D80,J87&lt;1.2*'Ratio_M+Cl'!D80),J119/'Ratio_M+Cl'!D112,IF(OR(J119="N/A",J151="N/A"),"N/A",""))</f>
        <v>133.94445117862071</v>
      </c>
      <c r="K56" s="180">
        <f>IF(AND(ISNUMBER(K87),K87&gt;0.8*'Ratio_M+Cl'!E80,K87&lt;1.2*'Ratio_M+Cl'!E80),K119/'Ratio_M+Cl'!E112,IF(OR(K119="N/A",K151="N/A"),"N/A",""))</f>
        <v>206.98018607623354</v>
      </c>
      <c r="L56" s="180">
        <f>IF(AND(ISNUMBER(L87),L87&gt;0.8*'Ratio_M+Cl'!F80,L87&lt;1.2*'Ratio_M+Cl'!F80),L119/'Ratio_M+Cl'!F112,IF(OR(L119="N/A",L151="N/A"),"N/A",""))</f>
        <v>170.75543645905836</v>
      </c>
      <c r="M56" s="180">
        <f>IF(AND(ISNUMBER(M87),M87&gt;0.8*'Ratio_M+Cl'!G80,M87&lt;1.2*'Ratio_M+Cl'!G80),M119/'Ratio_M+Cl'!G112,IF(OR(M119="N/A",M151="N/A"),"N/A",""))</f>
        <v>80.762602615316467</v>
      </c>
      <c r="N56" s="183">
        <f>IF(AND(ISNUMBER(N87),N87&gt;0.8*'Ratio_M+Cl'!H80,N87&lt;1.2*'Ratio_M+Cl'!H80),N119/'Ratio_M+Cl'!H112,IF(OR(N119="N/A",N151="N/A"),"N/A",""))</f>
        <v>19.410541760238456</v>
      </c>
      <c r="O56" s="183" t="str">
        <f>IF(AND(ISNUMBER(O87),O87&gt;0.8*'Ratio_M+Cl'!I80,O87&lt;1.2*'Ratio_M+Cl'!I80),O119/'Ratio_M+Cl'!I112,IF(OR(O119="N/A",O151="N/A"),"N/A",""))</f>
        <v/>
      </c>
      <c r="P56" s="183" t="str">
        <f>IF(AND(ISNUMBER(P87),P87&gt;0.8*'Ratio_M+Cl'!J80,P87&lt;1.2*'Ratio_M+Cl'!J80),P119/'Ratio_M+Cl'!J112,IF(OR(P119="N/A",P151="N/A"),"N/A",""))</f>
        <v/>
      </c>
      <c r="Q56" s="183" t="str">
        <f>IF(AND(ISNUMBER(Q87),Q87&gt;0.8*'Ratio_M+Cl'!K80,Q87&lt;1.2*'Ratio_M+Cl'!K80),Q119/'Ratio_M+Cl'!K112,IF(OR(Q119="N/A",Q151="N/A"),"N/A",""))</f>
        <v/>
      </c>
      <c r="R56" s="183" t="str">
        <f>IF(AND(ISNUMBER(R87),R87&gt;0.8*'Ratio_M+Cl'!L80,R87&lt;1.2*'Ratio_M+Cl'!L80),R119/'Ratio_M+Cl'!L112,IF(OR(R119="N/A",R151="N/A"),"N/A",""))</f>
        <v/>
      </c>
      <c r="S56" s="183" t="str">
        <f>IF(AND(ISNUMBER(S87),S87&gt;0.8*'Ratio_M+Cl'!M80,S87&lt;1.2*'Ratio_M+Cl'!M80),S119/'Ratio_M+Cl'!M112,IF(OR(S119="N/A",S151="N/A"),"N/A",""))</f>
        <v/>
      </c>
      <c r="T56" s="183" t="str">
        <f>IF(AND(ISNUMBER(T87),T87&gt;0.8*'Ratio_M+Cl'!N80,T87&lt;1.2*'Ratio_M+Cl'!N80),T119/'Ratio_M+Cl'!N112,IF(OR(T119="N/A",T151="N/A"),"N/A",""))</f>
        <v/>
      </c>
      <c r="U56" s="183">
        <f>IF(AND(ISNUMBER(U87),U87&gt;0.8*'Ratio_M+Cl'!O80,U87&lt;1.2*'Ratio_M+Cl'!O80),U119/'Ratio_M+Cl'!O112,IF(OR(U119="N/A",U151="N/A"),"N/A",""))</f>
        <v>42.550076466802942</v>
      </c>
      <c r="V56" s="183">
        <f>IF(AND(ISNUMBER(V87),V87&gt;0.8*'Ratio_M+Cl'!P80,V87&lt;1.2*'Ratio_M+Cl'!P80),V119/'Ratio_M+Cl'!P112,IF(OR(V119="N/A",V151="N/A"),"N/A",""))</f>
        <v>141.23844069959418</v>
      </c>
      <c r="W56" s="183">
        <f>IF(AND(ISNUMBER(W87),W87&gt;0.8*'Ratio_M+Cl'!Q80,W87&lt;1.2*'Ratio_M+Cl'!Q80),W119/'Ratio_M+Cl'!Q112,IF(OR(W119="N/A",W151="N/A"),"N/A",""))</f>
        <v>226.71291292427227</v>
      </c>
      <c r="X56" s="183">
        <f>IF(AND(ISNUMBER(X87),X87&gt;0.8*'Ratio_M+Cl'!R80,X87&lt;1.2*'Ratio_M+Cl'!R80),X119/'Ratio_M+Cl'!R112,IF(OR(X119="N/A",X151="N/A"),"N/A",""))</f>
        <v>182.43883217727011</v>
      </c>
      <c r="Y56" s="183">
        <f>IF(AND(ISNUMBER(Y87),Y87&gt;0.8*'Ratio_M+Cl'!S80,Y87&lt;1.2*'Ratio_M+Cl'!S80),Y119/'Ratio_M+Cl'!S112,IF(OR(Y119="N/A",Y151="N/A"),"N/A",""))</f>
        <v>81.62848124106182</v>
      </c>
      <c r="Z56" s="185">
        <f>IF(AND(ISNUMBER(Z87),Z87&gt;0.8*'Ratio_M+Cl'!T80,Z87&lt;1.2*'Ratio_M+Cl'!T80),Z119/'Ratio_M+Cl'!T112,IF(OR(Z119="N/A",Z151="N/A"),"N/A",""))</f>
        <v>13.950965280529264</v>
      </c>
      <c r="AA56" s="183" t="str">
        <f>IF(AND(ISNUMBER(AA87),AA87&gt;0.8*'Ratio_M+Cl'!U80,AA87&lt;1.2*'Ratio_M+Cl'!U80),AA119/'Ratio_M+Cl'!U112,IF(OR(AA119="N/A",AA151="N/A"),"N/A",""))</f>
        <v/>
      </c>
      <c r="AB56" s="184" t="str">
        <f>IF(AND(ISNUMBER(AB87),AB87&gt;0.8*'Ratio_M+Cl'!V80,AB87&lt;1.2*'Ratio_M+Cl'!V80),AB119/'Ratio_M+Cl'!V112,IF(OR(AB119="N/A",AB151="N/A"),"N/A",""))</f>
        <v/>
      </c>
      <c r="AC56" s="183" t="str">
        <f>IF(AND(ISNUMBER(AC87),AC87&gt;0.8*'Ratio_M+Cl'!W80,AC87&lt;1.2*'Ratio_M+Cl'!W80),AC119/'Ratio_M+Cl'!W112,IF(OR(AC119="N/A",AC151="N/A"),"N/A",""))</f>
        <v/>
      </c>
      <c r="AD56" s="183" t="str">
        <f>IF(AND(ISNUMBER(AD87),AD87&gt;0.8*'Ratio_M+Cl'!X80,AD87&lt;1.2*'Ratio_M+Cl'!X80),AD119/'Ratio_M+Cl'!X112,IF(OR(AD119="N/A",AD151="N/A"),"N/A",""))</f>
        <v/>
      </c>
      <c r="AE56" s="183" t="str">
        <f>IF(AND(ISNUMBER(AE87),AE87&gt;0.8*'Ratio_M+Cl'!Y80,AE87&lt;1.2*'Ratio_M+Cl'!Y80),AE119/'Ratio_M+Cl'!Y112,IF(OR(AE119="N/A",AE151="N/A"),"N/A",""))</f>
        <v/>
      </c>
      <c r="AF56" s="183" t="str">
        <f>IF(AND(ISNUMBER(AF87),AF87&gt;0.8*'Ratio_M+Cl'!Z80,AF87&lt;1.2*'Ratio_M+Cl'!Z80),AF119/'Ratio_M+Cl'!Z112,IF(OR(AF119="N/A",AF151="N/A"),"N/A",""))</f>
        <v/>
      </c>
      <c r="AG56" s="183" t="str">
        <f>IF(AND(ISNUMBER(AG87),AG87&gt;0.8*'Ratio_M+Cl'!AA80,AG87&lt;1.2*'Ratio_M+Cl'!AA80),AG119/'Ratio_M+Cl'!AA112,IF(OR(AG119="N/A",AG151="N/A"),"N/A",""))</f>
        <v/>
      </c>
      <c r="AH56" s="183" t="str">
        <f>IF(AND(ISNUMBER(AH87),AH87&gt;0.8*'Ratio_M+Cl'!AB80,AH87&lt;1.2*'Ratio_M+Cl'!AB80),AH119/'Ratio_M+Cl'!AB112,IF(OR(AH119="N/A",AH151="N/A"),"N/A",""))</f>
        <v/>
      </c>
      <c r="AI56" s="183" t="str">
        <f>IF(AND(ISNUMBER(AI87),AI87&gt;0.8*'Ratio_M+Cl'!AC80,AI87&lt;1.2*'Ratio_M+Cl'!AC80),AI119/'Ratio_M+Cl'!AC112,IF(OR(AI119="N/A",AI151="N/A"),"N/A",""))</f>
        <v/>
      </c>
      <c r="AK56" s="160" t="s">
        <v>20</v>
      </c>
      <c r="AL56" s="177">
        <f t="shared" si="1"/>
        <v>0.32656543056128534</v>
      </c>
      <c r="AM56" s="177">
        <f t="shared" si="7"/>
        <v>1.1756348916603736</v>
      </c>
      <c r="AN56" s="177">
        <f t="shared" si="8"/>
        <v>1.8166719598490984</v>
      </c>
      <c r="AO56" s="177">
        <f t="shared" si="9"/>
        <v>1.4987261306872752</v>
      </c>
      <c r="AP56" s="177">
        <f t="shared" si="10"/>
        <v>0.70885604248921819</v>
      </c>
      <c r="AQ56" s="177">
        <f t="shared" si="11"/>
        <v>0.17036696898280632</v>
      </c>
      <c r="AR56" s="177" t="str">
        <f t="shared" si="12"/>
        <v/>
      </c>
      <c r="AS56" s="177" t="str">
        <f t="shared" si="13"/>
        <v/>
      </c>
      <c r="AT56" s="177" t="str">
        <f t="shared" si="14"/>
        <v/>
      </c>
      <c r="AU56" s="177" t="str">
        <f t="shared" si="15"/>
        <v/>
      </c>
      <c r="AV56" s="177" t="str">
        <f t="shared" si="16"/>
        <v/>
      </c>
      <c r="AW56" s="177" t="str">
        <f t="shared" si="17"/>
        <v/>
      </c>
      <c r="AX56" s="177">
        <f t="shared" si="18"/>
        <v>0.37346343276648453</v>
      </c>
      <c r="AY56" s="177">
        <f t="shared" si="19"/>
        <v>1.2396544796672428</v>
      </c>
      <c r="AZ56" s="177">
        <f t="shared" si="20"/>
        <v>1.9898667580361586</v>
      </c>
      <c r="BA56" s="177">
        <f t="shared" si="21"/>
        <v>1.6012716825077713</v>
      </c>
      <c r="BB56" s="177">
        <f t="shared" si="22"/>
        <v>0.7164558879132864</v>
      </c>
      <c r="BC56" s="177">
        <f t="shared" si="23"/>
        <v>0.12244808509656656</v>
      </c>
      <c r="BD56" s="177" t="str">
        <f t="shared" si="24"/>
        <v/>
      </c>
      <c r="BE56" s="177" t="str">
        <f t="shared" si="25"/>
        <v/>
      </c>
      <c r="BF56" s="177" t="str">
        <f t="shared" si="26"/>
        <v/>
      </c>
      <c r="BG56" s="177" t="str">
        <f t="shared" si="27"/>
        <v/>
      </c>
      <c r="BH56" s="177" t="str">
        <f t="shared" si="2"/>
        <v/>
      </c>
      <c r="BI56" s="177" t="str">
        <f t="shared" si="3"/>
        <v/>
      </c>
      <c r="BJ56" s="177" t="str">
        <f t="shared" si="4"/>
        <v/>
      </c>
      <c r="BK56" s="177" t="str">
        <f t="shared" si="5"/>
        <v/>
      </c>
      <c r="BL56" s="177" t="str">
        <f t="shared" si="6"/>
        <v/>
      </c>
    </row>
    <row r="57" spans="1:64" ht="15.75" x14ac:dyDescent="0.3">
      <c r="A57" s="150">
        <v>52</v>
      </c>
      <c r="B57" s="10" t="s">
        <v>48</v>
      </c>
      <c r="C57">
        <v>71653536.289220795</v>
      </c>
      <c r="E57" s="10" t="s">
        <v>372</v>
      </c>
      <c r="F57" s="151">
        <f>IF(ISNUMBER(O48),O48/SUM($I$43:$AI$71),0)</f>
        <v>7.1114672921145598E-3</v>
      </c>
      <c r="H57" s="160" t="s">
        <v>21</v>
      </c>
      <c r="I57" s="183">
        <f>IF(AND(ISNUMBER(I88),I88&gt;0.8*'Ratio_M+Cl'!C81,I88&lt;1.2*'Ratio_M+Cl'!C81),I120/'Ratio_M+Cl'!C113,IF(OR(I120="N/A",I152="N/A"),"N/A",""))</f>
        <v>44.311572030843152</v>
      </c>
      <c r="J57" s="183">
        <f>IF(AND(ISNUMBER(J88),J88&gt;0.8*'Ratio_M+Cl'!D81,J88&lt;1.2*'Ratio_M+Cl'!D81),J120/'Ratio_M+Cl'!D113,IF(OR(J120="N/A",J152="N/A"),"N/A",""))</f>
        <v>174.36854097674004</v>
      </c>
      <c r="K57" s="180">
        <f>IF(AND(ISNUMBER(K88),K88&gt;0.8*'Ratio_M+Cl'!E81,K88&lt;1.2*'Ratio_M+Cl'!E81),K120/'Ratio_M+Cl'!E113,IF(OR(K120="N/A",K152="N/A"),"N/A",""))</f>
        <v>341.97915470004159</v>
      </c>
      <c r="L57" s="180">
        <f>IF(AND(ISNUMBER(L88),L88&gt;0.8*'Ratio_M+Cl'!F81,L88&lt;1.2*'Ratio_M+Cl'!F81),L120/'Ratio_M+Cl'!F113,IF(OR(L120="N/A",L152="N/A"),"N/A",""))</f>
        <v>390.64936876593305</v>
      </c>
      <c r="M57" s="180">
        <f>IF(AND(ISNUMBER(M88),M88&gt;0.8*'Ratio_M+Cl'!G81,M88&lt;1.2*'Ratio_M+Cl'!G81),M120/'Ratio_M+Cl'!G113,IF(OR(M120="N/A",M152="N/A"),"N/A",""))</f>
        <v>218.46571970604296</v>
      </c>
      <c r="N57" s="183">
        <f>IF(AND(ISNUMBER(N88),N88&gt;0.8*'Ratio_M+Cl'!H81,N88&lt;1.2*'Ratio_M+Cl'!H81),N120/'Ratio_M+Cl'!H113,IF(OR(N120="N/A",N152="N/A"),"N/A",""))</f>
        <v>65.071712144357889</v>
      </c>
      <c r="O57" s="183">
        <f>IF(AND(ISNUMBER(O88),O88&gt;0.8*'Ratio_M+Cl'!I81,O88&lt;1.2*'Ratio_M+Cl'!I81),O120/'Ratio_M+Cl'!I113,IF(OR(O120="N/A",O152="N/A"),"N/A",""))</f>
        <v>11.212527195953717</v>
      </c>
      <c r="P57" s="183" t="str">
        <f>IF(AND(ISNUMBER(P88),P88&gt;0.8*'Ratio_M+Cl'!J81,P88&lt;1.2*'Ratio_M+Cl'!J81),P120/'Ratio_M+Cl'!J113,IF(OR(P120="N/A",P152="N/A"),"N/A",""))</f>
        <v/>
      </c>
      <c r="Q57" s="183" t="str">
        <f>IF(AND(ISNUMBER(Q88),Q88&gt;0.8*'Ratio_M+Cl'!K81,Q88&lt;1.2*'Ratio_M+Cl'!K81),Q120/'Ratio_M+Cl'!K113,IF(OR(Q120="N/A",Q152="N/A"),"N/A",""))</f>
        <v/>
      </c>
      <c r="R57" s="183" t="str">
        <f>IF(AND(ISNUMBER(R88),R88&gt;0.8*'Ratio_M+Cl'!L81,R88&lt;1.2*'Ratio_M+Cl'!L81),R120/'Ratio_M+Cl'!L113,IF(OR(R120="N/A",R152="N/A"),"N/A",""))</f>
        <v/>
      </c>
      <c r="S57" s="183" t="str">
        <f>IF(AND(ISNUMBER(S88),S88&gt;0.8*'Ratio_M+Cl'!M81,S88&lt;1.2*'Ratio_M+Cl'!M81),S120/'Ratio_M+Cl'!M113,IF(OR(S120="N/A",S152="N/A"),"N/A",""))</f>
        <v/>
      </c>
      <c r="T57" s="183" t="str">
        <f>IF(AND(ISNUMBER(T88),T88&gt;0.8*'Ratio_M+Cl'!N81,T88&lt;1.2*'Ratio_M+Cl'!N81),T120/'Ratio_M+Cl'!N113,IF(OR(T120="N/A",T152="N/A"),"N/A",""))</f>
        <v/>
      </c>
      <c r="U57" s="183">
        <f>IF(AND(ISNUMBER(U88),U88&gt;0.8*'Ratio_M+Cl'!O81,U88&lt;1.2*'Ratio_M+Cl'!O81),U120/'Ratio_M+Cl'!O113,IF(OR(U120="N/A",U152="N/A"),"N/A",""))</f>
        <v>15.767552913918994</v>
      </c>
      <c r="V57" s="183">
        <f>IF(AND(ISNUMBER(V88),V88&gt;0.8*'Ratio_M+Cl'!P81,V88&lt;1.2*'Ratio_M+Cl'!P81),V120/'Ratio_M+Cl'!P113,IF(OR(V120="N/A",V152="N/A"),"N/A",""))</f>
        <v>99.884320370761117</v>
      </c>
      <c r="W57" s="183">
        <f>IF(AND(ISNUMBER(W88),W88&gt;0.8*'Ratio_M+Cl'!Q81,W88&lt;1.2*'Ratio_M+Cl'!Q81),W120/'Ratio_M+Cl'!Q113,IF(OR(W120="N/A",W152="N/A"),"N/A",""))</f>
        <v>268.47811753848862</v>
      </c>
      <c r="X57" s="183">
        <f>IF(AND(ISNUMBER(X88),X88&gt;0.8*'Ratio_M+Cl'!R81,X88&lt;1.2*'Ratio_M+Cl'!R81),X120/'Ratio_M+Cl'!R113,IF(OR(X120="N/A",X152="N/A"),"N/A",""))</f>
        <v>361.68572386180296</v>
      </c>
      <c r="Y57" s="183">
        <f>IF(AND(ISNUMBER(Y88),Y88&gt;0.8*'Ratio_M+Cl'!S81,Y88&lt;1.2*'Ratio_M+Cl'!S81),Y120/'Ratio_M+Cl'!S113,IF(OR(Y120="N/A",Y152="N/A"),"N/A",""))</f>
        <v>276.6010346276114</v>
      </c>
      <c r="Z57" s="183">
        <f>IF(AND(ISNUMBER(Z88),Z88&gt;0.8*'Ratio_M+Cl'!T81,Z88&lt;1.2*'Ratio_M+Cl'!T81),Z120/'Ratio_M+Cl'!T113,IF(OR(Z120="N/A",Z152="N/A"),"N/A",""))</f>
        <v>113.84812884535356</v>
      </c>
      <c r="AA57" s="185">
        <f>IF(AND(ISNUMBER(AA88),AA88&gt;0.8*'Ratio_M+Cl'!U81,AA88&lt;1.2*'Ratio_M+Cl'!U81),AA120/'Ratio_M+Cl'!U113,IF(OR(AA120="N/A",AA152="N/A"),"N/A",""))</f>
        <v>20.898682142047598</v>
      </c>
      <c r="AB57" s="183" t="str">
        <f>IF(AND(ISNUMBER(AB88),AB88&gt;0.8*'Ratio_M+Cl'!V81,AB88&lt;1.2*'Ratio_M+Cl'!V81),AB120/'Ratio_M+Cl'!V113,IF(OR(AB120="N/A",AB152="N/A"),"N/A",""))</f>
        <v/>
      </c>
      <c r="AC57" s="184" t="str">
        <f>IF(AND(ISNUMBER(AC88),AC88&gt;0.8*'Ratio_M+Cl'!W81,AC88&lt;1.2*'Ratio_M+Cl'!W81),AC120/'Ratio_M+Cl'!W113,IF(OR(AC120="N/A",AC152="N/A"),"N/A",""))</f>
        <v/>
      </c>
      <c r="AD57" s="183" t="str">
        <f>IF(AND(ISNUMBER(AD88),AD88&gt;0.8*'Ratio_M+Cl'!X81,AD88&lt;1.2*'Ratio_M+Cl'!X81),AD120/'Ratio_M+Cl'!X113,IF(OR(AD120="N/A",AD152="N/A"),"N/A",""))</f>
        <v/>
      </c>
      <c r="AE57" s="183" t="str">
        <f>IF(AND(ISNUMBER(AE88),AE88&gt;0.8*'Ratio_M+Cl'!Y81,AE88&lt;1.2*'Ratio_M+Cl'!Y81),AE120/'Ratio_M+Cl'!Y113,IF(OR(AE120="N/A",AE152="N/A"),"N/A",""))</f>
        <v/>
      </c>
      <c r="AF57" s="183" t="str">
        <f>IF(AND(ISNUMBER(AF88),AF88&gt;0.8*'Ratio_M+Cl'!Z81,AF88&lt;1.2*'Ratio_M+Cl'!Z81),AF120/'Ratio_M+Cl'!Z113,IF(OR(AF120="N/A",AF152="N/A"),"N/A",""))</f>
        <v/>
      </c>
      <c r="AG57" s="183" t="str">
        <f>IF(AND(ISNUMBER(AG88),AG88&gt;0.8*'Ratio_M+Cl'!AA81,AG88&lt;1.2*'Ratio_M+Cl'!AA81),AG120/'Ratio_M+Cl'!AA113,IF(OR(AG120="N/A",AG152="N/A"),"N/A",""))</f>
        <v/>
      </c>
      <c r="AH57" s="183" t="str">
        <f>IF(AND(ISNUMBER(AH88),AH88&gt;0.8*'Ratio_M+Cl'!AB81,AH88&lt;1.2*'Ratio_M+Cl'!AB81),AH120/'Ratio_M+Cl'!AB113,IF(OR(AH120="N/A",AH152="N/A"),"N/A",""))</f>
        <v/>
      </c>
      <c r="AI57" s="183" t="str">
        <f>IF(AND(ISNUMBER(AI88),AI88&gt;0.8*'Ratio_M+Cl'!AC81,AI88&lt;1.2*'Ratio_M+Cl'!AC81),AI120/'Ratio_M+Cl'!AC113,IF(OR(AI120="N/A",AI152="N/A"),"N/A",""))</f>
        <v/>
      </c>
      <c r="AK57" s="160" t="s">
        <v>21</v>
      </c>
      <c r="AL57" s="177">
        <f t="shared" si="1"/>
        <v>0.38892413777044949</v>
      </c>
      <c r="AM57" s="177">
        <f t="shared" si="7"/>
        <v>1.5304384689052866</v>
      </c>
      <c r="AN57" s="177">
        <f t="shared" si="8"/>
        <v>3.0015623861099576</v>
      </c>
      <c r="AO57" s="177">
        <f t="shared" si="9"/>
        <v>3.4287424696218776</v>
      </c>
      <c r="AP57" s="177">
        <f t="shared" si="10"/>
        <v>1.9174808695555261</v>
      </c>
      <c r="AQ57" s="177">
        <f t="shared" si="11"/>
        <v>0.57113657627347614</v>
      </c>
      <c r="AR57" s="177">
        <f t="shared" si="12"/>
        <v>9.8412723179368514E-2</v>
      </c>
      <c r="AS57" s="177" t="str">
        <f t="shared" si="13"/>
        <v/>
      </c>
      <c r="AT57" s="177" t="str">
        <f t="shared" si="14"/>
        <v/>
      </c>
      <c r="AU57" s="177" t="str">
        <f t="shared" si="15"/>
        <v/>
      </c>
      <c r="AV57" s="177" t="str">
        <f t="shared" si="16"/>
        <v/>
      </c>
      <c r="AW57" s="177" t="str">
        <f t="shared" si="17"/>
        <v/>
      </c>
      <c r="AX57" s="177">
        <f t="shared" si="18"/>
        <v>0.13839233502091569</v>
      </c>
      <c r="AY57" s="177">
        <f t="shared" si="19"/>
        <v>0.87668799360008687</v>
      </c>
      <c r="AZ57" s="177">
        <f t="shared" si="20"/>
        <v>2.3564413445140246</v>
      </c>
      <c r="BA57" s="177">
        <f t="shared" si="21"/>
        <v>3.1745275974167688</v>
      </c>
      <c r="BB57" s="177">
        <f t="shared" si="22"/>
        <v>2.4277364572865743</v>
      </c>
      <c r="BC57" s="177">
        <f t="shared" si="23"/>
        <v>0.99924880383702452</v>
      </c>
      <c r="BD57" s="177">
        <f t="shared" si="24"/>
        <v>0.18342842648365176</v>
      </c>
      <c r="BE57" s="177" t="str">
        <f t="shared" si="25"/>
        <v/>
      </c>
      <c r="BF57" s="177" t="str">
        <f t="shared" si="26"/>
        <v/>
      </c>
      <c r="BG57" s="177" t="str">
        <f t="shared" si="27"/>
        <v/>
      </c>
      <c r="BH57" s="177" t="str">
        <f t="shared" si="2"/>
        <v/>
      </c>
      <c r="BI57" s="177" t="str">
        <f t="shared" si="3"/>
        <v/>
      </c>
      <c r="BJ57" s="177" t="str">
        <f t="shared" si="4"/>
        <v/>
      </c>
      <c r="BK57" s="177" t="str">
        <f t="shared" si="5"/>
        <v/>
      </c>
      <c r="BL57" s="177" t="str">
        <f t="shared" si="6"/>
        <v/>
      </c>
    </row>
    <row r="58" spans="1:64" ht="15.75" x14ac:dyDescent="0.3">
      <c r="A58" s="150">
        <v>53</v>
      </c>
      <c r="B58" s="10" t="s">
        <v>49</v>
      </c>
      <c r="C58">
        <v>512674231.05835003</v>
      </c>
      <c r="E58" s="10" t="s">
        <v>373</v>
      </c>
      <c r="F58" s="151">
        <f>IF(ISNUMBER(P48),P48/SUM($I$43:$AI$71),0)</f>
        <v>2.1996397808810113E-2</v>
      </c>
      <c r="H58" s="160" t="s">
        <v>22</v>
      </c>
      <c r="I58" s="183">
        <f>IF(AND(ISNUMBER(I89),I89&gt;0.8*'Ratio_M+Cl'!C82,I89&lt;1.2*'Ratio_M+Cl'!C82),I121/'Ratio_M+Cl'!C114,IF(OR(I121="N/A",I153="N/A"),"N/A",""))</f>
        <v>35.326959205601213</v>
      </c>
      <c r="J58" s="183">
        <f>IF(AND(ISNUMBER(J89),J89&gt;0.8*'Ratio_M+Cl'!D82,J89&lt;1.2*'Ratio_M+Cl'!D82),J121/'Ratio_M+Cl'!D114,IF(OR(J121="N/A",J153="N/A"),"N/A",""))</f>
        <v>154.57548284197424</v>
      </c>
      <c r="K58" s="180">
        <f>IF(AND(ISNUMBER(K89),K89&gt;0.8*'Ratio_M+Cl'!E82,K89&lt;1.2*'Ratio_M+Cl'!E82),K121/'Ratio_M+Cl'!E114,IF(OR(K121="N/A",K153="N/A"),"N/A",""))</f>
        <v>363.04008615067073</v>
      </c>
      <c r="L58" s="180">
        <f>IF(AND(ISNUMBER(L89),L89&gt;0.8*'Ratio_M+Cl'!F82,L89&lt;1.2*'Ratio_M+Cl'!F82),L121/'Ratio_M+Cl'!F114,IF(OR(L121="N/A",L153="N/A"),"N/A",""))</f>
        <v>538.33784551610654</v>
      </c>
      <c r="M58" s="180">
        <f>IF(AND(ISNUMBER(M89),M89&gt;0.8*'Ratio_M+Cl'!G82,M89&lt;1.2*'Ratio_M+Cl'!G82),M121/'Ratio_M+Cl'!G114,IF(OR(M121="N/A",M153="N/A"),"N/A",""))</f>
        <v>368.36768841537753</v>
      </c>
      <c r="N58" s="183">
        <f>IF(AND(ISNUMBER(N89),N89&gt;0.8*'Ratio_M+Cl'!H82,N89&lt;1.2*'Ratio_M+Cl'!H82),N121/'Ratio_M+Cl'!H114,IF(OR(N121="N/A",N153="N/A"),"N/A",""))</f>
        <v>131.44037641323186</v>
      </c>
      <c r="O58" s="183">
        <f>IF(AND(ISNUMBER(O89),O89&gt;0.8*'Ratio_M+Cl'!I82,O89&lt;1.2*'Ratio_M+Cl'!I82),O121/'Ratio_M+Cl'!I114,IF(OR(O121="N/A",O153="N/A"),"N/A",""))</f>
        <v>26.680026881658545</v>
      </c>
      <c r="P58" s="183" t="str">
        <f>IF(AND(ISNUMBER(P89),P89&gt;0.8*'Ratio_M+Cl'!J82,P89&lt;1.2*'Ratio_M+Cl'!J82),P121/'Ratio_M+Cl'!J114,IF(OR(P121="N/A",P153="N/A"),"N/A",""))</f>
        <v/>
      </c>
      <c r="Q58" s="183" t="str">
        <f>IF(AND(ISNUMBER(Q89),Q89&gt;0.8*'Ratio_M+Cl'!K82,Q89&lt;1.2*'Ratio_M+Cl'!K82),Q121/'Ratio_M+Cl'!K114,IF(OR(Q121="N/A",Q153="N/A"),"N/A",""))</f>
        <v/>
      </c>
      <c r="R58" s="183" t="str">
        <f>IF(AND(ISNUMBER(R89),R89&gt;0.8*'Ratio_M+Cl'!L82,R89&lt;1.2*'Ratio_M+Cl'!L82),R121/'Ratio_M+Cl'!L114,IF(OR(R121="N/A",R153="N/A"),"N/A",""))</f>
        <v/>
      </c>
      <c r="S58" s="183" t="str">
        <f>IF(AND(ISNUMBER(S89),S89&gt;0.8*'Ratio_M+Cl'!M82,S89&lt;1.2*'Ratio_M+Cl'!M82),S121/'Ratio_M+Cl'!M114,IF(OR(S121="N/A",S153="N/A"),"N/A",""))</f>
        <v/>
      </c>
      <c r="T58" s="183" t="str">
        <f>IF(AND(ISNUMBER(T89),T89&gt;0.8*'Ratio_M+Cl'!N82,T89&lt;1.2*'Ratio_M+Cl'!N82),T121/'Ratio_M+Cl'!N114,IF(OR(T121="N/A",T153="N/A"),"N/A",""))</f>
        <v/>
      </c>
      <c r="U58" s="183" t="str">
        <f>IF(AND(ISNUMBER(U89),U89&gt;0.8*'Ratio_M+Cl'!O82,U89&lt;1.2*'Ratio_M+Cl'!O82),U121/'Ratio_M+Cl'!O114,IF(OR(U121="N/A",U153="N/A"),"N/A",""))</f>
        <v/>
      </c>
      <c r="V58" s="183">
        <f>IF(AND(ISNUMBER(V89),V89&gt;0.8*'Ratio_M+Cl'!P82,V89&lt;1.2*'Ratio_M+Cl'!P82),V121/'Ratio_M+Cl'!P114,IF(OR(V121="N/A",V153="N/A"),"N/A",""))</f>
        <v>41.164783035026325</v>
      </c>
      <c r="W58" s="183">
        <f>IF(AND(ISNUMBER(W89),W89&gt;0.8*'Ratio_M+Cl'!Q82,W89&lt;1.2*'Ratio_M+Cl'!Q82),W121/'Ratio_M+Cl'!Q114,IF(OR(W121="N/A",W153="N/A"),"N/A",""))</f>
        <v>186.709129186621</v>
      </c>
      <c r="X58" s="183">
        <f>IF(AND(ISNUMBER(X89),X89&gt;0.8*'Ratio_M+Cl'!R82,X89&lt;1.2*'Ratio_M+Cl'!R82),X121/'Ratio_M+Cl'!R114,IF(OR(X121="N/A",X153="N/A"),"N/A",""))</f>
        <v>407.80078727044292</v>
      </c>
      <c r="Y58" s="183">
        <f>IF(AND(ISNUMBER(Y89),Y89&gt;0.8*'Ratio_M+Cl'!S82,Y89&lt;1.2*'Ratio_M+Cl'!S82),Y121/'Ratio_M+Cl'!S114,IF(OR(Y121="N/A",Y153="N/A"),"N/A",""))</f>
        <v>496.92670385477413</v>
      </c>
      <c r="Z58" s="183">
        <f>IF(AND(ISNUMBER(Z89),Z89&gt;0.8*'Ratio_M+Cl'!T82,Z89&lt;1.2*'Ratio_M+Cl'!T82),Z121/'Ratio_M+Cl'!T114,IF(OR(Z121="N/A",Z153="N/A"),"N/A",""))</f>
        <v>344.05574634906924</v>
      </c>
      <c r="AA58" s="183">
        <f>IF(AND(ISNUMBER(AA89),AA89&gt;0.8*'Ratio_M+Cl'!U82,AA89&lt;1.2*'Ratio_M+Cl'!U82),AA121/'Ratio_M+Cl'!U114,IF(OR(AA121="N/A",AA153="N/A"),"N/A",""))</f>
        <v>137.97280918211868</v>
      </c>
      <c r="AB58" s="185">
        <f>IF(AND(ISNUMBER(AB89),AB89&gt;0.8*'Ratio_M+Cl'!V82,AB89&lt;1.2*'Ratio_M+Cl'!V82),AB121/'Ratio_M+Cl'!V114,IF(OR(AB121="N/A",AB153="N/A"),"N/A",""))</f>
        <v>27.18264041119102</v>
      </c>
      <c r="AC58" s="183" t="str">
        <f>IF(AND(ISNUMBER(AC89),AC89&gt;0.8*'Ratio_M+Cl'!W82,AC89&lt;1.2*'Ratio_M+Cl'!W82),AC121/'Ratio_M+Cl'!W114,IF(OR(AC121="N/A",AC153="N/A"),"N/A",""))</f>
        <v/>
      </c>
      <c r="AD58" s="184" t="str">
        <f>IF(AND(ISNUMBER(AD89),AD89&gt;0.8*'Ratio_M+Cl'!X82,AD89&lt;1.2*'Ratio_M+Cl'!X82),AD121/'Ratio_M+Cl'!X114,IF(OR(AD121="N/A",AD153="N/A"),"N/A",""))</f>
        <v/>
      </c>
      <c r="AE58" s="183" t="str">
        <f>IF(AND(ISNUMBER(AE89),AE89&gt;0.8*'Ratio_M+Cl'!Y82,AE89&lt;1.2*'Ratio_M+Cl'!Y82),AE121/'Ratio_M+Cl'!Y114,IF(OR(AE121="N/A",AE153="N/A"),"N/A",""))</f>
        <v/>
      </c>
      <c r="AF58" s="183" t="str">
        <f>IF(AND(ISNUMBER(AF89),AF89&gt;0.8*'Ratio_M+Cl'!Z82,AF89&lt;1.2*'Ratio_M+Cl'!Z82),AF121/'Ratio_M+Cl'!Z114,IF(OR(AF121="N/A",AF153="N/A"),"N/A",""))</f>
        <v/>
      </c>
      <c r="AG58" s="183" t="str">
        <f>IF(AND(ISNUMBER(AG89),AG89&gt;0.8*'Ratio_M+Cl'!AA82,AG89&lt;1.2*'Ratio_M+Cl'!AA82),AG121/'Ratio_M+Cl'!AA114,IF(OR(AG121="N/A",AG153="N/A"),"N/A",""))</f>
        <v/>
      </c>
      <c r="AH58" s="183" t="str">
        <f>IF(AND(ISNUMBER(AH89),AH89&gt;0.8*'Ratio_M+Cl'!AB82,AH89&lt;1.2*'Ratio_M+Cl'!AB82),AH121/'Ratio_M+Cl'!AB114,IF(OR(AH121="N/A",AH153="N/A"),"N/A",""))</f>
        <v/>
      </c>
      <c r="AI58" s="183" t="str">
        <f>IF(AND(ISNUMBER(AI89),AI89&gt;0.8*'Ratio_M+Cl'!AC82,AI89&lt;1.2*'Ratio_M+Cl'!AC82),AI121/'Ratio_M+Cl'!AC114,IF(OR(AI121="N/A",AI153="N/A"),"N/A",""))</f>
        <v/>
      </c>
      <c r="AK58" s="160" t="s">
        <v>22</v>
      </c>
      <c r="AL58" s="177">
        <f t="shared" si="1"/>
        <v>0.31006589293484976</v>
      </c>
      <c r="AM58" s="177">
        <f t="shared" si="7"/>
        <v>1.3567141410131058</v>
      </c>
      <c r="AN58" s="177">
        <f t="shared" si="8"/>
        <v>3.186414880157721</v>
      </c>
      <c r="AO58" s="177">
        <f t="shared" si="9"/>
        <v>4.7250091296878161</v>
      </c>
      <c r="AP58" s="177">
        <f t="shared" si="10"/>
        <v>3.2331754219805831</v>
      </c>
      <c r="AQ58" s="177">
        <f t="shared" si="11"/>
        <v>1.1536565443707825</v>
      </c>
      <c r="AR58" s="177">
        <f t="shared" si="12"/>
        <v>0.23417148106185171</v>
      </c>
      <c r="AS58" s="177" t="str">
        <f t="shared" si="13"/>
        <v/>
      </c>
      <c r="AT58" s="177" t="str">
        <f t="shared" si="14"/>
        <v/>
      </c>
      <c r="AU58" s="177" t="str">
        <f t="shared" si="15"/>
        <v/>
      </c>
      <c r="AV58" s="177" t="str">
        <f t="shared" si="16"/>
        <v/>
      </c>
      <c r="AW58" s="177" t="str">
        <f t="shared" si="17"/>
        <v/>
      </c>
      <c r="AX58" s="177" t="str">
        <f t="shared" si="18"/>
        <v/>
      </c>
      <c r="AY58" s="177">
        <f t="shared" si="19"/>
        <v>0.36130466635806707</v>
      </c>
      <c r="AZ58" s="177">
        <f t="shared" si="20"/>
        <v>1.6387522210278109</v>
      </c>
      <c r="BA58" s="177">
        <f t="shared" si="21"/>
        <v>3.5792810388417542</v>
      </c>
      <c r="BB58" s="177">
        <f t="shared" si="22"/>
        <v>4.3615421654936055</v>
      </c>
      <c r="BC58" s="177">
        <f t="shared" si="23"/>
        <v>3.0197886999053076</v>
      </c>
      <c r="BD58" s="177">
        <f t="shared" si="24"/>
        <v>1.21099192349961</v>
      </c>
      <c r="BE58" s="177">
        <f t="shared" si="25"/>
        <v>0.2385829366849814</v>
      </c>
      <c r="BF58" s="177" t="str">
        <f t="shared" si="26"/>
        <v/>
      </c>
      <c r="BG58" s="177" t="str">
        <f t="shared" si="27"/>
        <v/>
      </c>
      <c r="BH58" s="177" t="str">
        <f t="shared" si="2"/>
        <v/>
      </c>
      <c r="BI58" s="177" t="str">
        <f t="shared" si="3"/>
        <v/>
      </c>
      <c r="BJ58" s="177" t="str">
        <f t="shared" si="4"/>
        <v/>
      </c>
      <c r="BK58" s="177" t="str">
        <f t="shared" si="5"/>
        <v/>
      </c>
      <c r="BL58" s="177" t="str">
        <f t="shared" si="6"/>
        <v/>
      </c>
    </row>
    <row r="59" spans="1:64" ht="15.75" x14ac:dyDescent="0.3">
      <c r="A59" s="150">
        <v>54</v>
      </c>
      <c r="B59" s="10" t="s">
        <v>50</v>
      </c>
      <c r="C59">
        <v>491791633.84986901</v>
      </c>
      <c r="E59" s="10" t="s">
        <v>374</v>
      </c>
      <c r="F59" s="151">
        <f>IF(ISNUMBER(Q48),Q48/SUM($I$43:$AI$71),0)</f>
        <v>2.9365580011442231E-2</v>
      </c>
      <c r="H59" s="160" t="s">
        <v>23</v>
      </c>
      <c r="I59" s="183">
        <f>IF(AND(ISNUMBER(I90),I90&gt;0.8*'Ratio_M+Cl'!C83,I90&lt;1.2*'Ratio_M+Cl'!C83),I122/'Ratio_M+Cl'!C115,IF(OR(I122="N/A",I154="N/A"),"N/A",""))</f>
        <v>22.466703340800077</v>
      </c>
      <c r="J59" s="183">
        <f>IF(AND(ISNUMBER(J90),J90&gt;0.8*'Ratio_M+Cl'!D83,J90&lt;1.2*'Ratio_M+Cl'!D83),J122/'Ratio_M+Cl'!D115,IF(OR(J122="N/A",J154="N/A"),"N/A",""))</f>
        <v>115.9102817785368</v>
      </c>
      <c r="K59" s="180">
        <f>IF(AND(ISNUMBER(K90),K90&gt;0.8*'Ratio_M+Cl'!E83,K90&lt;1.2*'Ratio_M+Cl'!E83),K122/'Ratio_M+Cl'!E115,IF(OR(K122="N/A",K154="N/A"),"N/A",""))</f>
        <v>331.65488630550152</v>
      </c>
      <c r="L59" s="180">
        <f>IF(AND(ISNUMBER(L90),L90&gt;0.8*'Ratio_M+Cl'!F83,L90&lt;1.2*'Ratio_M+Cl'!F83),L122/'Ratio_M+Cl'!F115,IF(OR(L122="N/A",L154="N/A"),"N/A",""))</f>
        <v>546.55700000766899</v>
      </c>
      <c r="M59" s="180">
        <f>IF(AND(ISNUMBER(M90),M90&gt;0.8*'Ratio_M+Cl'!G83,M90&lt;1.2*'Ratio_M+Cl'!G83),M122/'Ratio_M+Cl'!G115,IF(OR(M122="N/A",M154="N/A"),"N/A",""))</f>
        <v>448.16138201475627</v>
      </c>
      <c r="N59" s="183">
        <f>IF(AND(ISNUMBER(N90),N90&gt;0.8*'Ratio_M+Cl'!H83,N90&lt;1.2*'Ratio_M+Cl'!H83),N122/'Ratio_M+Cl'!H115,IF(OR(N122="N/A",N154="N/A"),"N/A",""))</f>
        <v>195.27191221513979</v>
      </c>
      <c r="O59" s="183">
        <f>IF(AND(ISNUMBER(O90),O90&gt;0.8*'Ratio_M+Cl'!I83,O90&lt;1.2*'Ratio_M+Cl'!I83),O122/'Ratio_M+Cl'!I115,IF(OR(O122="N/A",O154="N/A"),"N/A",""))</f>
        <v>50.369791474117399</v>
      </c>
      <c r="P59" s="183">
        <f>IF(AND(ISNUMBER(P90),P90&gt;0.8*'Ratio_M+Cl'!J83,P90&lt;1.2*'Ratio_M+Cl'!J83),P122/'Ratio_M+Cl'!J115,IF(OR(P122="N/A",P154="N/A"),"N/A",""))</f>
        <v>6.6582250956982705</v>
      </c>
      <c r="Q59" s="183" t="str">
        <f>IF(AND(ISNUMBER(Q90),Q90&gt;0.8*'Ratio_M+Cl'!K83,Q90&lt;1.2*'Ratio_M+Cl'!K83),Q122/'Ratio_M+Cl'!K115,IF(OR(Q122="N/A",Q154="N/A"),"N/A",""))</f>
        <v/>
      </c>
      <c r="R59" s="183" t="str">
        <f>IF(AND(ISNUMBER(R90),R90&gt;0.8*'Ratio_M+Cl'!L83,R90&lt;1.2*'Ratio_M+Cl'!L83),R122/'Ratio_M+Cl'!L115,IF(OR(R122="N/A",R154="N/A"),"N/A",""))</f>
        <v/>
      </c>
      <c r="S59" s="183" t="str">
        <f>IF(AND(ISNUMBER(S90),S90&gt;0.8*'Ratio_M+Cl'!M83,S90&lt;1.2*'Ratio_M+Cl'!M83),S122/'Ratio_M+Cl'!M115,IF(OR(S122="N/A",S154="N/A"),"N/A",""))</f>
        <v/>
      </c>
      <c r="T59" s="183" t="str">
        <f>IF(AND(ISNUMBER(T90),T90&gt;0.8*'Ratio_M+Cl'!N83,T90&lt;1.2*'Ratio_M+Cl'!N83),T122/'Ratio_M+Cl'!N115,IF(OR(T122="N/A",T154="N/A"),"N/A",""))</f>
        <v/>
      </c>
      <c r="U59" s="183" t="str">
        <f>IF(AND(ISNUMBER(U90),U90&gt;0.8*'Ratio_M+Cl'!O83,U90&lt;1.2*'Ratio_M+Cl'!O83),U122/'Ratio_M+Cl'!O115,IF(OR(U122="N/A",U154="N/A"),"N/A",""))</f>
        <v/>
      </c>
      <c r="V59" s="183" t="str">
        <f>IF(AND(ISNUMBER(V90),V90&gt;0.8*'Ratio_M+Cl'!P83,V90&lt;1.2*'Ratio_M+Cl'!P83),V122/'Ratio_M+Cl'!P115,IF(OR(V122="N/A",V154="N/A"),"N/A",""))</f>
        <v/>
      </c>
      <c r="W59" s="183">
        <f>IF(AND(ISNUMBER(W90),W90&gt;0.8*'Ratio_M+Cl'!Q83,W90&lt;1.2*'Ratio_M+Cl'!Q83),W122/'Ratio_M+Cl'!Q115,IF(OR(W122="N/A",W154="N/A"),"N/A",""))</f>
        <v>74.849275894059147</v>
      </c>
      <c r="X59" s="183">
        <f>IF(AND(ISNUMBER(X90),X90&gt;0.8*'Ratio_M+Cl'!R83,X90&lt;1.2*'Ratio_M+Cl'!R83),X122/'Ratio_M+Cl'!R115,IF(OR(X122="N/A",X154="N/A"),"N/A",""))</f>
        <v>272.63461486661396</v>
      </c>
      <c r="Y59" s="183">
        <f>IF(AND(ISNUMBER(Y90),Y90&gt;0.8*'Ratio_M+Cl'!S83,Y90&lt;1.2*'Ratio_M+Cl'!S83),Y122/'Ratio_M+Cl'!S115,IF(OR(Y122="N/A",Y154="N/A"),"N/A",""))</f>
        <v>527.74792094817258</v>
      </c>
      <c r="Z59" s="183">
        <f>IF(AND(ISNUMBER(Z90),Z90&gt;0.8*'Ratio_M+Cl'!T83,Z90&lt;1.2*'Ratio_M+Cl'!T83),Z122/'Ratio_M+Cl'!T115,IF(OR(Z122="N/A",Z154="N/A"),"N/A",""))</f>
        <v>569.62690752669562</v>
      </c>
      <c r="AA59" s="183">
        <f>IF(AND(ISNUMBER(AA90),AA90&gt;0.8*'Ratio_M+Cl'!U83,AA90&lt;1.2*'Ratio_M+Cl'!U83),AA122/'Ratio_M+Cl'!U115,IF(OR(AA122="N/A",AA154="N/A"),"N/A",""))</f>
        <v>356.21793276216505</v>
      </c>
      <c r="AB59" s="183">
        <f>IF(AND(ISNUMBER(AB90),AB90&gt;0.8*'Ratio_M+Cl'!V83,AB90&lt;1.2*'Ratio_M+Cl'!V83),AB122/'Ratio_M+Cl'!V115,IF(OR(AB122="N/A",AB154="N/A"),"N/A",""))</f>
        <v>135.23210546114689</v>
      </c>
      <c r="AC59" s="185">
        <f>IF(AND(ISNUMBER(AC90),AC90&gt;0.8*'Ratio_M+Cl'!W83,AC90&lt;1.2*'Ratio_M+Cl'!W83),AC122/'Ratio_M+Cl'!W115,IF(OR(AC122="N/A",AC154="N/A"),"N/A",""))</f>
        <v>29.287976477729078</v>
      </c>
      <c r="AD59" s="183" t="str">
        <f>IF(AND(ISNUMBER(AD90),AD90&gt;0.8*'Ratio_M+Cl'!X83,AD90&lt;1.2*'Ratio_M+Cl'!X83),AD122/'Ratio_M+Cl'!X115,IF(OR(AD122="N/A",AD154="N/A"),"N/A",""))</f>
        <v/>
      </c>
      <c r="AE59" s="184" t="str">
        <f>IF(AND(ISNUMBER(AE90),AE90&gt;0.8*'Ratio_M+Cl'!Y83,AE90&lt;1.2*'Ratio_M+Cl'!Y83),AE122/'Ratio_M+Cl'!Y115,IF(OR(AE122="N/A",AE154="N/A"),"N/A",""))</f>
        <v/>
      </c>
      <c r="AF59" s="183" t="str">
        <f>IF(AND(ISNUMBER(AF90),AF90&gt;0.8*'Ratio_M+Cl'!Z83,AF90&lt;1.2*'Ratio_M+Cl'!Z83),AF122/'Ratio_M+Cl'!Z115,IF(OR(AF122="N/A",AF154="N/A"),"N/A",""))</f>
        <v/>
      </c>
      <c r="AG59" s="183" t="str">
        <f>IF(AND(ISNUMBER(AG90),AG90&gt;0.8*'Ratio_M+Cl'!AA83,AG90&lt;1.2*'Ratio_M+Cl'!AA83),AG122/'Ratio_M+Cl'!AA115,IF(OR(AG122="N/A",AG154="N/A"),"N/A",""))</f>
        <v/>
      </c>
      <c r="AH59" s="183" t="str">
        <f>IF(AND(ISNUMBER(AH90),AH90&gt;0.8*'Ratio_M+Cl'!AB83,AH90&lt;1.2*'Ratio_M+Cl'!AB83),AH122/'Ratio_M+Cl'!AB115,IF(OR(AH122="N/A",AH154="N/A"),"N/A",""))</f>
        <v/>
      </c>
      <c r="AI59" s="183" t="str">
        <f>IF(AND(ISNUMBER(AI90),AI90&gt;0.8*'Ratio_M+Cl'!AC83,AI90&lt;1.2*'Ratio_M+Cl'!AC83),AI122/'Ratio_M+Cl'!AC115,IF(OR(AI122="N/A",AI154="N/A"),"N/A",""))</f>
        <v/>
      </c>
      <c r="AK59" s="160" t="s">
        <v>23</v>
      </c>
      <c r="AL59" s="177">
        <f t="shared" si="1"/>
        <v>0.19719100056488981</v>
      </c>
      <c r="AM59" s="177">
        <f t="shared" si="7"/>
        <v>1.0173483885443972</v>
      </c>
      <c r="AN59" s="177">
        <f t="shared" si="8"/>
        <v>2.9109459398989701</v>
      </c>
      <c r="AO59" s="177">
        <f t="shared" si="9"/>
        <v>4.7971489213342968</v>
      </c>
      <c r="AP59" s="177">
        <f t="shared" si="10"/>
        <v>3.9335273178929362</v>
      </c>
      <c r="AQ59" s="177">
        <f t="shared" si="11"/>
        <v>1.7139080517431842</v>
      </c>
      <c r="AR59" s="177">
        <f t="shared" si="12"/>
        <v>0.44209733080814134</v>
      </c>
      <c r="AS59" s="177">
        <f t="shared" si="13"/>
        <v>5.8439462554466831E-2</v>
      </c>
      <c r="AT59" s="177" t="str">
        <f t="shared" si="14"/>
        <v/>
      </c>
      <c r="AU59" s="177" t="str">
        <f t="shared" si="15"/>
        <v/>
      </c>
      <c r="AV59" s="177" t="str">
        <f t="shared" si="16"/>
        <v/>
      </c>
      <c r="AW59" s="177" t="str">
        <f t="shared" si="17"/>
        <v/>
      </c>
      <c r="AX59" s="177" t="str">
        <f t="shared" si="18"/>
        <v/>
      </c>
      <c r="AY59" s="177" t="str">
        <f t="shared" si="19"/>
        <v/>
      </c>
      <c r="AZ59" s="177">
        <f t="shared" si="20"/>
        <v>0.65695457767954824</v>
      </c>
      <c r="BA59" s="177">
        <f t="shared" si="21"/>
        <v>2.3929230594565936</v>
      </c>
      <c r="BB59" s="177">
        <f t="shared" si="22"/>
        <v>4.6320610104296911</v>
      </c>
      <c r="BC59" s="177">
        <f t="shared" si="23"/>
        <v>4.999634264983043</v>
      </c>
      <c r="BD59" s="177">
        <f t="shared" si="24"/>
        <v>3.1265366135388915</v>
      </c>
      <c r="BE59" s="177">
        <f t="shared" si="25"/>
        <v>1.1869366760165985</v>
      </c>
      <c r="BF59" s="177">
        <f t="shared" si="26"/>
        <v>0.25706154118642871</v>
      </c>
      <c r="BG59" s="177" t="str">
        <f t="shared" si="27"/>
        <v/>
      </c>
      <c r="BH59" s="177" t="str">
        <f t="shared" si="2"/>
        <v/>
      </c>
      <c r="BI59" s="177" t="str">
        <f t="shared" si="3"/>
        <v/>
      </c>
      <c r="BJ59" s="177" t="str">
        <f t="shared" si="4"/>
        <v/>
      </c>
      <c r="BK59" s="177" t="str">
        <f t="shared" si="5"/>
        <v/>
      </c>
      <c r="BL59" s="177" t="str">
        <f t="shared" si="6"/>
        <v/>
      </c>
    </row>
    <row r="60" spans="1:64" ht="15.75" x14ac:dyDescent="0.3">
      <c r="A60" s="150">
        <v>55</v>
      </c>
      <c r="B60" s="10" t="s">
        <v>51</v>
      </c>
      <c r="C60">
        <v>547673237.66337597</v>
      </c>
      <c r="E60" s="10" t="s">
        <v>498</v>
      </c>
      <c r="F60" s="151">
        <f>IF(ISNUMBER(R48),R48/SUM($I$43:$AI$71),0)</f>
        <v>1.5647463770809771E-2</v>
      </c>
      <c r="H60" s="160" t="s">
        <v>24</v>
      </c>
      <c r="I60" s="183">
        <f>IF(AND(ISNUMBER(I91),I91&gt;0.8*'Ratio_M+Cl'!C84,I91&lt;1.2*'Ratio_M+Cl'!C84),I123/'Ratio_M+Cl'!C116,IF(OR(I123="N/A",I155="N/A"),"N/A",""))</f>
        <v>14.925711806320521</v>
      </c>
      <c r="J60" s="183">
        <f>IF(AND(ISNUMBER(J91),J91&gt;0.8*'Ratio_M+Cl'!D84,J91&lt;1.2*'Ratio_M+Cl'!D84),J123/'Ratio_M+Cl'!D116,IF(OR(J123="N/A",J155="N/A"),"N/A",""))</f>
        <v>71.716567785255521</v>
      </c>
      <c r="K60" s="180">
        <f>IF(AND(ISNUMBER(K91),K91&gt;0.8*'Ratio_M+Cl'!E84,K91&lt;1.2*'Ratio_M+Cl'!E84),K123/'Ratio_M+Cl'!E116,IF(OR(K123="N/A",K155="N/A"),"N/A",""))</f>
        <v>268.75973509271705</v>
      </c>
      <c r="L60" s="180">
        <f>IF(AND(ISNUMBER(L91),L91&gt;0.8*'Ratio_M+Cl'!F84,L91&lt;1.2*'Ratio_M+Cl'!F84),L123/'Ratio_M+Cl'!F116,IF(OR(L123="N/A",L155="N/A"),"N/A",""))</f>
        <v>499.46325258379056</v>
      </c>
      <c r="M60" s="180">
        <f>IF(AND(ISNUMBER(M91),M91&gt;0.8*'Ratio_M+Cl'!G84,M91&lt;1.2*'Ratio_M+Cl'!G84),M123/'Ratio_M+Cl'!G116,IF(OR(M123="N/A",M155="N/A"),"N/A",""))</f>
        <v>442.60950532314013</v>
      </c>
      <c r="N60" s="183">
        <f>IF(AND(ISNUMBER(N91),N91&gt;0.8*'Ratio_M+Cl'!H84,N91&lt;1.2*'Ratio_M+Cl'!H84),N123/'Ratio_M+Cl'!H116,IF(OR(N123="N/A",N155="N/A"),"N/A",""))</f>
        <v>227.62254466979562</v>
      </c>
      <c r="O60" s="183">
        <f>IF(AND(ISNUMBER(O91),O91&gt;0.8*'Ratio_M+Cl'!I84,O91&lt;1.2*'Ratio_M+Cl'!I84),O123/'Ratio_M+Cl'!I116,IF(OR(O123="N/A",O155="N/A"),"N/A",""))</f>
        <v>71.294482825456384</v>
      </c>
      <c r="P60" s="183">
        <f>IF(AND(ISNUMBER(P91),P91&gt;0.8*'Ratio_M+Cl'!J84,P91&lt;1.2*'Ratio_M+Cl'!J84),P123/'Ratio_M+Cl'!J116,IF(OR(P123="N/A",P155="N/A"),"N/A",""))</f>
        <v>12.496566630943104</v>
      </c>
      <c r="Q60" s="183" t="str">
        <f>IF(AND(ISNUMBER(Q91),Q91&gt;0.8*'Ratio_M+Cl'!K84,Q91&lt;1.2*'Ratio_M+Cl'!K84),Q123/'Ratio_M+Cl'!K116,IF(OR(Q123="N/A",Q155="N/A"),"N/A",""))</f>
        <v/>
      </c>
      <c r="R60" s="183" t="str">
        <f>IF(AND(ISNUMBER(R91),R91&gt;0.8*'Ratio_M+Cl'!L84,R91&lt;1.2*'Ratio_M+Cl'!L84),R123/'Ratio_M+Cl'!L116,IF(OR(R123="N/A",R155="N/A"),"N/A",""))</f>
        <v/>
      </c>
      <c r="S60" s="183" t="str">
        <f>IF(AND(ISNUMBER(S91),S91&gt;0.8*'Ratio_M+Cl'!M84,S91&lt;1.2*'Ratio_M+Cl'!M84),S123/'Ratio_M+Cl'!M116,IF(OR(S123="N/A",S155="N/A"),"N/A",""))</f>
        <v/>
      </c>
      <c r="T60" s="183" t="str">
        <f>IF(AND(ISNUMBER(T91),T91&gt;0.8*'Ratio_M+Cl'!N84,T91&lt;1.2*'Ratio_M+Cl'!N84),T123/'Ratio_M+Cl'!N116,IF(OR(T123="N/A",T155="N/A"),"N/A",""))</f>
        <v/>
      </c>
      <c r="U60" s="186" t="str">
        <f>IF(AND(ISNUMBER(U91),U91&gt;0.8*'Ratio_M+Cl'!O84,U91&lt;1.2*'Ratio_M+Cl'!O84),U123/'Ratio_M+Cl'!O116,IF(OR(U123="N/A",U155="N/A"),"N/A",""))</f>
        <v/>
      </c>
      <c r="V60" s="183" t="str">
        <f>IF(AND(ISNUMBER(V91),V91&gt;0.8*'Ratio_M+Cl'!P84,V91&lt;1.2*'Ratio_M+Cl'!P84),V123/'Ratio_M+Cl'!P116,IF(OR(V123="N/A",V155="N/A"),"N/A",""))</f>
        <v/>
      </c>
      <c r="W60" s="183">
        <f>IF(AND(ISNUMBER(W91),W91&gt;0.8*'Ratio_M+Cl'!Q84,W91&lt;1.2*'Ratio_M+Cl'!Q84),W123/'Ratio_M+Cl'!Q116,IF(OR(W123="N/A",W155="N/A"),"N/A",""))</f>
        <v>10.215392388148803</v>
      </c>
      <c r="X60" s="183">
        <f>IF(AND(ISNUMBER(X91),X91&gt;0.8*'Ratio_M+Cl'!R84,X91&lt;1.2*'Ratio_M+Cl'!R84),X123/'Ratio_M+Cl'!R116,IF(OR(X123="N/A",X155="N/A"),"N/A",""))</f>
        <v>97.545509399991232</v>
      </c>
      <c r="Y60" s="183">
        <f>IF(AND(ISNUMBER(Y91),Y91&gt;0.8*'Ratio_M+Cl'!S84,Y91&lt;1.2*'Ratio_M+Cl'!S84),Y123/'Ratio_M+Cl'!S116,IF(OR(Y123="N/A",Y155="N/A"),"N/A",""))</f>
        <v>298.9665842151602</v>
      </c>
      <c r="Z60" s="183">
        <f>IF(AND(ISNUMBER(Z91),Z91&gt;0.8*'Ratio_M+Cl'!T84,Z91&lt;1.2*'Ratio_M+Cl'!T84),Z123/'Ratio_M+Cl'!T116,IF(OR(Z123="N/A",Z155="N/A"),"N/A",""))</f>
        <v>493.25603448684313</v>
      </c>
      <c r="AA60" s="183">
        <f>IF(AND(ISNUMBER(AA91),AA91&gt;0.8*'Ratio_M+Cl'!U84,AA91&lt;1.2*'Ratio_M+Cl'!U84),AA123/'Ratio_M+Cl'!U116,IF(OR(AA123="N/A",AA155="N/A"),"N/A",""))</f>
        <v>497.9647739397181</v>
      </c>
      <c r="AB60" s="183">
        <f>IF(AND(ISNUMBER(AB91),AB91&gt;0.8*'Ratio_M+Cl'!V84,AB91&lt;1.2*'Ratio_M+Cl'!V84),AB123/'Ratio_M+Cl'!V116,IF(OR(AB123="N/A",AB155="N/A"),"N/A",""))</f>
        <v>298.16783102924461</v>
      </c>
      <c r="AC60" s="183">
        <f>IF(AND(ISNUMBER(AC91),AC91&gt;0.8*'Ratio_M+Cl'!W84,AC91&lt;1.2*'Ratio_M+Cl'!W84),AC123/'Ratio_M+Cl'!W116,IF(OR(AC123="N/A",AC155="N/A"),"N/A",""))</f>
        <v>113.47321193883903</v>
      </c>
      <c r="AD60" s="185">
        <f>IF(AND(ISNUMBER(AD91),AD91&gt;0.8*'Ratio_M+Cl'!X84,AD91&lt;1.2*'Ratio_M+Cl'!X84),AD123/'Ratio_M+Cl'!X116,IF(OR(AD123="N/A",AD155="N/A"),"N/A",""))</f>
        <v>22.98512201957157</v>
      </c>
      <c r="AE60" s="183" t="str">
        <f>IF(AND(ISNUMBER(AE91),AE91&gt;0.8*'Ratio_M+Cl'!Y84,AE91&lt;1.2*'Ratio_M+Cl'!Y84),AE123/'Ratio_M+Cl'!Y116,IF(OR(AE123="N/A",AE155="N/A"),"N/A",""))</f>
        <v/>
      </c>
      <c r="AF60" s="184" t="str">
        <f>IF(AND(ISNUMBER(AF91),AF91&gt;0.8*'Ratio_M+Cl'!Z84,AF91&lt;1.2*'Ratio_M+Cl'!Z84),AF123/'Ratio_M+Cl'!Z116,IF(OR(AF123="N/A",AF155="N/A"),"N/A",""))</f>
        <v/>
      </c>
      <c r="AG60" s="183" t="str">
        <f>IF(AND(ISNUMBER(AG91),AG91&gt;0.8*'Ratio_M+Cl'!AA84,AG91&lt;1.2*'Ratio_M+Cl'!AA84),AG123/'Ratio_M+Cl'!AA116,IF(OR(AG123="N/A",AG155="N/A"),"N/A",""))</f>
        <v/>
      </c>
      <c r="AH60" s="183" t="str">
        <f>IF(AND(ISNUMBER(AH91),AH91&gt;0.8*'Ratio_M+Cl'!AB84,AH91&lt;1.2*'Ratio_M+Cl'!AB84),AH123/'Ratio_M+Cl'!AB116,IF(OR(AH123="N/A",AH155="N/A"),"N/A",""))</f>
        <v/>
      </c>
      <c r="AI60" s="183" t="str">
        <f>IF(AND(ISNUMBER(AI91),AI91&gt;0.8*'Ratio_M+Cl'!AC84,AI91&lt;1.2*'Ratio_M+Cl'!AC84),AI123/'Ratio_M+Cl'!AC116,IF(OR(AI123="N/A",AI155="N/A"),"N/A",""))</f>
        <v/>
      </c>
      <c r="AK60" s="160" t="s">
        <v>24</v>
      </c>
      <c r="AL60" s="177">
        <f t="shared" si="1"/>
        <v>0.13100346769107779</v>
      </c>
      <c r="AM60" s="177">
        <f t="shared" si="7"/>
        <v>0.62945869467962023</v>
      </c>
      <c r="AN60" s="177">
        <f t="shared" si="8"/>
        <v>2.3589131111302728</v>
      </c>
      <c r="AO60" s="177">
        <f t="shared" si="9"/>
        <v>4.3838055378392937</v>
      </c>
      <c r="AP60" s="177">
        <f t="shared" si="10"/>
        <v>3.8847983119846896</v>
      </c>
      <c r="AQ60" s="177">
        <f t="shared" si="11"/>
        <v>1.9978506260440472</v>
      </c>
      <c r="AR60" s="177">
        <f t="shared" si="12"/>
        <v>0.6257540409846104</v>
      </c>
      <c r="AS60" s="177">
        <f t="shared" si="13"/>
        <v>0.10968277989883894</v>
      </c>
      <c r="AT60" s="177" t="str">
        <f t="shared" si="14"/>
        <v/>
      </c>
      <c r="AU60" s="177" t="str">
        <f t="shared" si="15"/>
        <v/>
      </c>
      <c r="AV60" s="177" t="str">
        <f t="shared" si="16"/>
        <v/>
      </c>
      <c r="AW60" s="177" t="str">
        <f t="shared" si="17"/>
        <v/>
      </c>
      <c r="AX60" s="177" t="str">
        <f t="shared" si="18"/>
        <v/>
      </c>
      <c r="AY60" s="177" t="str">
        <f t="shared" si="19"/>
        <v/>
      </c>
      <c r="AZ60" s="177">
        <f t="shared" si="20"/>
        <v>8.9660837890882389E-2</v>
      </c>
      <c r="BA60" s="177">
        <f t="shared" si="21"/>
        <v>0.85616017211856499</v>
      </c>
      <c r="BB60" s="177">
        <f t="shared" si="22"/>
        <v>2.6240396280033575</v>
      </c>
      <c r="BC60" s="177">
        <f t="shared" si="23"/>
        <v>4.3293245786752168</v>
      </c>
      <c r="BD60" s="177">
        <f t="shared" si="24"/>
        <v>4.3706533410675874</v>
      </c>
      <c r="BE60" s="177">
        <f t="shared" si="25"/>
        <v>2.6170289447915911</v>
      </c>
      <c r="BF60" s="177">
        <f t="shared" si="26"/>
        <v>0.99595814571051455</v>
      </c>
      <c r="BG60" s="177">
        <f t="shared" si="27"/>
        <v>0.20174117850723308</v>
      </c>
      <c r="BH60" s="177" t="str">
        <f t="shared" si="2"/>
        <v/>
      </c>
      <c r="BI60" s="177" t="str">
        <f t="shared" si="3"/>
        <v/>
      </c>
      <c r="BJ60" s="177" t="str">
        <f t="shared" si="4"/>
        <v/>
      </c>
      <c r="BK60" s="177" t="str">
        <f t="shared" si="5"/>
        <v/>
      </c>
      <c r="BL60" s="177" t="str">
        <f t="shared" si="6"/>
        <v/>
      </c>
    </row>
    <row r="61" spans="1:64" ht="15.75" x14ac:dyDescent="0.3">
      <c r="A61" s="150">
        <v>56</v>
      </c>
      <c r="B61" s="10" t="s">
        <v>52</v>
      </c>
      <c r="C61">
        <v>489398756.68832397</v>
      </c>
      <c r="E61" s="10" t="s">
        <v>1569</v>
      </c>
      <c r="F61" s="151">
        <f>IF(ISNUMBER(S48),S48/SUM($I$43:$AI$71),0)</f>
        <v>3.1098252600380697E-3</v>
      </c>
      <c r="H61" s="160" t="s">
        <v>330</v>
      </c>
      <c r="I61" s="183">
        <f>IF(AND(ISNUMBER(I92),I92&gt;0.8*'Ratio_M+Cl'!C85,I92&lt;1.2*'Ratio_M+Cl'!C85),I124/'Ratio_M+Cl'!C117,IF(OR(I124="N/A",I156="N/A"),"N/A",""))</f>
        <v>10.821680182114045</v>
      </c>
      <c r="J61" s="183">
        <f>IF(AND(ISNUMBER(J92),J92&gt;0.8*'Ratio_M+Cl'!D85,J92&lt;1.2*'Ratio_M+Cl'!D85),J124/'Ratio_M+Cl'!D117,IF(OR(J124="N/A",J156="N/A"),"N/A",""))</f>
        <v>47.178717544155617</v>
      </c>
      <c r="K61" s="180">
        <f>IF(AND(ISNUMBER(K92),K92&gt;0.8*'Ratio_M+Cl'!E85,K92&lt;1.2*'Ratio_M+Cl'!E85),K124/'Ratio_M+Cl'!E117,IF(OR(K124="N/A",K156="N/A"),"N/A",""))</f>
        <v>189.56995002850175</v>
      </c>
      <c r="L61" s="180">
        <f>IF(AND(ISNUMBER(L92),L92&gt;0.8*'Ratio_M+Cl'!F85,L92&lt;1.2*'Ratio_M+Cl'!F85),L124/'Ratio_M+Cl'!F117,IF(OR(L124="N/A",L156="N/A"),"N/A",""))</f>
        <v>410.05912051050478</v>
      </c>
      <c r="M61" s="180">
        <f>IF(AND(ISNUMBER(M92),M92&gt;0.8*'Ratio_M+Cl'!G85,M92&lt;1.2*'Ratio_M+Cl'!G85),M124/'Ratio_M+Cl'!G117,IF(OR(M124="N/A",M156="N/A"),"N/A",""))</f>
        <v>401.58692240128585</v>
      </c>
      <c r="N61" s="186">
        <f>IF(AND(ISNUMBER(N92),N92&gt;0.8*'Ratio_M+Cl'!H85,N92&lt;1.2*'Ratio_M+Cl'!H85),N124/'Ratio_M+Cl'!H117,IF(OR(N124="N/A",N156="N/A"),"N/A",""))</f>
        <v>234.16714914883912</v>
      </c>
      <c r="O61" s="186">
        <f>IF(AND(ISNUMBER(O92),O92&gt;0.8*'Ratio_M+Cl'!I85,O92&lt;1.2*'Ratio_M+Cl'!I85),O124/'Ratio_M+Cl'!I117,IF(OR(O124="N/A",O156="N/A"),"N/A",""))</f>
        <v>88.160555090964266</v>
      </c>
      <c r="P61" s="186">
        <f>IF(AND(ISNUMBER(P92),P92&gt;0.8*'Ratio_M+Cl'!J85,P92&lt;1.2*'Ratio_M+Cl'!J85),P124/'Ratio_M+Cl'!J117,IF(OR(P124="N/A",P156="N/A"),"N/A",""))</f>
        <v>19.176105585985177</v>
      </c>
      <c r="Q61" s="186" t="str">
        <f>IF(AND(ISNUMBER(Q92),Q92&gt;0.8*'Ratio_M+Cl'!K85,Q92&lt;1.2*'Ratio_M+Cl'!K85),Q124/'Ratio_M+Cl'!K117,IF(OR(Q124="N/A",Q156="N/A"),"N/A",""))</f>
        <v/>
      </c>
      <c r="R61" s="186" t="str">
        <f>IF(AND(ISNUMBER(R92),R92&gt;0.8*'Ratio_M+Cl'!L85,R92&lt;1.2*'Ratio_M+Cl'!L85),R124/'Ratio_M+Cl'!L117,IF(OR(R124="N/A",R156="N/A"),"N/A",""))</f>
        <v/>
      </c>
      <c r="S61" s="186" t="str">
        <f>IF(AND(ISNUMBER(S92),S92&gt;0.8*'Ratio_M+Cl'!M85,S92&lt;1.2*'Ratio_M+Cl'!M85),S124/'Ratio_M+Cl'!M117,IF(OR(S124="N/A",S156="N/A"),"N/A",""))</f>
        <v/>
      </c>
      <c r="T61" s="186" t="str">
        <f>IF(AND(ISNUMBER(T92),T92&gt;0.8*'Ratio_M+Cl'!N85,T92&lt;1.2*'Ratio_M+Cl'!N85),T124/'Ratio_M+Cl'!N117,IF(OR(T124="N/A",T156="N/A"),"N/A",""))</f>
        <v/>
      </c>
      <c r="U61" s="186" t="str">
        <f>IF(AND(ISNUMBER(U92),U92&gt;0.8*'Ratio_M+Cl'!O85,U92&lt;1.2*'Ratio_M+Cl'!O85),U124/'Ratio_M+Cl'!O117,IF(OR(U124="N/A",U156="N/A"),"N/A",""))</f>
        <v/>
      </c>
      <c r="V61" s="186" t="str">
        <f>IF(AND(ISNUMBER(V92),V92&gt;0.8*'Ratio_M+Cl'!P85,V92&lt;1.2*'Ratio_M+Cl'!P85),V124/'Ratio_M+Cl'!P117,IF(OR(V124="N/A",V156="N/A"),"N/A",""))</f>
        <v/>
      </c>
      <c r="W61" s="186" t="str">
        <f>IF(AND(ISNUMBER(W92),W92&gt;0.8*'Ratio_M+Cl'!Q85,W92&lt;1.2*'Ratio_M+Cl'!Q85),W124/'Ratio_M+Cl'!Q117,IF(OR(W124="N/A",W156="N/A"),"N/A",""))</f>
        <v/>
      </c>
      <c r="X61" s="183">
        <f>IF(AND(ISNUMBER(X92),X92&gt;0.8*'Ratio_M+Cl'!R85,X92&lt;1.2*'Ratio_M+Cl'!R85),X124/'Ratio_M+Cl'!R117,IF(OR(X124="N/A",X156="N/A"),"N/A",""))</f>
        <v>29.687817203942227</v>
      </c>
      <c r="Y61" s="183">
        <f>IF(AND(ISNUMBER(Y92),Y92&gt;0.8*'Ratio_M+Cl'!S85,Y92&lt;1.2*'Ratio_M+Cl'!S85),Y124/'Ratio_M+Cl'!S117,IF(OR(Y124="N/A",Y156="N/A"),"N/A",""))</f>
        <v>167.9749280585323</v>
      </c>
      <c r="Z61" s="183">
        <f>IF(AND(ISNUMBER(Z92),Z92&gt;0.8*'Ratio_M+Cl'!T85,Z92&lt;1.2*'Ratio_M+Cl'!T85),Z124/'Ratio_M+Cl'!T117,IF(OR(Z124="N/A",Z156="N/A"),"N/A",""))</f>
        <v>450.80738019985301</v>
      </c>
      <c r="AA61" s="183">
        <f>IF(AND(ISNUMBER(AA92),AA92&gt;0.8*'Ratio_M+Cl'!U85,AA92&lt;1.2*'Ratio_M+Cl'!U85),AA124/'Ratio_M+Cl'!U117,IF(OR(AA124="N/A",AA156="N/A"),"N/A",""))</f>
        <v>699.49971549454551</v>
      </c>
      <c r="AB61" s="183">
        <f>IF(AND(ISNUMBER(AB92),AB92&gt;0.8*'Ratio_M+Cl'!V85,AB92&lt;1.2*'Ratio_M+Cl'!V85),AB124/'Ratio_M+Cl'!V117,IF(OR(AB124="N/A",AB156="N/A"),"N/A",""))</f>
        <v>667.94754308077904</v>
      </c>
      <c r="AC61" s="183">
        <f>IF(AND(ISNUMBER(AC92),AC92&gt;0.8*'Ratio_M+Cl'!W85,AC92&lt;1.2*'Ratio_M+Cl'!W85),AC124/'Ratio_M+Cl'!W117,IF(OR(AC124="N/A",AC156="N/A"),"N/A",""))</f>
        <v>397.52361311195756</v>
      </c>
      <c r="AD61" s="183">
        <f>IF(AND(ISNUMBER(AD92),AD92&gt;0.8*'Ratio_M+Cl'!X85,AD92&lt;1.2*'Ratio_M+Cl'!X85),AD124/'Ratio_M+Cl'!X117,IF(OR(AD124="N/A",AD156="N/A"),"N/A",""))</f>
        <v>151.30158314211712</v>
      </c>
      <c r="AE61" s="185">
        <f>IF(AND(ISNUMBER(AE92),AE92&gt;0.8*'Ratio_M+Cl'!Y85,AE92&lt;1.2*'Ratio_M+Cl'!Y85),AE124/'Ratio_M+Cl'!Y117,IF(OR(AE124="N/A",AE156="N/A"),"N/A",""))</f>
        <v>31.148223785312869</v>
      </c>
      <c r="AF61" s="183" t="str">
        <f>IF(AND(ISNUMBER(AF92),AF92&gt;0.8*'Ratio_M+Cl'!Z85,AF92&lt;1.2*'Ratio_M+Cl'!Z85),AF124/'Ratio_M+Cl'!Z117,IF(OR(AF124="N/A",AF156="N/A"),"N/A",""))</f>
        <v/>
      </c>
      <c r="AG61" s="184" t="str">
        <f>IF(AND(ISNUMBER(AG92),AG92&gt;0.8*'Ratio_M+Cl'!AA85,AG92&lt;1.2*'Ratio_M+Cl'!AA85),AG124/'Ratio_M+Cl'!AA117,IF(OR(AG124="N/A",AG156="N/A"),"N/A",""))</f>
        <v/>
      </c>
      <c r="AH61" s="183" t="str">
        <f>IF(AND(ISNUMBER(AH92),AH92&gt;0.8*'Ratio_M+Cl'!AB85,AH92&lt;1.2*'Ratio_M+Cl'!AB85),AH124/'Ratio_M+Cl'!AB117,IF(OR(AH124="N/A",AH156="N/A"),"N/A",""))</f>
        <v/>
      </c>
      <c r="AI61" s="183" t="str">
        <f>IF(AND(ISNUMBER(AI92),AI92&gt;0.8*'Ratio_M+Cl'!AC85,AI92&lt;1.2*'Ratio_M+Cl'!AC85),AI124/'Ratio_M+Cl'!AC117,IF(OR(AI124="N/A",AI156="N/A"),"N/A",""))</f>
        <v/>
      </c>
      <c r="AK61" s="160" t="s">
        <v>330</v>
      </c>
      <c r="AL61" s="177">
        <f t="shared" si="1"/>
        <v>9.4982245972377477E-2</v>
      </c>
      <c r="AM61" s="177">
        <f t="shared" si="7"/>
        <v>0.41408916905959664</v>
      </c>
      <c r="AN61" s="177">
        <f t="shared" si="8"/>
        <v>1.6638617404659781</v>
      </c>
      <c r="AO61" s="177">
        <f t="shared" si="9"/>
        <v>3.5991025046109684</v>
      </c>
      <c r="AP61" s="177">
        <f t="shared" si="10"/>
        <v>3.5247417407374839</v>
      </c>
      <c r="AQ61" s="177">
        <f t="shared" si="11"/>
        <v>2.0552928366767218</v>
      </c>
      <c r="AR61" s="177">
        <f t="shared" si="12"/>
        <v>0.77378811679828075</v>
      </c>
      <c r="AS61" s="177">
        <f t="shared" si="13"/>
        <v>0.16830931490386292</v>
      </c>
      <c r="AT61" s="177" t="str">
        <f t="shared" si="14"/>
        <v/>
      </c>
      <c r="AU61" s="177" t="str">
        <f t="shared" si="15"/>
        <v/>
      </c>
      <c r="AV61" s="177" t="str">
        <f t="shared" si="16"/>
        <v/>
      </c>
      <c r="AW61" s="177" t="str">
        <f t="shared" si="17"/>
        <v/>
      </c>
      <c r="AX61" s="177" t="str">
        <f t="shared" si="18"/>
        <v/>
      </c>
      <c r="AY61" s="177" t="str">
        <f t="shared" si="19"/>
        <v/>
      </c>
      <c r="AZ61" s="177" t="str">
        <f t="shared" si="20"/>
        <v/>
      </c>
      <c r="BA61" s="177">
        <f t="shared" si="21"/>
        <v>0.26057095650529205</v>
      </c>
      <c r="BB61" s="177">
        <f t="shared" si="22"/>
        <v>1.4743215162112786</v>
      </c>
      <c r="BC61" s="177">
        <f t="shared" si="23"/>
        <v>3.9567513317456746</v>
      </c>
      <c r="BD61" s="177">
        <f t="shared" si="24"/>
        <v>6.1395322091039404</v>
      </c>
      <c r="BE61" s="177">
        <f t="shared" si="25"/>
        <v>5.8625977450712234</v>
      </c>
      <c r="BF61" s="177">
        <f t="shared" si="26"/>
        <v>3.489077940302991</v>
      </c>
      <c r="BG61" s="177">
        <f t="shared" si="27"/>
        <v>1.3279790147344088</v>
      </c>
      <c r="BH61" s="177">
        <f t="shared" si="2"/>
        <v>0.27338899351960783</v>
      </c>
      <c r="BI61" s="177" t="str">
        <f t="shared" si="3"/>
        <v/>
      </c>
      <c r="BJ61" s="177" t="str">
        <f t="shared" si="4"/>
        <v/>
      </c>
      <c r="BK61" s="177" t="str">
        <f t="shared" si="5"/>
        <v/>
      </c>
      <c r="BL61" s="177" t="str">
        <f t="shared" si="6"/>
        <v/>
      </c>
    </row>
    <row r="62" spans="1:64" ht="15.75" x14ac:dyDescent="0.3">
      <c r="A62" s="150">
        <v>57</v>
      </c>
      <c r="B62" s="10" t="s">
        <v>53</v>
      </c>
      <c r="C62">
        <v>227981398.59297901</v>
      </c>
      <c r="E62" s="10" t="s">
        <v>1570</v>
      </c>
      <c r="F62" s="151">
        <f>IF(ISNUMBER(T48),T48/SUM($I$43:$AI$71),0)</f>
        <v>1.895219198404855E-4</v>
      </c>
      <c r="H62" s="160" t="s">
        <v>331</v>
      </c>
      <c r="I62" s="183">
        <f>IF(AND(ISNUMBER(I93),I93&gt;0.8*'Ratio_M+Cl'!C86,I93&lt;1.2*'Ratio_M+Cl'!C86),I125/'Ratio_M+Cl'!C118,IF(OR(I125="N/A",I157="N/A"),"N/A",""))</f>
        <v>10.356550745098309</v>
      </c>
      <c r="J62" s="183">
        <f>IF(AND(ISNUMBER(J93),J93&gt;0.8*'Ratio_M+Cl'!D86,J93&lt;1.2*'Ratio_M+Cl'!D86),J125/'Ratio_M+Cl'!D118,IF(OR(J125="N/A",J157="N/A"),"N/A",""))</f>
        <v>31.453180182763852</v>
      </c>
      <c r="K62" s="180">
        <f>IF(AND(ISNUMBER(K93),K93&gt;0.8*'Ratio_M+Cl'!E86,K93&lt;1.2*'Ratio_M+Cl'!E86),K125/'Ratio_M+Cl'!E118,IF(OR(K125="N/A",K157="N/A"),"N/A",""))</f>
        <v>120.64291461541272</v>
      </c>
      <c r="L62" s="180">
        <f>IF(AND(ISNUMBER(L93),L93&gt;0.8*'Ratio_M+Cl'!F86,L93&lt;1.2*'Ratio_M+Cl'!F86),L125/'Ratio_M+Cl'!F118,IF(OR(L125="N/A",L157="N/A"),"N/A",""))</f>
        <v>294.76492358201529</v>
      </c>
      <c r="M62" s="180">
        <f>IF(AND(ISNUMBER(M93),M93&gt;0.8*'Ratio_M+Cl'!G86,M93&lt;1.2*'Ratio_M+Cl'!G86),M125/'Ratio_M+Cl'!G118,IF(OR(M125="N/A",M157="N/A"),"N/A",""))</f>
        <v>331.18423077122384</v>
      </c>
      <c r="N62" s="186">
        <f>IF(AND(ISNUMBER(N93),N93&gt;0.8*'Ratio_M+Cl'!H86,N93&lt;1.2*'Ratio_M+Cl'!H86),N125/'Ratio_M+Cl'!H118,IF(OR(N125="N/A",N157="N/A"),"N/A",""))</f>
        <v>214.48393735534964</v>
      </c>
      <c r="O62" s="186">
        <f>IF(AND(ISNUMBER(O93),O93&gt;0.8*'Ratio_M+Cl'!I86,O93&lt;1.2*'Ratio_M+Cl'!I86),O125/'Ratio_M+Cl'!I118,IF(OR(O125="N/A",O157="N/A"),"N/A",""))</f>
        <v>89.117056035733</v>
      </c>
      <c r="P62" s="186">
        <f>IF(AND(ISNUMBER(P93),P93&gt;0.8*'Ratio_M+Cl'!J86,P93&lt;1.2*'Ratio_M+Cl'!J86),P125/'Ratio_M+Cl'!J118,IF(OR(P125="N/A",P157="N/A"),"N/A",""))</f>
        <v>22.469205467865958</v>
      </c>
      <c r="Q62" s="186" t="str">
        <f>IF(AND(ISNUMBER(Q93),Q93&gt;0.8*'Ratio_M+Cl'!K86,Q93&lt;1.2*'Ratio_M+Cl'!K86),Q125/'Ratio_M+Cl'!K118,IF(OR(Q125="N/A",Q157="N/A"),"N/A",""))</f>
        <v/>
      </c>
      <c r="R62" s="186" t="str">
        <f>IF(AND(ISNUMBER(R93),R93&gt;0.8*'Ratio_M+Cl'!L86,R93&lt;1.2*'Ratio_M+Cl'!L86),R125/'Ratio_M+Cl'!L118,IF(OR(R125="N/A",R157="N/A"),"N/A",""))</f>
        <v/>
      </c>
      <c r="S62" s="186" t="str">
        <f>IF(AND(ISNUMBER(S93),S93&gt;0.8*'Ratio_M+Cl'!M86,S93&lt;1.2*'Ratio_M+Cl'!M86),S125/'Ratio_M+Cl'!M118,IF(OR(S125="N/A",S157="N/A"),"N/A",""))</f>
        <v/>
      </c>
      <c r="T62" s="186" t="str">
        <f>IF(AND(ISNUMBER(T93),T93&gt;0.8*'Ratio_M+Cl'!N86,T93&lt;1.2*'Ratio_M+Cl'!N86),T125/'Ratio_M+Cl'!N118,IF(OR(T125="N/A",T157="N/A"),"N/A",""))</f>
        <v/>
      </c>
      <c r="U62" s="186" t="str">
        <f>IF(AND(ISNUMBER(U93),U93&gt;0.8*'Ratio_M+Cl'!O86,U93&lt;1.2*'Ratio_M+Cl'!O86),U125/'Ratio_M+Cl'!O118,IF(OR(U125="N/A",U157="N/A"),"N/A",""))</f>
        <v/>
      </c>
      <c r="V62" s="186" t="str">
        <f>IF(AND(ISNUMBER(V93),V93&gt;0.8*'Ratio_M+Cl'!P86,V93&lt;1.2*'Ratio_M+Cl'!P86),V125/'Ratio_M+Cl'!P118,IF(OR(V125="N/A",V157="N/A"),"N/A",""))</f>
        <v/>
      </c>
      <c r="W62" s="186" t="str">
        <f>IF(AND(ISNUMBER(W93),W93&gt;0.8*'Ratio_M+Cl'!Q86,W93&lt;1.2*'Ratio_M+Cl'!Q86),W125/'Ratio_M+Cl'!Q118,IF(OR(W125="N/A",W157="N/A"),"N/A",""))</f>
        <v/>
      </c>
      <c r="X62" s="183" t="str">
        <f>IF(AND(ISNUMBER(X93),X93&gt;0.8*'Ratio_M+Cl'!R86,X93&lt;1.2*'Ratio_M+Cl'!R86),X125/'Ratio_M+Cl'!R118,IF(OR(X125="N/A",X157="N/A"),"N/A",""))</f>
        <v/>
      </c>
      <c r="Y62" s="183" t="str">
        <f>IF(AND(ISNUMBER(Y93),Y93&gt;0.8*'Ratio_M+Cl'!S86,Y93&lt;1.2*'Ratio_M+Cl'!S86),Y125/'Ratio_M+Cl'!S118,IF(OR(Y125="N/A",Y157="N/A"),"N/A",""))</f>
        <v/>
      </c>
      <c r="Z62" s="183">
        <f>IF(AND(ISNUMBER(Z93),Z93&gt;0.8*'Ratio_M+Cl'!T86,Z93&lt;1.2*'Ratio_M+Cl'!T86),Z125/'Ratio_M+Cl'!T118,IF(OR(Z125="N/A",Z157="N/A"),"N/A",""))</f>
        <v>111.12335561296874</v>
      </c>
      <c r="AA62" s="183">
        <f>IF(AND(ISNUMBER(AA93),AA93&gt;0.8*'Ratio_M+Cl'!U86,AA93&lt;1.2*'Ratio_M+Cl'!U86),AA125/'Ratio_M+Cl'!U118,IF(OR(AA125="N/A",AA157="N/A"),"N/A",""))</f>
        <v>253.38963521202609</v>
      </c>
      <c r="AB62" s="183">
        <f>IF(AND(ISNUMBER(AB93),AB93&gt;0.8*'Ratio_M+Cl'!V86,AB93&lt;1.2*'Ratio_M+Cl'!V86),AB125/'Ratio_M+Cl'!V118,IF(OR(AB125="N/A",AB157="N/A"),"N/A",""))</f>
        <v>354.58466413412435</v>
      </c>
      <c r="AC62" s="183">
        <f>IF(AND(ISNUMBER(AC93),AC93&gt;0.8*'Ratio_M+Cl'!W86,AC93&lt;1.2*'Ratio_M+Cl'!W86),AC125/'Ratio_M+Cl'!W118,IF(OR(AC125="N/A",AC157="N/A"),"N/A",""))</f>
        <v>314.74766387431879</v>
      </c>
      <c r="AD62" s="183">
        <f>IF(AND(ISNUMBER(AD93),AD93&gt;0.8*'Ratio_M+Cl'!X86,AD93&lt;1.2*'Ratio_M+Cl'!X86),AD125/'Ratio_M+Cl'!X118,IF(OR(AD125="N/A",AD157="N/A"),"N/A",""))</f>
        <v>178.43562011180512</v>
      </c>
      <c r="AE62" s="183">
        <f>IF(AND(ISNUMBER(AE93),AE93&gt;0.8*'Ratio_M+Cl'!Y86,AE93&lt;1.2*'Ratio_M+Cl'!Y86),AE125/'Ratio_M+Cl'!Y118,IF(OR(AE125="N/A",AE157="N/A"),"N/A",""))</f>
        <v>61.908281144116934</v>
      </c>
      <c r="AF62" s="185" t="str">
        <f>IF(AND(ISNUMBER(AF93),AF93&gt;0.8*'Ratio_M+Cl'!Z86,AF93&lt;1.2*'Ratio_M+Cl'!Z86),AF125/'Ratio_M+Cl'!Z118,IF(OR(AF125="N/A",AF157="N/A"),"N/A",""))</f>
        <v/>
      </c>
      <c r="AG62" s="183" t="str">
        <f>IF(AND(ISNUMBER(AG93),AG93&gt;0.8*'Ratio_M+Cl'!AA86,AG93&lt;1.2*'Ratio_M+Cl'!AA86),AG125/'Ratio_M+Cl'!AA118,IF(OR(AG125="N/A",AG157="N/A"),"N/A",""))</f>
        <v/>
      </c>
      <c r="AH62" s="184" t="str">
        <f>IF(AND(ISNUMBER(AH93),AH93&gt;0.8*'Ratio_M+Cl'!AB86,AH93&lt;1.2*'Ratio_M+Cl'!AB86),AH125/'Ratio_M+Cl'!AB118,IF(OR(AH125="N/A",AH157="N/A"),"N/A",""))</f>
        <v/>
      </c>
      <c r="AI62" s="183" t="str">
        <f>IF(AND(ISNUMBER(AI93),AI93&gt;0.8*'Ratio_M+Cl'!AC86,AI93&lt;1.2*'Ratio_M+Cl'!AC86),AI125/'Ratio_M+Cl'!AC118,IF(OR(AI125="N/A",AI157="N/A"),"N/A",""))</f>
        <v/>
      </c>
      <c r="AK62" s="160" t="s">
        <v>331</v>
      </c>
      <c r="AL62" s="177">
        <f t="shared" si="1"/>
        <v>9.0899789472818307E-2</v>
      </c>
      <c r="AM62" s="177">
        <f t="shared" si="7"/>
        <v>0.27606560593709667</v>
      </c>
      <c r="AN62" s="177">
        <f t="shared" si="8"/>
        <v>1.0588868639608169</v>
      </c>
      <c r="AO62" s="177">
        <f t="shared" si="9"/>
        <v>2.5871615132343195</v>
      </c>
      <c r="AP62" s="177">
        <f t="shared" si="10"/>
        <v>2.9068149806604122</v>
      </c>
      <c r="AQ62" s="177">
        <f t="shared" si="11"/>
        <v>1.8825326337661237</v>
      </c>
      <c r="AR62" s="177">
        <f t="shared" si="12"/>
        <v>0.78218335732285216</v>
      </c>
      <c r="AS62" s="177">
        <f t="shared" si="13"/>
        <v>0.1972129618171562</v>
      </c>
      <c r="AT62" s="177" t="str">
        <f t="shared" si="14"/>
        <v/>
      </c>
      <c r="AU62" s="177" t="str">
        <f t="shared" si="15"/>
        <v/>
      </c>
      <c r="AV62" s="177" t="str">
        <f t="shared" si="16"/>
        <v/>
      </c>
      <c r="AW62" s="177" t="str">
        <f t="shared" si="17"/>
        <v/>
      </c>
      <c r="AX62" s="177" t="str">
        <f t="shared" si="18"/>
        <v/>
      </c>
      <c r="AY62" s="177" t="str">
        <f t="shared" si="19"/>
        <v/>
      </c>
      <c r="AZ62" s="177" t="str">
        <f t="shared" si="20"/>
        <v/>
      </c>
      <c r="BA62" s="177" t="str">
        <f t="shared" si="21"/>
        <v/>
      </c>
      <c r="BB62" s="177" t="str">
        <f t="shared" si="22"/>
        <v/>
      </c>
      <c r="BC62" s="177">
        <f t="shared" si="23"/>
        <v>0.97533337878084203</v>
      </c>
      <c r="BD62" s="177">
        <f t="shared" si="24"/>
        <v>2.2240092345676774</v>
      </c>
      <c r="BE62" s="177">
        <f t="shared" si="25"/>
        <v>3.1122013606061785</v>
      </c>
      <c r="BF62" s="177">
        <f t="shared" si="26"/>
        <v>2.7625506877159971</v>
      </c>
      <c r="BG62" s="177">
        <f t="shared" si="27"/>
        <v>1.5661353574008778</v>
      </c>
      <c r="BH62" s="177">
        <f t="shared" si="2"/>
        <v>0.54337103743615722</v>
      </c>
      <c r="BI62" s="177" t="str">
        <f t="shared" si="3"/>
        <v/>
      </c>
      <c r="BJ62" s="177" t="str">
        <f t="shared" si="4"/>
        <v/>
      </c>
      <c r="BK62" s="177" t="str">
        <f t="shared" si="5"/>
        <v/>
      </c>
      <c r="BL62" s="177" t="str">
        <f t="shared" si="6"/>
        <v/>
      </c>
    </row>
    <row r="63" spans="1:64" ht="15.75" x14ac:dyDescent="0.3">
      <c r="A63" s="150">
        <v>58</v>
      </c>
      <c r="B63" s="10" t="s">
        <v>54</v>
      </c>
      <c r="C63">
        <v>179740600.63102701</v>
      </c>
      <c r="E63" s="10" t="s">
        <v>499</v>
      </c>
      <c r="F63" s="151">
        <f>IF(ISNUMBER(I49),I49/SUM($I$43:$AI$71),0)</f>
        <v>7.9026210459042748E-4</v>
      </c>
      <c r="H63" s="160" t="s">
        <v>332</v>
      </c>
      <c r="I63" s="177">
        <f>IF(AND(ISNUMBER(I94),I94&gt;0.8*'Ratio_M+Cl'!C87,I94&lt;1.2*'Ratio_M+Cl'!C87),I126/'Ratio_M+Cl'!C119,IF(OR(I126="N/A",I158="N/A"),"N/A",""))</f>
        <v>8.1317001680315197</v>
      </c>
      <c r="J63" s="177">
        <f>IF(AND(ISNUMBER(J94),J94&gt;0.8*'Ratio_M+Cl'!D87,J94&lt;1.2*'Ratio_M+Cl'!D87),J126/'Ratio_M+Cl'!D119,IF(OR(J126="N/A",J158="N/A"),"N/A",""))</f>
        <v>24.869298973554347</v>
      </c>
      <c r="K63" s="177">
        <f>IF(AND(ISNUMBER(K94),K94&gt;0.8*'Ratio_M+Cl'!E87,K94&lt;1.2*'Ratio_M+Cl'!E87),K126/'Ratio_M+Cl'!E119,IF(OR(K126="N/A",K158="N/A"),"N/A",""))</f>
        <v>77.962278355779972</v>
      </c>
      <c r="L63" s="177">
        <f>IF(AND(ISNUMBER(L94),L94&gt;0.8*'Ratio_M+Cl'!F87,L94&lt;1.2*'Ratio_M+Cl'!F87),L126/'Ratio_M+Cl'!F119,IF(OR(L126="N/A",L158="N/A"),"N/A",""))</f>
        <v>179.0940419019461</v>
      </c>
      <c r="M63" s="177">
        <f>IF(AND(ISNUMBER(M94),M94&gt;0.8*'Ratio_M+Cl'!G87,M94&lt;1.2*'Ratio_M+Cl'!G87),M126/'Ratio_M+Cl'!G119,IF(OR(M126="N/A",M158="N/A"),"N/A",""))</f>
        <v>239.80599419417842</v>
      </c>
      <c r="N63" s="177">
        <f>IF(AND(ISNUMBER(N94),N94&gt;0.8*'Ratio_M+Cl'!H87,N94&lt;1.2*'Ratio_M+Cl'!H87),N126/'Ratio_M+Cl'!H119,IF(OR(N126="N/A",N158="N/A"),"N/A",""))</f>
        <v>185.10210620182852</v>
      </c>
      <c r="O63" s="177">
        <f>IF(AND(ISNUMBER(O94),O94&gt;0.8*'Ratio_M+Cl'!I87,O94&lt;1.2*'Ratio_M+Cl'!I87),O126/'Ratio_M+Cl'!I119,IF(OR(O126="N/A",O158="N/A"),"N/A",""))</f>
        <v>87.513737606212047</v>
      </c>
      <c r="P63" s="177">
        <f>IF(AND(ISNUMBER(P94),P94&gt;0.8*'Ratio_M+Cl'!J87,P94&lt;1.2*'Ratio_M+Cl'!J87),P126/'Ratio_M+Cl'!J119,IF(OR(P126="N/A",P158="N/A"),"N/A",""))</f>
        <v>24.968727802471726</v>
      </c>
      <c r="Q63" s="177" t="str">
        <f>IF(AND(ISNUMBER(Q94),Q94&gt;0.8*'Ratio_M+Cl'!K87,Q94&lt;1.2*'Ratio_M+Cl'!K87),Q126/'Ratio_M+Cl'!K119,IF(OR(Q126="N/A",Q158="N/A"),"N/A",""))</f>
        <v/>
      </c>
      <c r="R63" s="186" t="str">
        <f>IF(AND(ISNUMBER(R94),R94&gt;0.8*'Ratio_M+Cl'!L87,R94&lt;1.2*'Ratio_M+Cl'!L87),R126/'Ratio_M+Cl'!L119,IF(OR(R126="N/A",R158="N/A"),"N/A",""))</f>
        <v/>
      </c>
      <c r="S63" s="186" t="str">
        <f>IF(AND(ISNUMBER(S94),S94&gt;0.8*'Ratio_M+Cl'!M87,S94&lt;1.2*'Ratio_M+Cl'!M87),S126/'Ratio_M+Cl'!M119,IF(OR(S126="N/A",S158="N/A"),"N/A",""))</f>
        <v/>
      </c>
      <c r="T63" s="186" t="str">
        <f>IF(AND(ISNUMBER(T94),T94&gt;0.8*'Ratio_M+Cl'!N87,T94&lt;1.2*'Ratio_M+Cl'!N87),T126/'Ratio_M+Cl'!N119,IF(OR(T126="N/A",T158="N/A"),"N/A",""))</f>
        <v/>
      </c>
      <c r="U63" s="186" t="str">
        <f>IF(AND(ISNUMBER(U94),U94&gt;0.8*'Ratio_M+Cl'!O87,U94&lt;1.2*'Ratio_M+Cl'!O87),U126/'Ratio_M+Cl'!O119,IF(OR(U126="N/A",U158="N/A"),"N/A",""))</f>
        <v/>
      </c>
      <c r="V63" s="186" t="str">
        <f>IF(AND(ISNUMBER(V94),V94&gt;0.8*'Ratio_M+Cl'!P87,V94&lt;1.2*'Ratio_M+Cl'!P87),V126/'Ratio_M+Cl'!P119,IF(OR(V126="N/A",V158="N/A"),"N/A",""))</f>
        <v/>
      </c>
      <c r="W63" s="186" t="str">
        <f>IF(AND(ISNUMBER(W94),W94&gt;0.8*'Ratio_M+Cl'!Q87,W94&lt;1.2*'Ratio_M+Cl'!Q87),W126/'Ratio_M+Cl'!Q119,IF(OR(W126="N/A",W158="N/A"),"N/A",""))</f>
        <v/>
      </c>
      <c r="X63" s="183" t="str">
        <f>IF(AND(ISNUMBER(X94),X94&gt;0.8*'Ratio_M+Cl'!R87,X94&lt;1.2*'Ratio_M+Cl'!R87),X126/'Ratio_M+Cl'!R119,IF(OR(X126="N/A",X158="N/A"),"N/A",""))</f>
        <v/>
      </c>
      <c r="Y63" s="183" t="str">
        <f>IF(AND(ISNUMBER(Y94),Y94&gt;0.8*'Ratio_M+Cl'!S87,Y94&lt;1.2*'Ratio_M+Cl'!S87),Y126/'Ratio_M+Cl'!S119,IF(OR(Y126="N/A",Y158="N/A"),"N/A",""))</f>
        <v/>
      </c>
      <c r="Z63" s="183">
        <f>IF(AND(ISNUMBER(Z94),Z94&gt;0.8*'Ratio_M+Cl'!T87,Z94&lt;1.2*'Ratio_M+Cl'!T87),Z126/'Ratio_M+Cl'!T119,IF(OR(Z126="N/A",Z158="N/A"),"N/A",""))</f>
        <v>35.231114020741288</v>
      </c>
      <c r="AA63" s="183">
        <f>IF(AND(ISNUMBER(AA94),AA94&gt;0.8*'Ratio_M+Cl'!U87,AA94&lt;1.2*'Ratio_M+Cl'!U87),AA126/'Ratio_M+Cl'!U119,IF(OR(AA126="N/A",AA158="N/A"),"N/A",""))</f>
        <v>148.89169252023194</v>
      </c>
      <c r="AB63" s="183">
        <f>IF(AND(ISNUMBER(AB94),AB94&gt;0.8*'Ratio_M+Cl'!V87,AB94&lt;1.2*'Ratio_M+Cl'!V87),AB126/'Ratio_M+Cl'!V119,IF(OR(AB126="N/A",AB158="N/A"),"N/A",""))</f>
        <v>326.16984184688482</v>
      </c>
      <c r="AC63" s="183">
        <f>IF(AND(ISNUMBER(AC94),AC94&gt;0.8*'Ratio_M+Cl'!W87,AC94&lt;1.2*'Ratio_M+Cl'!W87),AC126/'Ratio_M+Cl'!W119,IF(OR(AC126="N/A",AC158="N/A"),"N/A",""))</f>
        <v>429.03134426466141</v>
      </c>
      <c r="AD63" s="183">
        <f>IF(AND(ISNUMBER(AD94),AD94&gt;0.8*'Ratio_M+Cl'!X87,AD94&lt;1.2*'Ratio_M+Cl'!X87),AD126/'Ratio_M+Cl'!X119,IF(OR(AD126="N/A",AD158="N/A"),"N/A",""))</f>
        <v>366.9488077693116</v>
      </c>
      <c r="AE63" s="183">
        <f>IF(AND(ISNUMBER(AE94),AE94&gt;0.8*'Ratio_M+Cl'!Y87,AE94&lt;1.2*'Ratio_M+Cl'!Y87),AE126/'Ratio_M+Cl'!Y119,IF(OR(AE126="N/A",AE158="N/A"),"N/A",""))</f>
        <v>202.97346278742251</v>
      </c>
      <c r="AF63" s="183">
        <f>IF(AND(ISNUMBER(AF94),AF94&gt;0.8*'Ratio_M+Cl'!Z87,AF94&lt;1.2*'Ratio_M+Cl'!Z87),AF126/'Ratio_M+Cl'!Z119,IF(OR(AF126="N/A",AF158="N/A"),"N/A",""))</f>
        <v>75.331278301383094</v>
      </c>
      <c r="AG63" s="185">
        <f>IF(AND(ISNUMBER(AG94),AG94&gt;0.8*'Ratio_M+Cl'!AA87,AG94&lt;1.2*'Ratio_M+Cl'!AA87),AG126/'Ratio_M+Cl'!AA119,IF(OR(AG126="N/A",AG158="N/A"),"N/A",""))</f>
        <v>15.400121098459383</v>
      </c>
      <c r="AH63" s="183" t="str">
        <f>IF(AND(ISNUMBER(AH94),AH94&gt;0.8*'Ratio_M+Cl'!AB87,AH94&lt;1.2*'Ratio_M+Cl'!AB87),AH126/'Ratio_M+Cl'!AB119,IF(OR(AH126="N/A",AH158="N/A"),"N/A",""))</f>
        <v/>
      </c>
      <c r="AI63" s="184" t="str">
        <f>IF(AND(ISNUMBER(AI94),AI94&gt;0.8*'Ratio_M+Cl'!AC87,AI94&lt;1.2*'Ratio_M+Cl'!AC87),AI126/'Ratio_M+Cl'!AC119,IF(OR(AI126="N/A",AI158="N/A"),"N/A",""))</f>
        <v/>
      </c>
      <c r="AK63" s="160" t="s">
        <v>332</v>
      </c>
      <c r="AL63" s="177">
        <f t="shared" si="1"/>
        <v>7.1372202147514288E-2</v>
      </c>
      <c r="AM63" s="177">
        <f t="shared" si="7"/>
        <v>0.2182786621407326</v>
      </c>
      <c r="AN63" s="177">
        <f t="shared" si="8"/>
        <v>0.68427750356128703</v>
      </c>
      <c r="AO63" s="177">
        <f t="shared" si="9"/>
        <v>1.5719143472963755</v>
      </c>
      <c r="AP63" s="177">
        <f t="shared" si="10"/>
        <v>2.1047851667108097</v>
      </c>
      <c r="AQ63" s="177">
        <f t="shared" si="11"/>
        <v>1.6246473269765984</v>
      </c>
      <c r="AR63" s="177">
        <f t="shared" si="12"/>
        <v>0.76811097827615815</v>
      </c>
      <c r="AS63" s="177">
        <f t="shared" si="13"/>
        <v>0.21915135227073523</v>
      </c>
      <c r="AT63" s="177" t="str">
        <f t="shared" si="14"/>
        <v/>
      </c>
      <c r="AU63" s="177" t="str">
        <f t="shared" si="15"/>
        <v/>
      </c>
      <c r="AV63" s="177" t="str">
        <f t="shared" si="16"/>
        <v/>
      </c>
      <c r="AW63" s="177" t="str">
        <f t="shared" si="17"/>
        <v/>
      </c>
      <c r="AX63" s="177" t="str">
        <f t="shared" si="18"/>
        <v/>
      </c>
      <c r="AY63" s="177" t="str">
        <f t="shared" si="19"/>
        <v/>
      </c>
      <c r="AZ63" s="177" t="str">
        <f t="shared" si="20"/>
        <v/>
      </c>
      <c r="BA63" s="177" t="str">
        <f t="shared" si="21"/>
        <v/>
      </c>
      <c r="BB63" s="177" t="str">
        <f t="shared" si="22"/>
        <v/>
      </c>
      <c r="BC63" s="177">
        <f t="shared" si="23"/>
        <v>0.30922465656762832</v>
      </c>
      <c r="BD63" s="177">
        <f t="shared" si="24"/>
        <v>1.3068273247969495</v>
      </c>
      <c r="BE63" s="177">
        <f t="shared" si="25"/>
        <v>2.8628035227169479</v>
      </c>
      <c r="BF63" s="177">
        <f t="shared" si="26"/>
        <v>3.7656223419130033</v>
      </c>
      <c r="BG63" s="177">
        <f t="shared" si="27"/>
        <v>3.2207218594780778</v>
      </c>
      <c r="BH63" s="177">
        <f t="shared" si="2"/>
        <v>1.7815048166184104</v>
      </c>
      <c r="BI63" s="177">
        <f t="shared" si="3"/>
        <v>0.66118512879927072</v>
      </c>
      <c r="BJ63" s="177">
        <f t="shared" si="4"/>
        <v>0.13516737378691587</v>
      </c>
      <c r="BK63" s="177" t="str">
        <f t="shared" si="5"/>
        <v/>
      </c>
      <c r="BL63" s="177" t="str">
        <f t="shared" si="6"/>
        <v/>
      </c>
    </row>
    <row r="64" spans="1:64" ht="15.75" x14ac:dyDescent="0.3">
      <c r="A64" s="150">
        <v>59</v>
      </c>
      <c r="B64" s="10" t="s">
        <v>55</v>
      </c>
      <c r="C64">
        <v>240235770.57114401</v>
      </c>
      <c r="E64" s="10" t="s">
        <v>375</v>
      </c>
      <c r="F64" s="151">
        <f>IF(ISNUMBER(J49),J49/SUM($I$43:$AI$71),0)</f>
        <v>1.0349977062670431E-2</v>
      </c>
      <c r="H64" s="160" t="s">
        <v>333</v>
      </c>
      <c r="I64" s="177">
        <f>IF(AND(ISNUMBER(I95),I95&gt;0.8*'Ratio_M+Cl'!C88,I95&lt;1.2*'Ratio_M+Cl'!C88),I127/'Ratio_M+Cl'!C120,IF(OR(I127="N/A",I159="N/A"),"N/A",""))</f>
        <v>8.7952233430090505</v>
      </c>
      <c r="J64" s="177">
        <f>IF(AND(ISNUMBER(J95),J95&gt;0.8*'Ratio_M+Cl'!D88,J95&lt;1.2*'Ratio_M+Cl'!D88),J127/'Ratio_M+Cl'!D120,IF(OR(J127="N/A",J159="N/A"),"N/A",""))</f>
        <v>23.217936891854695</v>
      </c>
      <c r="K64" s="177">
        <f>IF(AND(ISNUMBER(K95),K95&gt;0.8*'Ratio_M+Cl'!E88,K95&lt;1.2*'Ratio_M+Cl'!E88),K127/'Ratio_M+Cl'!E120,IF(OR(K127="N/A",K159="N/A"),"N/A",""))</f>
        <v>57.504433203141758</v>
      </c>
      <c r="L64" s="177">
        <f>IF(AND(ISNUMBER(L95),L95&gt;0.8*'Ratio_M+Cl'!F88,L95&lt;1.2*'Ratio_M+Cl'!F88),L127/'Ratio_M+Cl'!F120,IF(OR(L127="N/A",L159="N/A"),"N/A",""))</f>
        <v>117.34160656773393</v>
      </c>
      <c r="M64" s="177">
        <f>IF(AND(ISNUMBER(M95),M95&gt;0.8*'Ratio_M+Cl'!G88,M95&lt;1.2*'Ratio_M+Cl'!G88),M127/'Ratio_M+Cl'!G120,IF(OR(M127="N/A",M159="N/A"),"N/A",""))</f>
        <v>165.07059530768964</v>
      </c>
      <c r="N64" s="177">
        <f>IF(AND(ISNUMBER(N95),N95&gt;0.8*'Ratio_M+Cl'!H88,N95&lt;1.2*'Ratio_M+Cl'!H88),N127/'Ratio_M+Cl'!H120,IF(OR(N127="N/A",N159="N/A"),"N/A",""))</f>
        <v>144.87412357383687</v>
      </c>
      <c r="O64" s="177">
        <f>IF(AND(ISNUMBER(O95),O95&gt;0.8*'Ratio_M+Cl'!I88,O95&lt;1.2*'Ratio_M+Cl'!I88),O127/'Ratio_M+Cl'!I120,IF(OR(O127="N/A",O159="N/A"),"N/A",""))</f>
        <v>83.988739396924572</v>
      </c>
      <c r="P64" s="177">
        <f>IF(AND(ISNUMBER(P95),P95&gt;0.8*'Ratio_M+Cl'!J88,P95&lt;1.2*'Ratio_M+Cl'!J88),P127/'Ratio_M+Cl'!J120,IF(OR(P127="N/A",P159="N/A"),"N/A",""))</f>
        <v>27.546505972730507</v>
      </c>
      <c r="Q64" s="177" t="str">
        <f>IF(AND(ISNUMBER(Q95),Q95&gt;0.8*'Ratio_M+Cl'!K88,Q95&lt;1.2*'Ratio_M+Cl'!K88),Q127/'Ratio_M+Cl'!K120,IF(OR(Q127="N/A",Q159="N/A"),"N/A",""))</f>
        <v/>
      </c>
      <c r="R64" s="186" t="str">
        <f>IF(AND(ISNUMBER(R95),R95&gt;0.8*'Ratio_M+Cl'!L88,R95&lt;1.2*'Ratio_M+Cl'!L88),R127/'Ratio_M+Cl'!L120,IF(OR(R127="N/A",R159="N/A"),"N/A",""))</f>
        <v/>
      </c>
      <c r="S64" s="186" t="str">
        <f>IF(AND(ISNUMBER(S95),S95&gt;0.8*'Ratio_M+Cl'!M88,S95&lt;1.2*'Ratio_M+Cl'!M88),S127/'Ratio_M+Cl'!M120,IF(OR(S127="N/A",S159="N/A"),"N/A",""))</f>
        <v/>
      </c>
      <c r="T64" s="186" t="str">
        <f>IF(AND(ISNUMBER(T95),T95&gt;0.8*'Ratio_M+Cl'!N88,T95&lt;1.2*'Ratio_M+Cl'!N88),T127/'Ratio_M+Cl'!N120,IF(OR(T127="N/A",T159="N/A"),"N/A",""))</f>
        <v/>
      </c>
      <c r="U64" s="186" t="str">
        <f>IF(AND(ISNUMBER(U95),U95&gt;0.8*'Ratio_M+Cl'!O88,U95&lt;1.2*'Ratio_M+Cl'!O88),U127/'Ratio_M+Cl'!O120,IF(OR(U127="N/A",U159="N/A"),"N/A",""))</f>
        <v/>
      </c>
      <c r="V64" s="186" t="str">
        <f>IF(AND(ISNUMBER(V95),V95&gt;0.8*'Ratio_M+Cl'!P88,V95&lt;1.2*'Ratio_M+Cl'!P88),V127/'Ratio_M+Cl'!P120,IF(OR(V127="N/A",V159="N/A"),"N/A",""))</f>
        <v/>
      </c>
      <c r="W64" s="186" t="str">
        <f>IF(AND(ISNUMBER(W95),W95&gt;0.8*'Ratio_M+Cl'!Q88,W95&lt;1.2*'Ratio_M+Cl'!Q88),W127/'Ratio_M+Cl'!Q120,IF(OR(W127="N/A",W159="N/A"),"N/A",""))</f>
        <v/>
      </c>
      <c r="X64" s="183" t="str">
        <f>IF(AND(ISNUMBER(X95),X95&gt;0.8*'Ratio_M+Cl'!R88,X95&lt;1.2*'Ratio_M+Cl'!R88),X127/'Ratio_M+Cl'!R120,IF(OR(X127="N/A",X159="N/A"),"N/A",""))</f>
        <v/>
      </c>
      <c r="Y64" s="183" t="str">
        <f>IF(AND(ISNUMBER(Y95),Y95&gt;0.8*'Ratio_M+Cl'!S88,Y95&lt;1.2*'Ratio_M+Cl'!S88),Y127/'Ratio_M+Cl'!S120,IF(OR(Y127="N/A",Y159="N/A"),"N/A",""))</f>
        <v/>
      </c>
      <c r="Z64" s="183" t="str">
        <f>IF(AND(ISNUMBER(Z95),Z95&gt;0.8*'Ratio_M+Cl'!T88,Z95&lt;1.2*'Ratio_M+Cl'!T88),Z127/'Ratio_M+Cl'!T120,IF(OR(Z127="N/A",Z159="N/A"),"N/A",""))</f>
        <v/>
      </c>
      <c r="AA64" s="183">
        <f>IF(AND(ISNUMBER(AA95),AA95&gt;0.8*'Ratio_M+Cl'!U88,AA95&lt;1.2*'Ratio_M+Cl'!U88),AA127/'Ratio_M+Cl'!U120,IF(OR(AA127="N/A",AA159="N/A"),"N/A",""))</f>
        <v>23.446171583880506</v>
      </c>
      <c r="AB64" s="183">
        <f>IF(AND(ISNUMBER(AB95),AB95&gt;0.8*'Ratio_M+Cl'!V88,AB95&lt;1.2*'Ratio_M+Cl'!V88),AB127/'Ratio_M+Cl'!V120,IF(OR(AB127="N/A",AB159="N/A"),"N/A",""))</f>
        <v>91.694026626750471</v>
      </c>
      <c r="AC64" s="183">
        <f>IF(AND(ISNUMBER(AC95),AC95&gt;0.8*'Ratio_M+Cl'!W88,AC95&lt;1.2*'Ratio_M+Cl'!W88),AC127/'Ratio_M+Cl'!W120,IF(OR(AC127="N/A",AC159="N/A"),"N/A",""))</f>
        <v>180.32886374695354</v>
      </c>
      <c r="AD64" s="183">
        <f>IF(AND(ISNUMBER(AD95),AD95&gt;0.8*'Ratio_M+Cl'!X88,AD95&lt;1.2*'Ratio_M+Cl'!X88),AD127/'Ratio_M+Cl'!X120,IF(OR(AD127="N/A",AD159="N/A"),"N/A",""))</f>
        <v>213.08325263315169</v>
      </c>
      <c r="AE64" s="183">
        <f>IF(AND(ISNUMBER(AE95),AE95&gt;0.8*'Ratio_M+Cl'!Y88,AE95&lt;1.2*'Ratio_M+Cl'!Y88),AE127/'Ratio_M+Cl'!Y120,IF(OR(AE127="N/A",AE159="N/A"),"N/A",""))</f>
        <v>169.77038169831633</v>
      </c>
      <c r="AF64" s="183">
        <f>IF(AND(ISNUMBER(AF95),AF95&gt;0.8*'Ratio_M+Cl'!Z88,AF95&lt;1.2*'Ratio_M+Cl'!Z88),AF127/'Ratio_M+Cl'!Z120,IF(OR(AF127="N/A",AF159="N/A"),"N/A",""))</f>
        <v>91.229284287841935</v>
      </c>
      <c r="AG64" s="183">
        <f>IF(AND(ISNUMBER(AG95),AG95&gt;0.8*'Ratio_M+Cl'!AA88,AG95&lt;1.2*'Ratio_M+Cl'!AA88),AG127/'Ratio_M+Cl'!AA120,IF(OR(AG127="N/A",AG159="N/A"),"N/A",""))</f>
        <v>30.006391736341101</v>
      </c>
      <c r="AH64" s="185" t="str">
        <f>IF(AND(ISNUMBER(AH95),AH95&gt;0.8*'Ratio_M+Cl'!AB88,AH95&lt;1.2*'Ratio_M+Cl'!AB88),AH127/'Ratio_M+Cl'!AB120,IF(OR(AH127="N/A",AH159="N/A"),"N/A",""))</f>
        <v/>
      </c>
      <c r="AI64" s="187" t="str">
        <f>IF(AND(ISNUMBER(AI95),AI95&gt;0.8*'Ratio_M+Cl'!AC88,AI95&lt;1.2*'Ratio_M+Cl'!AC88),AI127/'Ratio_M+Cl'!AC120,IF(OR(AI127="N/A",AI159="N/A"),"N/A",""))</f>
        <v/>
      </c>
      <c r="AK64" s="160" t="s">
        <v>333</v>
      </c>
      <c r="AL64" s="177">
        <f t="shared" si="1"/>
        <v>7.7195967066962967E-2</v>
      </c>
      <c r="AM64" s="177">
        <f t="shared" si="7"/>
        <v>0.20378460236499707</v>
      </c>
      <c r="AN64" s="177">
        <f t="shared" si="8"/>
        <v>0.50471831795864097</v>
      </c>
      <c r="AO64" s="177">
        <f t="shared" si="9"/>
        <v>1.029911173704005</v>
      </c>
      <c r="AP64" s="177">
        <f t="shared" si="10"/>
        <v>1.4488300913046261</v>
      </c>
      <c r="AQ64" s="177">
        <f t="shared" si="11"/>
        <v>1.271564988869837</v>
      </c>
      <c r="AR64" s="177">
        <f t="shared" si="12"/>
        <v>0.73717195204988806</v>
      </c>
      <c r="AS64" s="177">
        <f t="shared" si="13"/>
        <v>0.24177659679001226</v>
      </c>
      <c r="AT64" s="177" t="str">
        <f t="shared" si="14"/>
        <v/>
      </c>
      <c r="AU64" s="177" t="str">
        <f t="shared" si="15"/>
        <v/>
      </c>
      <c r="AV64" s="177" t="str">
        <f t="shared" si="16"/>
        <v/>
      </c>
      <c r="AW64" s="177" t="str">
        <f t="shared" si="17"/>
        <v/>
      </c>
      <c r="AX64" s="177" t="str">
        <f t="shared" si="18"/>
        <v/>
      </c>
      <c r="AY64" s="177" t="str">
        <f t="shared" si="19"/>
        <v/>
      </c>
      <c r="AZ64" s="177" t="str">
        <f t="shared" si="20"/>
        <v/>
      </c>
      <c r="BA64" s="177" t="str">
        <f t="shared" si="21"/>
        <v/>
      </c>
      <c r="BB64" s="177" t="str">
        <f t="shared" si="22"/>
        <v/>
      </c>
      <c r="BC64" s="177" t="str">
        <f t="shared" si="23"/>
        <v/>
      </c>
      <c r="BD64" s="177">
        <f t="shared" si="24"/>
        <v>0.20578782582869312</v>
      </c>
      <c r="BE64" s="177">
        <f t="shared" si="25"/>
        <v>0.80480151369233632</v>
      </c>
      <c r="BF64" s="177">
        <f t="shared" si="26"/>
        <v>1.5827524195957594</v>
      </c>
      <c r="BG64" s="177">
        <f t="shared" si="27"/>
        <v>1.8702387774910654</v>
      </c>
      <c r="BH64" s="177">
        <f t="shared" si="2"/>
        <v>1.490080272372621</v>
      </c>
      <c r="BI64" s="177">
        <f t="shared" si="3"/>
        <v>0.80072245476570625</v>
      </c>
      <c r="BJ64" s="177">
        <f t="shared" si="4"/>
        <v>0.26336709574500611</v>
      </c>
      <c r="BK64" s="177" t="str">
        <f t="shared" si="5"/>
        <v/>
      </c>
      <c r="BL64" s="177" t="str">
        <f t="shared" si="6"/>
        <v/>
      </c>
    </row>
    <row r="65" spans="1:64" ht="15.75" x14ac:dyDescent="0.3">
      <c r="A65" s="150">
        <v>60</v>
      </c>
      <c r="B65" s="10" t="s">
        <v>56</v>
      </c>
      <c r="C65">
        <v>201349908.32098401</v>
      </c>
      <c r="E65" s="10" t="s">
        <v>376</v>
      </c>
      <c r="F65" s="151">
        <f>IF(ISNUMBER(K49),K49/SUM($I$43:$AI$71),0)</f>
        <v>1.5603045054458514E-2</v>
      </c>
      <c r="H65" s="160" t="s">
        <v>334</v>
      </c>
      <c r="I65" s="177" t="str">
        <f>IF(AND(ISNUMBER(I96),I96&gt;0.8*'Ratio_M+Cl'!C89,I96&lt;1.2*'Ratio_M+Cl'!C89),I128/'Ratio_M+Cl'!C121,IF(OR(I128="N/A",I160="N/A"),"N/A",""))</f>
        <v/>
      </c>
      <c r="J65" s="177">
        <f>IF(AND(ISNUMBER(J96),J96&gt;0.8*'Ratio_M+Cl'!D89,J96&lt;1.2*'Ratio_M+Cl'!D89),J128/'Ratio_M+Cl'!D121,IF(OR(J128="N/A",J160="N/A"),"N/A",""))</f>
        <v>21.943677864861346</v>
      </c>
      <c r="K65" s="177">
        <f>IF(AND(ISNUMBER(K96),K96&gt;0.8*'Ratio_M+Cl'!E89,K96&lt;1.2*'Ratio_M+Cl'!E89),K128/'Ratio_M+Cl'!E121,IF(OR(K128="N/A",K160="N/A"),"N/A",""))</f>
        <v>42.266570614824531</v>
      </c>
      <c r="L65" s="177">
        <f>IF(AND(ISNUMBER(L96),L96&gt;0.8*'Ratio_M+Cl'!F89,L96&lt;1.2*'Ratio_M+Cl'!F89),L128/'Ratio_M+Cl'!F121,IF(OR(L128="N/A",L160="N/A"),"N/A",""))</f>
        <v>78.184578688744196</v>
      </c>
      <c r="M65" s="177">
        <f>IF(AND(ISNUMBER(M96),M96&gt;0.8*'Ratio_M+Cl'!G89,M96&lt;1.2*'Ratio_M+Cl'!G89),M128/'Ratio_M+Cl'!G121,IF(OR(M128="N/A",M160="N/A"),"N/A",""))</f>
        <v>101.82287215551953</v>
      </c>
      <c r="N65" s="177">
        <f>IF(AND(ISNUMBER(N96),N96&gt;0.8*'Ratio_M+Cl'!H89,N96&lt;1.2*'Ratio_M+Cl'!H89),N128/'Ratio_M+Cl'!H121,IF(OR(N128="N/A",N160="N/A"),"N/A",""))</f>
        <v>100.42200581230561</v>
      </c>
      <c r="O65" s="177">
        <f>IF(AND(ISNUMBER(O96),O96&gt;0.8*'Ratio_M+Cl'!I89,O96&lt;1.2*'Ratio_M+Cl'!I89),O128/'Ratio_M+Cl'!I121,IF(OR(O128="N/A",O160="N/A"),"N/A",""))</f>
        <v>59.703039494781343</v>
      </c>
      <c r="P65" s="177">
        <f>IF(AND(ISNUMBER(P96),P96&gt;0.8*'Ratio_M+Cl'!J89,P96&lt;1.2*'Ratio_M+Cl'!J89),P128/'Ratio_M+Cl'!J121,IF(OR(P128="N/A",P160="N/A"),"N/A",""))</f>
        <v>24.590805005517542</v>
      </c>
      <c r="Q65" s="177" t="str">
        <f>IF(AND(ISNUMBER(Q96),Q96&gt;0.8*'Ratio_M+Cl'!K89,Q96&lt;1.2*'Ratio_M+Cl'!K89),Q128/'Ratio_M+Cl'!K121,IF(OR(Q128="N/A",Q160="N/A"),"N/A",""))</f>
        <v/>
      </c>
      <c r="R65" s="186" t="str">
        <f>IF(AND(ISNUMBER(R96),R96&gt;0.8*'Ratio_M+Cl'!L89,R96&lt;1.2*'Ratio_M+Cl'!L89),R128/'Ratio_M+Cl'!L121,IF(OR(R128="N/A",R160="N/A"),"N/A",""))</f>
        <v/>
      </c>
      <c r="S65" s="186" t="str">
        <f>IF(AND(ISNUMBER(S96),S96&gt;0.8*'Ratio_M+Cl'!M89,S96&lt;1.2*'Ratio_M+Cl'!M89),S128/'Ratio_M+Cl'!M121,IF(OR(S128="N/A",S160="N/A"),"N/A",""))</f>
        <v/>
      </c>
      <c r="T65" s="186" t="str">
        <f>IF(AND(ISNUMBER(T96),T96&gt;0.8*'Ratio_M+Cl'!N89,T96&lt;1.2*'Ratio_M+Cl'!N89),T128/'Ratio_M+Cl'!N121,IF(OR(T128="N/A",T160="N/A"),"N/A",""))</f>
        <v/>
      </c>
      <c r="U65" s="186" t="str">
        <f>IF(AND(ISNUMBER(U96),U96&gt;0.8*'Ratio_M+Cl'!O89,U96&lt;1.2*'Ratio_M+Cl'!O89),U128/'Ratio_M+Cl'!O121,IF(OR(U128="N/A",U160="N/A"),"N/A",""))</f>
        <v/>
      </c>
      <c r="V65" s="186" t="str">
        <f>IF(AND(ISNUMBER(V96),V96&gt;0.8*'Ratio_M+Cl'!P89,V96&lt;1.2*'Ratio_M+Cl'!P89),V128/'Ratio_M+Cl'!P121,IF(OR(V128="N/A",V160="N/A"),"N/A",""))</f>
        <v/>
      </c>
      <c r="W65" s="186" t="str">
        <f>IF(AND(ISNUMBER(W96),W96&gt;0.8*'Ratio_M+Cl'!Q89,W96&lt;1.2*'Ratio_M+Cl'!Q89),W128/'Ratio_M+Cl'!Q121,IF(OR(W128="N/A",W160="N/A"),"N/A",""))</f>
        <v/>
      </c>
      <c r="X65" s="183" t="str">
        <f>IF(AND(ISNUMBER(X96),X96&gt;0.8*'Ratio_M+Cl'!R89,X96&lt;1.2*'Ratio_M+Cl'!R89),X128/'Ratio_M+Cl'!R121,IF(OR(X128="N/A",X160="N/A"),"N/A",""))</f>
        <v/>
      </c>
      <c r="Y65" s="183" t="str">
        <f>IF(AND(ISNUMBER(Y96),Y96&gt;0.8*'Ratio_M+Cl'!S89,Y96&lt;1.2*'Ratio_M+Cl'!S89),Y128/'Ratio_M+Cl'!S121,IF(OR(Y128="N/A",Y160="N/A"),"N/A",""))</f>
        <v/>
      </c>
      <c r="Z65" s="183" t="str">
        <f>IF(AND(ISNUMBER(Z96),Z96&gt;0.8*'Ratio_M+Cl'!T89,Z96&lt;1.2*'Ratio_M+Cl'!T89),Z128/'Ratio_M+Cl'!T121,IF(OR(Z128="N/A",Z160="N/A"),"N/A",""))</f>
        <v/>
      </c>
      <c r="AA65" s="183" t="str">
        <f>IF(AND(ISNUMBER(AA96),AA96&gt;0.8*'Ratio_M+Cl'!U89,AA96&lt;1.2*'Ratio_M+Cl'!U89),AA128/'Ratio_M+Cl'!U121,IF(OR(AA128="N/A",AA160="N/A"),"N/A",""))</f>
        <v/>
      </c>
      <c r="AB65" s="183">
        <f>IF(AND(ISNUMBER(AB96),AB96&gt;0.8*'Ratio_M+Cl'!V89,AB96&lt;1.2*'Ratio_M+Cl'!V89),AB128/'Ratio_M+Cl'!V121,IF(OR(AB128="N/A",AB160="N/A"),"N/A",""))</f>
        <v>22.752325804549777</v>
      </c>
      <c r="AC65" s="183">
        <f>IF(AND(ISNUMBER(AC96),AC96&gt;0.8*'Ratio_M+Cl'!W89,AC96&lt;1.2*'Ratio_M+Cl'!W89),AC128/'Ratio_M+Cl'!W121,IF(OR(AC128="N/A",AC160="N/A"),"N/A",""))</f>
        <v>87.739427439820275</v>
      </c>
      <c r="AD65" s="183">
        <f>IF(AND(ISNUMBER(AD96),AD96&gt;0.8*'Ratio_M+Cl'!X89,AD96&lt;1.2*'Ratio_M+Cl'!X89),AD128/'Ratio_M+Cl'!X121,IF(OR(AD128="N/A",AD160="N/A"),"N/A",""))</f>
        <v>161.34633763900513</v>
      </c>
      <c r="AE65" s="183">
        <f>IF(AND(ISNUMBER(AE96),AE96&gt;0.8*'Ratio_M+Cl'!Y89,AE96&lt;1.2*'Ratio_M+Cl'!Y89),AE128/'Ratio_M+Cl'!Y121,IF(OR(AE128="N/A",AE160="N/A"),"N/A",""))</f>
        <v>182.77450690452849</v>
      </c>
      <c r="AF65" s="183">
        <f>IF(AND(ISNUMBER(AF96),AF96&gt;0.8*'Ratio_M+Cl'!Z89,AF96&lt;1.2*'Ratio_M+Cl'!Z89),AF128/'Ratio_M+Cl'!Z121,IF(OR(AF128="N/A",AF160="N/A"),"N/A",""))</f>
        <v>132.1368277422867</v>
      </c>
      <c r="AG65" s="183">
        <f>IF(AND(ISNUMBER(AG96),AG96&gt;0.8*'Ratio_M+Cl'!AA89,AG96&lt;1.2*'Ratio_M+Cl'!AA89),AG128/'Ratio_M+Cl'!AA121,IF(OR(AG128="N/A",AG160="N/A"),"N/A",""))</f>
        <v>63.233711415721139</v>
      </c>
      <c r="AH65" s="183">
        <f>IF(AND(ISNUMBER(AH96),AH96&gt;0.8*'Ratio_M+Cl'!AB89,AH96&lt;1.2*'Ratio_M+Cl'!AB89),AH128/'Ratio_M+Cl'!AB121,IF(OR(AH128="N/A",AH160="N/A"),"N/A",""))</f>
        <v>19.800914068486783</v>
      </c>
      <c r="AI65" s="185" t="str">
        <f>IF(AND(ISNUMBER(AI96),AI96&gt;0.8*'Ratio_M+Cl'!AC89,AI96&lt;1.2*'Ratio_M+Cl'!AC89),AI128/'Ratio_M+Cl'!AC121,IF(OR(AI128="N/A",AI160="N/A"),"N/A",""))</f>
        <v/>
      </c>
      <c r="AK65" s="160" t="s">
        <v>334</v>
      </c>
      <c r="AL65" s="177" t="str">
        <f t="shared" si="1"/>
        <v/>
      </c>
      <c r="AM65" s="177">
        <f t="shared" si="7"/>
        <v>0.19260038861097717</v>
      </c>
      <c r="AN65" s="177">
        <f t="shared" si="8"/>
        <v>0.37097509249823968</v>
      </c>
      <c r="AO65" s="177">
        <f t="shared" si="9"/>
        <v>0.68622864095862468</v>
      </c>
      <c r="AP65" s="177">
        <f t="shared" si="10"/>
        <v>0.89370272692721298</v>
      </c>
      <c r="AQ65" s="177">
        <f t="shared" si="11"/>
        <v>0.88140727655847217</v>
      </c>
      <c r="AR65" s="177">
        <f t="shared" si="12"/>
        <v>0.52401555832008473</v>
      </c>
      <c r="AS65" s="177">
        <f t="shared" si="13"/>
        <v>0.21583431134411465</v>
      </c>
      <c r="AT65" s="177" t="str">
        <f t="shared" si="14"/>
        <v/>
      </c>
      <c r="AU65" s="177" t="str">
        <f t="shared" si="15"/>
        <v/>
      </c>
      <c r="AV65" s="177" t="str">
        <f t="shared" si="16"/>
        <v/>
      </c>
      <c r="AW65" s="177" t="str">
        <f t="shared" si="17"/>
        <v/>
      </c>
      <c r="AX65" s="177" t="str">
        <f t="shared" si="18"/>
        <v/>
      </c>
      <c r="AY65" s="177" t="str">
        <f t="shared" si="19"/>
        <v/>
      </c>
      <c r="AZ65" s="177" t="str">
        <f t="shared" si="20"/>
        <v/>
      </c>
      <c r="BA65" s="177" t="str">
        <f t="shared" si="21"/>
        <v/>
      </c>
      <c r="BB65" s="177" t="str">
        <f t="shared" si="22"/>
        <v/>
      </c>
      <c r="BC65" s="177" t="str">
        <f t="shared" si="23"/>
        <v/>
      </c>
      <c r="BD65" s="177" t="str">
        <f t="shared" si="24"/>
        <v/>
      </c>
      <c r="BE65" s="177">
        <f t="shared" si="25"/>
        <v>0.19969791840487078</v>
      </c>
      <c r="BF65" s="177">
        <f t="shared" si="26"/>
        <v>0.77009186543309627</v>
      </c>
      <c r="BG65" s="177">
        <f t="shared" si="27"/>
        <v>1.4161421581927087</v>
      </c>
      <c r="BH65" s="177">
        <f t="shared" si="2"/>
        <v>1.6042179107250738</v>
      </c>
      <c r="BI65" s="177">
        <f t="shared" si="3"/>
        <v>1.1597693207909736</v>
      </c>
      <c r="BJ65" s="177">
        <f t="shared" si="4"/>
        <v>0.55500438290175513</v>
      </c>
      <c r="BK65" s="177">
        <f t="shared" si="5"/>
        <v>0.17379327968307359</v>
      </c>
      <c r="BL65" s="177" t="str">
        <f t="shared" si="6"/>
        <v/>
      </c>
    </row>
    <row r="66" spans="1:64" ht="15.75" x14ac:dyDescent="0.3">
      <c r="A66" s="150">
        <v>61</v>
      </c>
      <c r="B66" s="10" t="s">
        <v>57</v>
      </c>
      <c r="C66">
        <v>338404593.927185</v>
      </c>
      <c r="E66" s="10" t="s">
        <v>377</v>
      </c>
      <c r="F66" s="151">
        <f>IF(ISNUMBER(L49),L49/SUM($I$43:$AI$71),0)</f>
        <v>9.4392553144430572E-3</v>
      </c>
      <c r="H66" s="160" t="s">
        <v>335</v>
      </c>
      <c r="I66" s="177" t="str">
        <f>IF(AND(ISNUMBER(I97),I97&gt;0.8*'Ratio_M+Cl'!C90,I97&lt;1.2*'Ratio_M+Cl'!C90),I129/'Ratio_M+Cl'!C122,IF(OR(I129="N/A",I161="N/A"),"N/A",""))</f>
        <v/>
      </c>
      <c r="J66" s="177">
        <f>IF(AND(ISNUMBER(J97),J97&gt;0.8*'Ratio_M+Cl'!D90,J97&lt;1.2*'Ratio_M+Cl'!D90),J129/'Ratio_M+Cl'!D122,IF(OR(J129="N/A",J161="N/A"),"N/A",""))</f>
        <v>20.153436208053932</v>
      </c>
      <c r="K66" s="177">
        <f>IF(AND(ISNUMBER(K97),K97&gt;0.8*'Ratio_M+Cl'!E90,K97&lt;1.2*'Ratio_M+Cl'!E90),K129/'Ratio_M+Cl'!E122,IF(OR(K129="N/A",K161="N/A"),"N/A",""))</f>
        <v>37.869995944365343</v>
      </c>
      <c r="L66" s="177" t="str">
        <f>IF(AND(ISNUMBER(L97),L97&gt;0.8*'Ratio_M+Cl'!F90,L97&lt;1.2*'Ratio_M+Cl'!F90),L129/'Ratio_M+Cl'!F122,IF(OR(L129="N/A",L161="N/A"),"N/A",""))</f>
        <v/>
      </c>
      <c r="M66" s="177">
        <f>IF(AND(ISNUMBER(M97),M97&gt;0.8*'Ratio_M+Cl'!G90,M97&lt;1.2*'Ratio_M+Cl'!G90),M129/'Ratio_M+Cl'!G122,IF(OR(M129="N/A",M161="N/A"),"N/A",""))</f>
        <v>69.087370264368772</v>
      </c>
      <c r="N66" s="177">
        <f>IF(AND(ISNUMBER(N97),N97&gt;0.8*'Ratio_M+Cl'!H90,N97&lt;1.2*'Ratio_M+Cl'!H90),N129/'Ratio_M+Cl'!H122,IF(OR(N129="N/A",N161="N/A"),"N/A",""))</f>
        <v>69.545954768121248</v>
      </c>
      <c r="O66" s="177">
        <f>IF(AND(ISNUMBER(O97),O97&gt;0.8*'Ratio_M+Cl'!I90,O97&lt;1.2*'Ratio_M+Cl'!I90),O129/'Ratio_M+Cl'!I122,IF(OR(O129="N/A",O161="N/A"),"N/A",""))</f>
        <v>47.748368134432738</v>
      </c>
      <c r="P66" s="177">
        <f>IF(AND(ISNUMBER(P97),P97&gt;0.8*'Ratio_M+Cl'!J90,P97&lt;1.2*'Ratio_M+Cl'!J90),P129/'Ratio_M+Cl'!J122,IF(OR(P129="N/A",P161="N/A"),"N/A",""))</f>
        <v>20.131966536831172</v>
      </c>
      <c r="Q66" s="177" t="str">
        <f>IF(AND(ISNUMBER(Q97),Q97&gt;0.8*'Ratio_M+Cl'!K90,Q97&lt;1.2*'Ratio_M+Cl'!K90),Q129/'Ratio_M+Cl'!K122,IF(OR(Q129="N/A",Q161="N/A"),"N/A",""))</f>
        <v/>
      </c>
      <c r="R66" s="186" t="str">
        <f>IF(AND(ISNUMBER(R97),R97&gt;0.8*'Ratio_M+Cl'!L90,R97&lt;1.2*'Ratio_M+Cl'!L90),R129/'Ratio_M+Cl'!L122,IF(OR(R129="N/A",R161="N/A"),"N/A",""))</f>
        <v/>
      </c>
      <c r="S66" s="186" t="str">
        <f>IF(AND(ISNUMBER(S97),S97&gt;0.8*'Ratio_M+Cl'!M90,S97&lt;1.2*'Ratio_M+Cl'!M90),S129/'Ratio_M+Cl'!M122,IF(OR(S129="N/A",S161="N/A"),"N/A",""))</f>
        <v/>
      </c>
      <c r="T66" s="186" t="str">
        <f>IF(AND(ISNUMBER(T97),T97&gt;0.8*'Ratio_M+Cl'!N90,T97&lt;1.2*'Ratio_M+Cl'!N90),T129/'Ratio_M+Cl'!N122,IF(OR(T129="N/A",T161="N/A"),"N/A",""))</f>
        <v/>
      </c>
      <c r="U66" s="186" t="str">
        <f>IF(AND(ISNUMBER(U97),U97&gt;0.8*'Ratio_M+Cl'!O90,U97&lt;1.2*'Ratio_M+Cl'!O90),U129/'Ratio_M+Cl'!O122,IF(OR(U129="N/A",U161="N/A"),"N/A",""))</f>
        <v/>
      </c>
      <c r="V66" s="186" t="str">
        <f>IF(AND(ISNUMBER(V97),V97&gt;0.8*'Ratio_M+Cl'!P90,V97&lt;1.2*'Ratio_M+Cl'!P90),V129/'Ratio_M+Cl'!P122,IF(OR(V129="N/A",V161="N/A"),"N/A",""))</f>
        <v/>
      </c>
      <c r="W66" s="186" t="str">
        <f>IF(AND(ISNUMBER(W97),W97&gt;0.8*'Ratio_M+Cl'!Q90,W97&lt;1.2*'Ratio_M+Cl'!Q90),W129/'Ratio_M+Cl'!Q122,IF(OR(W129="N/A",W161="N/A"),"N/A",""))</f>
        <v/>
      </c>
      <c r="X66" s="183" t="str">
        <f>IF(AND(ISNUMBER(X97),X97&gt;0.8*'Ratio_M+Cl'!R90,X97&lt;1.2*'Ratio_M+Cl'!R90),X129/'Ratio_M+Cl'!R122,IF(OR(X129="N/A",X161="N/A"),"N/A",""))</f>
        <v/>
      </c>
      <c r="Y66" s="183" t="str">
        <f>IF(AND(ISNUMBER(Y97),Y97&gt;0.8*'Ratio_M+Cl'!S90,Y97&lt;1.2*'Ratio_M+Cl'!S90),Y129/'Ratio_M+Cl'!S122,IF(OR(Y129="N/A",Y161="N/A"),"N/A",""))</f>
        <v/>
      </c>
      <c r="Z66" s="183" t="str">
        <f>IF(AND(ISNUMBER(Z97),Z97&gt;0.8*'Ratio_M+Cl'!T90,Z97&lt;1.2*'Ratio_M+Cl'!T90),Z129/'Ratio_M+Cl'!T122,IF(OR(Z129="N/A",Z161="N/A"),"N/A",""))</f>
        <v/>
      </c>
      <c r="AA66" s="183" t="str">
        <f>IF(AND(ISNUMBER(AA97),AA97&gt;0.8*'Ratio_M+Cl'!U90,AA97&lt;1.2*'Ratio_M+Cl'!U90),AA129/'Ratio_M+Cl'!U122,IF(OR(AA129="N/A",AA161="N/A"),"N/A",""))</f>
        <v/>
      </c>
      <c r="AB66" s="183" t="str">
        <f>IF(AND(ISNUMBER(AB97),AB97&gt;0.8*'Ratio_M+Cl'!V90,AB97&lt;1.2*'Ratio_M+Cl'!V90),AB129/'Ratio_M+Cl'!V122,IF(OR(AB129="N/A",AB161="N/A"),"N/A",""))</f>
        <v/>
      </c>
      <c r="AC66" s="183">
        <f>IF(AND(ISNUMBER(AC97),AC97&gt;0.8*'Ratio_M+Cl'!W90,AC97&lt;1.2*'Ratio_M+Cl'!W90),AC129/'Ratio_M+Cl'!W122,IF(OR(AC129="N/A",AC161="N/A"),"N/A",""))</f>
        <v>17.331131051946151</v>
      </c>
      <c r="AD66" s="183">
        <f>IF(AND(ISNUMBER(AD97),AD97&gt;0.8*'Ratio_M+Cl'!X90,AD97&lt;1.2*'Ratio_M+Cl'!X90),AD129/'Ratio_M+Cl'!X122,IF(OR(AD129="N/A",AD161="N/A"),"N/A",""))</f>
        <v>58.884111845334743</v>
      </c>
      <c r="AE66" s="183">
        <f>IF(AND(ISNUMBER(AE97),AE97&gt;0.8*'Ratio_M+Cl'!Y90,AE97&lt;1.2*'Ratio_M+Cl'!Y90),AE129/'Ratio_M+Cl'!Y122,IF(OR(AE129="N/A",AE161="N/A"),"N/A",""))</f>
        <v>104.14500648472466</v>
      </c>
      <c r="AF66" s="183">
        <f>IF(AND(ISNUMBER(AF97),AF97&gt;0.8*'Ratio_M+Cl'!Z90,AF97&lt;1.2*'Ratio_M+Cl'!Z90),AF129/'Ratio_M+Cl'!Z122,IF(OR(AF129="N/A",AF161="N/A"),"N/A",""))</f>
        <v>106.97398337441882</v>
      </c>
      <c r="AG66" s="183">
        <f>IF(AND(ISNUMBER(AG97),AG97&gt;0.8*'Ratio_M+Cl'!AA90,AG97&lt;1.2*'Ratio_M+Cl'!AA90),AG129/'Ratio_M+Cl'!AA122,IF(OR(AG129="N/A",AG161="N/A"),"N/A",""))</f>
        <v>74.776776934945843</v>
      </c>
      <c r="AH66" s="183">
        <f>IF(AND(ISNUMBER(AH97),AH97&gt;0.8*'Ratio_M+Cl'!AB90,AH97&lt;1.2*'Ratio_M+Cl'!AB90),AH129/'Ratio_M+Cl'!AB122,IF(OR(AH129="N/A",AH161="N/A"),"N/A",""))</f>
        <v>37.033314202011141</v>
      </c>
      <c r="AI66" s="188" t="str">
        <f>IF(AND(ISNUMBER(AI97),AI97&gt;0.8*'Ratio_M+Cl'!AC90,AI97&lt;1.2*'Ratio_M+Cl'!AC90),AI129/'Ratio_M+Cl'!AC122,IF(OR(AI129="N/A",AI161="N/A"),"N/A",""))</f>
        <v/>
      </c>
      <c r="AK66" s="160" t="s">
        <v>335</v>
      </c>
      <c r="AL66" s="177" t="str">
        <f t="shared" si="1"/>
        <v/>
      </c>
      <c r="AM66" s="177">
        <f t="shared" si="7"/>
        <v>0.17688737819713027</v>
      </c>
      <c r="AN66" s="177">
        <f t="shared" si="8"/>
        <v>0.3323862107573361</v>
      </c>
      <c r="AO66" s="177" t="str">
        <f t="shared" si="9"/>
        <v/>
      </c>
      <c r="AP66" s="177">
        <f t="shared" si="10"/>
        <v>0.60638214081402209</v>
      </c>
      <c r="AQ66" s="177">
        <f t="shared" si="11"/>
        <v>0.61040715221719855</v>
      </c>
      <c r="AR66" s="177">
        <f t="shared" si="12"/>
        <v>0.41908901118886582</v>
      </c>
      <c r="AS66" s="177">
        <f t="shared" si="13"/>
        <v>0.17669893818054239</v>
      </c>
      <c r="AT66" s="177" t="str">
        <f t="shared" si="14"/>
        <v/>
      </c>
      <c r="AU66" s="177" t="str">
        <f t="shared" si="15"/>
        <v/>
      </c>
      <c r="AV66" s="177" t="str">
        <f t="shared" si="16"/>
        <v/>
      </c>
      <c r="AW66" s="177" t="str">
        <f t="shared" si="17"/>
        <v/>
      </c>
      <c r="AX66" s="177" t="str">
        <f t="shared" si="18"/>
        <v/>
      </c>
      <c r="AY66" s="177" t="str">
        <f t="shared" si="19"/>
        <v/>
      </c>
      <c r="AZ66" s="177" t="str">
        <f t="shared" si="20"/>
        <v/>
      </c>
      <c r="BA66" s="177" t="str">
        <f t="shared" si="21"/>
        <v/>
      </c>
      <c r="BB66" s="177" t="str">
        <f t="shared" si="22"/>
        <v/>
      </c>
      <c r="BC66" s="177" t="str">
        <f t="shared" si="23"/>
        <v/>
      </c>
      <c r="BD66" s="177" t="str">
        <f t="shared" si="24"/>
        <v/>
      </c>
      <c r="BE66" s="177" t="str">
        <f t="shared" si="25"/>
        <v/>
      </c>
      <c r="BF66" s="177">
        <f t="shared" si="26"/>
        <v>0.15211591221076712</v>
      </c>
      <c r="BG66" s="177">
        <f t="shared" si="27"/>
        <v>0.51682780317260979</v>
      </c>
      <c r="BH66" s="177">
        <f t="shared" si="2"/>
        <v>0.91408417697246602</v>
      </c>
      <c r="BI66" s="177">
        <f t="shared" si="3"/>
        <v>0.93891420098585465</v>
      </c>
      <c r="BJ66" s="177">
        <f t="shared" si="4"/>
        <v>0.65631825191022608</v>
      </c>
      <c r="BK66" s="177">
        <f t="shared" si="5"/>
        <v>0.32504262734741129</v>
      </c>
      <c r="BL66" s="177" t="str">
        <f t="shared" si="6"/>
        <v/>
      </c>
    </row>
    <row r="67" spans="1:64" ht="15.75" x14ac:dyDescent="0.3">
      <c r="A67" s="150">
        <v>62</v>
      </c>
      <c r="B67" s="10" t="s">
        <v>58</v>
      </c>
      <c r="C67">
        <v>322192375.52034003</v>
      </c>
      <c r="E67" s="10" t="s">
        <v>378</v>
      </c>
      <c r="F67" s="151">
        <f>IF(ISNUMBER(M49),M49/SUM($I$43:$AI$71),0)</f>
        <v>4.6413882749774702E-3</v>
      </c>
      <c r="H67" s="160" t="s">
        <v>336</v>
      </c>
      <c r="I67" s="177" t="str">
        <f>IF(AND(ISNUMBER(I98),I98&gt;0.8*'Ratio_M+Cl'!C91,I98&lt;1.2*'Ratio_M+Cl'!C91),I130/'Ratio_M+Cl'!C123,IF(OR(I130="N/A",I162="N/A"),"N/A",""))</f>
        <v/>
      </c>
      <c r="J67" s="177">
        <f>IF(AND(ISNUMBER(J98),J98&gt;0.8*'Ratio_M+Cl'!D91,J98&lt;1.2*'Ratio_M+Cl'!D91),J130/'Ratio_M+Cl'!D123,IF(OR(J130="N/A",J162="N/A"),"N/A",""))</f>
        <v>17.924791810837569</v>
      </c>
      <c r="K67" s="177">
        <f>IF(AND(ISNUMBER(K98),K98&gt;0.8*'Ratio_M+Cl'!E91,K98&lt;1.2*'Ratio_M+Cl'!E91),K130/'Ratio_M+Cl'!E123,IF(OR(K130="N/A",K162="N/A"),"N/A",""))</f>
        <v>29.309054848965829</v>
      </c>
      <c r="L67" s="177" t="str">
        <f>IF(AND(ISNUMBER(L98),L98&gt;0.8*'Ratio_M+Cl'!F91,L98&lt;1.2*'Ratio_M+Cl'!F91),L130/'Ratio_M+Cl'!F123,IF(OR(L130="N/A",L162="N/A"),"N/A",""))</f>
        <v/>
      </c>
      <c r="M67" s="177" t="str">
        <f>IF(AND(ISNUMBER(M98),M98&gt;0.8*'Ratio_M+Cl'!G91,M98&lt;1.2*'Ratio_M+Cl'!G91),M130/'Ratio_M+Cl'!G123,IF(OR(M130="N/A",M162="N/A"),"N/A",""))</f>
        <v/>
      </c>
      <c r="N67" s="177">
        <f>IF(AND(ISNUMBER(N98),N98&gt;0.8*'Ratio_M+Cl'!H91,N98&lt;1.2*'Ratio_M+Cl'!H91),N130/'Ratio_M+Cl'!H123,IF(OR(N130="N/A",N162="N/A"),"N/A",""))</f>
        <v>42.387743554760767</v>
      </c>
      <c r="O67" s="177">
        <f>IF(AND(ISNUMBER(O98),O98&gt;0.8*'Ratio_M+Cl'!I91,O98&lt;1.2*'Ratio_M+Cl'!I91),O130/'Ratio_M+Cl'!I123,IF(OR(O130="N/A",O162="N/A"),"N/A",""))</f>
        <v>30.008506257572364</v>
      </c>
      <c r="P67" s="177">
        <f>IF(AND(ISNUMBER(P98),P98&gt;0.8*'Ratio_M+Cl'!J91,P98&lt;1.2*'Ratio_M+Cl'!J91),P130/'Ratio_M+Cl'!J123,IF(OR(P130="N/A",P162="N/A"),"N/A",""))</f>
        <v>12.999087185815146</v>
      </c>
      <c r="Q67" s="177" t="str">
        <f>IF(AND(ISNUMBER(Q98),Q98&gt;0.8*'Ratio_M+Cl'!K91,Q98&lt;1.2*'Ratio_M+Cl'!K91),Q130/'Ratio_M+Cl'!K123,IF(OR(Q130="N/A",Q162="N/A"),"N/A",""))</f>
        <v/>
      </c>
      <c r="R67" s="186" t="str">
        <f>IF(AND(ISNUMBER(R98),R98&gt;0.8*'Ratio_M+Cl'!L91,R98&lt;1.2*'Ratio_M+Cl'!L91),R130/'Ratio_M+Cl'!L123,IF(OR(R130="N/A",R162="N/A"),"N/A",""))</f>
        <v/>
      </c>
      <c r="S67" s="186" t="str">
        <f>IF(AND(ISNUMBER(S98),S98&gt;0.8*'Ratio_M+Cl'!M91,S98&lt;1.2*'Ratio_M+Cl'!M91),S130/'Ratio_M+Cl'!M123,IF(OR(S130="N/A",S162="N/A"),"N/A",""))</f>
        <v/>
      </c>
      <c r="T67" s="186" t="str">
        <f>IF(AND(ISNUMBER(T98),T98&gt;0.8*'Ratio_M+Cl'!N91,T98&lt;1.2*'Ratio_M+Cl'!N91),T130/'Ratio_M+Cl'!N123,IF(OR(T130="N/A",T162="N/A"),"N/A",""))</f>
        <v/>
      </c>
      <c r="U67" s="186" t="str">
        <f>IF(AND(ISNUMBER(U98),U98&gt;0.8*'Ratio_M+Cl'!O91,U98&lt;1.2*'Ratio_M+Cl'!O91),U130/'Ratio_M+Cl'!O123,IF(OR(U130="N/A",U162="N/A"),"N/A",""))</f>
        <v/>
      </c>
      <c r="V67" s="186" t="str">
        <f>IF(AND(ISNUMBER(V98),V98&gt;0.8*'Ratio_M+Cl'!P91,V98&lt;1.2*'Ratio_M+Cl'!P91),V130/'Ratio_M+Cl'!P123,IF(OR(V130="N/A",V162="N/A"),"N/A",""))</f>
        <v/>
      </c>
      <c r="W67" s="186" t="str">
        <f>IF(AND(ISNUMBER(W98),W98&gt;0.8*'Ratio_M+Cl'!Q91,W98&lt;1.2*'Ratio_M+Cl'!Q91),W130/'Ratio_M+Cl'!Q123,IF(OR(W130="N/A",W162="N/A"),"N/A",""))</f>
        <v/>
      </c>
      <c r="X67" s="183" t="str">
        <f>IF(AND(ISNUMBER(X98),X98&gt;0.8*'Ratio_M+Cl'!R91,X98&lt;1.2*'Ratio_M+Cl'!R91),X130/'Ratio_M+Cl'!R123,IF(OR(X130="N/A",X162="N/A"),"N/A",""))</f>
        <v/>
      </c>
      <c r="Y67" s="183" t="str">
        <f>IF(AND(ISNUMBER(Y98),Y98&gt;0.8*'Ratio_M+Cl'!S91,Y98&lt;1.2*'Ratio_M+Cl'!S91),Y130/'Ratio_M+Cl'!S123,IF(OR(Y130="N/A",Y162="N/A"),"N/A",""))</f>
        <v/>
      </c>
      <c r="Z67" s="183" t="str">
        <f>IF(AND(ISNUMBER(Z98),Z98&gt;0.8*'Ratio_M+Cl'!T91,Z98&lt;1.2*'Ratio_M+Cl'!T91),Z130/'Ratio_M+Cl'!T123,IF(OR(Z130="N/A",Z162="N/A"),"N/A",""))</f>
        <v/>
      </c>
      <c r="AA67" s="183" t="str">
        <f>IF(AND(ISNUMBER(AA98),AA98&gt;0.8*'Ratio_M+Cl'!U91,AA98&lt;1.2*'Ratio_M+Cl'!U91),AA130/'Ratio_M+Cl'!U123,IF(OR(AA130="N/A",AA162="N/A"),"N/A",""))</f>
        <v/>
      </c>
      <c r="AB67" s="183" t="str">
        <f>IF(AND(ISNUMBER(AB98),AB98&gt;0.8*'Ratio_M+Cl'!V91,AB98&lt;1.2*'Ratio_M+Cl'!V91),AB130/'Ratio_M+Cl'!V123,IF(OR(AB130="N/A",AB162="N/A"),"N/A",""))</f>
        <v/>
      </c>
      <c r="AC67" s="183" t="str">
        <f>IF(AND(ISNUMBER(AC98),AC98&gt;0.8*'Ratio_M+Cl'!W91,AC98&lt;1.2*'Ratio_M+Cl'!W91),AC130/'Ratio_M+Cl'!W123,IF(OR(AC130="N/A",AC162="N/A"),"N/A",""))</f>
        <v/>
      </c>
      <c r="AD67" s="183">
        <f>IF(AND(ISNUMBER(AD98),AD98&gt;0.8*'Ratio_M+Cl'!X91,AD98&lt;1.2*'Ratio_M+Cl'!X91),AD130/'Ratio_M+Cl'!X123,IF(OR(AD130="N/A",AD162="N/A"),"N/A",""))</f>
        <v>13.929502100483347</v>
      </c>
      <c r="AE67" s="183">
        <f>IF(AND(ISNUMBER(AE98),AE98&gt;0.8*'Ratio_M+Cl'!Y91,AE98&lt;1.2*'Ratio_M+Cl'!Y91),AE130/'Ratio_M+Cl'!Y123,IF(OR(AE130="N/A",AE162="N/A"),"N/A",""))</f>
        <v>27.906037136925303</v>
      </c>
      <c r="AF67" s="183">
        <f>IF(AND(ISNUMBER(AF98),AF98&gt;0.8*'Ratio_M+Cl'!Z91,AF98&lt;1.2*'Ratio_M+Cl'!Z91),AF130/'Ratio_M+Cl'!Z123,IF(OR(AF130="N/A",AF162="N/A"),"N/A",""))</f>
        <v>65.204439473697064</v>
      </c>
      <c r="AG67" s="183">
        <f>IF(AND(ISNUMBER(AG98),AG98&gt;0.8*'Ratio_M+Cl'!AA91,AG98&lt;1.2*'Ratio_M+Cl'!AA91),AG130/'Ratio_M+Cl'!AA123,IF(OR(AG130="N/A",AG162="N/A"),"N/A",""))</f>
        <v>68.471928035741712</v>
      </c>
      <c r="AH67" s="183">
        <f>IF(AND(ISNUMBER(AH98),AH98&gt;0.8*'Ratio_M+Cl'!AB91,AH98&lt;1.2*'Ratio_M+Cl'!AB91),AH130/'Ratio_M+Cl'!AB123,IF(OR(AH130="N/A",AH162="N/A"),"N/A",""))</f>
        <v>45.516262064406149</v>
      </c>
      <c r="AI67" s="188" t="str">
        <f>IF(AND(ISNUMBER(AI98),AI98&gt;0.8*'Ratio_M+Cl'!AC91,AI98&lt;1.2*'Ratio_M+Cl'!AC91),AI130/'Ratio_M+Cl'!AC123,IF(OR(AI130="N/A",AI162="N/A"),"N/A",""))</f>
        <v/>
      </c>
      <c r="AK67" s="160" t="s">
        <v>336</v>
      </c>
      <c r="AL67" s="177" t="str">
        <f t="shared" si="1"/>
        <v/>
      </c>
      <c r="AM67" s="177">
        <f t="shared" si="7"/>
        <v>0.15732649238651181</v>
      </c>
      <c r="AN67" s="177">
        <f t="shared" si="8"/>
        <v>0.25724654675005781</v>
      </c>
      <c r="AO67" s="177" t="str">
        <f t="shared" si="9"/>
        <v/>
      </c>
      <c r="AP67" s="177" t="str">
        <f t="shared" si="10"/>
        <v/>
      </c>
      <c r="AQ67" s="177">
        <f t="shared" si="11"/>
        <v>0.3720386314120252</v>
      </c>
      <c r="AR67" s="177">
        <f t="shared" si="12"/>
        <v>0.26338565496800309</v>
      </c>
      <c r="AS67" s="177">
        <f t="shared" si="13"/>
        <v>0.11409341948028957</v>
      </c>
      <c r="AT67" s="177" t="str">
        <f t="shared" si="14"/>
        <v/>
      </c>
      <c r="AU67" s="177" t="str">
        <f t="shared" si="15"/>
        <v/>
      </c>
      <c r="AV67" s="177" t="str">
        <f t="shared" si="16"/>
        <v/>
      </c>
      <c r="AW67" s="177" t="str">
        <f t="shared" si="17"/>
        <v/>
      </c>
      <c r="AX67" s="177" t="str">
        <f t="shared" si="18"/>
        <v/>
      </c>
      <c r="AY67" s="177" t="str">
        <f t="shared" si="19"/>
        <v/>
      </c>
      <c r="AZ67" s="177" t="str">
        <f t="shared" si="20"/>
        <v/>
      </c>
      <c r="BA67" s="177" t="str">
        <f t="shared" si="21"/>
        <v/>
      </c>
      <c r="BB67" s="177" t="str">
        <f t="shared" si="22"/>
        <v/>
      </c>
      <c r="BC67" s="177" t="str">
        <f t="shared" si="23"/>
        <v/>
      </c>
      <c r="BD67" s="177" t="str">
        <f t="shared" si="24"/>
        <v/>
      </c>
      <c r="BE67" s="177" t="str">
        <f t="shared" si="25"/>
        <v/>
      </c>
      <c r="BF67" s="177" t="str">
        <f t="shared" si="26"/>
        <v/>
      </c>
      <c r="BG67" s="177">
        <f t="shared" si="27"/>
        <v>0.12225970205325318</v>
      </c>
      <c r="BH67" s="177">
        <f t="shared" si="2"/>
        <v>0.24493221374575325</v>
      </c>
      <c r="BI67" s="177">
        <f t="shared" si="3"/>
        <v>0.57230152844637305</v>
      </c>
      <c r="BJ67" s="177">
        <f t="shared" si="4"/>
        <v>0.60098038395579789</v>
      </c>
      <c r="BK67" s="177">
        <f t="shared" si="5"/>
        <v>0.39949774216114947</v>
      </c>
      <c r="BL67" s="177" t="str">
        <f t="shared" si="6"/>
        <v/>
      </c>
    </row>
    <row r="68" spans="1:64" ht="15.75" x14ac:dyDescent="0.3">
      <c r="A68" s="150">
        <v>63</v>
      </c>
      <c r="B68" s="10" t="s">
        <v>59</v>
      </c>
      <c r="C68">
        <v>209487150.22248799</v>
      </c>
      <c r="E68" s="10" t="s">
        <v>379</v>
      </c>
      <c r="F68" s="151">
        <f>IF(ISNUMBER(N49),N49/SUM($I$43:$AI$71),0)</f>
        <v>2.0998955380263206E-3</v>
      </c>
      <c r="H68" s="160" t="s">
        <v>337</v>
      </c>
      <c r="I68" s="177" t="str">
        <f>IF(AND(ISNUMBER(I99),I99&gt;0.8*'Ratio_M+Cl'!C92,I99&lt;1.2*'Ratio_M+Cl'!C92),I131/'Ratio_M+Cl'!C124,IF(OR(I131="N/A",I163="N/A"),"N/A",""))</f>
        <v/>
      </c>
      <c r="J68" s="177">
        <f>IF(AND(ISNUMBER(J99),J99&gt;0.8*'Ratio_M+Cl'!D92,J99&lt;1.2*'Ratio_M+Cl'!D92),J131/'Ratio_M+Cl'!D124,IF(OR(J131="N/A",J163="N/A"),"N/A",""))</f>
        <v>12.61754930848058</v>
      </c>
      <c r="K68" s="177">
        <f>IF(AND(ISNUMBER(K99),K99&gt;0.8*'Ratio_M+Cl'!E92,K99&lt;1.2*'Ratio_M+Cl'!E92),K131/'Ratio_M+Cl'!E124,IF(OR(K131="N/A",K163="N/A"),"N/A",""))</f>
        <v>23.309383964555991</v>
      </c>
      <c r="L68" s="177" t="str">
        <f>IF(AND(ISNUMBER(L99),L99&gt;0.8*'Ratio_M+Cl'!F92,L99&lt;1.2*'Ratio_M+Cl'!F92),L131/'Ratio_M+Cl'!F124,IF(OR(L131="N/A",L163="N/A"),"N/A",""))</f>
        <v/>
      </c>
      <c r="M68" s="177" t="str">
        <f>IF(AND(ISNUMBER(M99),M99&gt;0.8*'Ratio_M+Cl'!G92,M99&lt;1.2*'Ratio_M+Cl'!G92),M131/'Ratio_M+Cl'!G124,IF(OR(M131="N/A",M163="N/A"),"N/A",""))</f>
        <v/>
      </c>
      <c r="N68" s="177">
        <f>IF(AND(ISNUMBER(N99),N99&gt;0.8*'Ratio_M+Cl'!H92,N99&lt;1.2*'Ratio_M+Cl'!H92),N131/'Ratio_M+Cl'!H124,IF(OR(N131="N/A",N163="N/A"),"N/A",""))</f>
        <v>28.65283105864982</v>
      </c>
      <c r="O68" s="177">
        <f>IF(AND(ISNUMBER(O99),O99&gt;0.8*'Ratio_M+Cl'!I92,O99&lt;1.2*'Ratio_M+Cl'!I92),O131/'Ratio_M+Cl'!I124,IF(OR(O131="N/A",O163="N/A"),"N/A",""))</f>
        <v>18.740564245766027</v>
      </c>
      <c r="P68" s="177" t="str">
        <f>IF(AND(ISNUMBER(P99),P99&gt;0.8*'Ratio_M+Cl'!J92,P99&lt;1.2*'Ratio_M+Cl'!J92),P131/'Ratio_M+Cl'!J124,IF(OR(P131="N/A",P163="N/A"),"N/A",""))</f>
        <v/>
      </c>
      <c r="Q68" s="177" t="str">
        <f>IF(AND(ISNUMBER(Q99),Q99&gt;0.8*'Ratio_M+Cl'!K92,Q99&lt;1.2*'Ratio_M+Cl'!K92),Q131/'Ratio_M+Cl'!K124,IF(OR(Q131="N/A",Q163="N/A"),"N/A",""))</f>
        <v/>
      </c>
      <c r="R68" s="186" t="str">
        <f>IF(AND(ISNUMBER(R99),R99&gt;0.8*'Ratio_M+Cl'!L92,R99&lt;1.2*'Ratio_M+Cl'!L92),R131/'Ratio_M+Cl'!L124,IF(OR(R131="N/A",R163="N/A"),"N/A",""))</f>
        <v/>
      </c>
      <c r="S68" s="186" t="str">
        <f>IF(AND(ISNUMBER(S99),S99&gt;0.8*'Ratio_M+Cl'!M92,S99&lt;1.2*'Ratio_M+Cl'!M92),S131/'Ratio_M+Cl'!M124,IF(OR(S131="N/A",S163="N/A"),"N/A",""))</f>
        <v/>
      </c>
      <c r="T68" s="186" t="str">
        <f>IF(AND(ISNUMBER(T99),T99&gt;0.8*'Ratio_M+Cl'!N92,T99&lt;1.2*'Ratio_M+Cl'!N92),T131/'Ratio_M+Cl'!N124,IF(OR(T131="N/A",T163="N/A"),"N/A",""))</f>
        <v/>
      </c>
      <c r="U68" s="186" t="str">
        <f>IF(AND(ISNUMBER(U99),U99&gt;0.8*'Ratio_M+Cl'!O92,U99&lt;1.2*'Ratio_M+Cl'!O92),U131/'Ratio_M+Cl'!O124,IF(OR(U131="N/A",U163="N/A"),"N/A",""))</f>
        <v/>
      </c>
      <c r="V68" s="186" t="str">
        <f>IF(AND(ISNUMBER(V99),V99&gt;0.8*'Ratio_M+Cl'!P92,V99&lt;1.2*'Ratio_M+Cl'!P92),V131/'Ratio_M+Cl'!P124,IF(OR(V131="N/A",V163="N/A"),"N/A",""))</f>
        <v/>
      </c>
      <c r="W68" s="186" t="str">
        <f>IF(AND(ISNUMBER(W99),W99&gt;0.8*'Ratio_M+Cl'!Q92,W99&lt;1.2*'Ratio_M+Cl'!Q92),W131/'Ratio_M+Cl'!Q124,IF(OR(W131="N/A",W163="N/A"),"N/A",""))</f>
        <v/>
      </c>
      <c r="X68" s="183" t="str">
        <f>IF(AND(ISNUMBER(X99),X99&gt;0.8*'Ratio_M+Cl'!R92,X99&lt;1.2*'Ratio_M+Cl'!R92),X131/'Ratio_M+Cl'!R124,IF(OR(X131="N/A",X163="N/A"),"N/A",""))</f>
        <v/>
      </c>
      <c r="Y68" s="183" t="str">
        <f>IF(AND(ISNUMBER(Y99),Y99&gt;0.8*'Ratio_M+Cl'!S92,Y99&lt;1.2*'Ratio_M+Cl'!S92),Y131/'Ratio_M+Cl'!S124,IF(OR(Y131="N/A",Y163="N/A"),"N/A",""))</f>
        <v/>
      </c>
      <c r="Z68" s="183" t="str">
        <f>IF(AND(ISNUMBER(Z99),Z99&gt;0.8*'Ratio_M+Cl'!T92,Z99&lt;1.2*'Ratio_M+Cl'!T92),Z131/'Ratio_M+Cl'!T124,IF(OR(Z131="N/A",Z163="N/A"),"N/A",""))</f>
        <v/>
      </c>
      <c r="AA68" s="183" t="str">
        <f>IF(AND(ISNUMBER(AA99),AA99&gt;0.8*'Ratio_M+Cl'!U92,AA99&lt;1.2*'Ratio_M+Cl'!U92),AA131/'Ratio_M+Cl'!U124,IF(OR(AA131="N/A",AA163="N/A"),"N/A",""))</f>
        <v/>
      </c>
      <c r="AB68" s="183" t="str">
        <f>IF(AND(ISNUMBER(AB99),AB99&gt;0.8*'Ratio_M+Cl'!V92,AB99&lt;1.2*'Ratio_M+Cl'!V92),AB131/'Ratio_M+Cl'!V124,IF(OR(AB131="N/A",AB163="N/A"),"N/A",""))</f>
        <v/>
      </c>
      <c r="AC68" s="183" t="str">
        <f>IF(AND(ISNUMBER(AC99),AC99&gt;0.8*'Ratio_M+Cl'!W92,AC99&lt;1.2*'Ratio_M+Cl'!W92),AC131/'Ratio_M+Cl'!W124,IF(OR(AC131="N/A",AC163="N/A"),"N/A",""))</f>
        <v/>
      </c>
      <c r="AD68" s="183" t="str">
        <f>IF(AND(ISNUMBER(AD99),AD99&gt;0.8*'Ratio_M+Cl'!X92,AD99&lt;1.2*'Ratio_M+Cl'!X92),AD131/'Ratio_M+Cl'!X124,IF(OR(AD131="N/A",AD163="N/A"),"N/A",""))</f>
        <v/>
      </c>
      <c r="AE68" s="183" t="str">
        <f>IF(AND(ISNUMBER(AE99),AE99&gt;0.8*'Ratio_M+Cl'!Y92,AE99&lt;1.2*'Ratio_M+Cl'!Y92),AE131/'Ratio_M+Cl'!Y124,IF(OR(AE131="N/A",AE163="N/A"),"N/A",""))</f>
        <v/>
      </c>
      <c r="AF68" s="183" t="str">
        <f>IF(AND(ISNUMBER(AF99),AF99&gt;0.8*'Ratio_M+Cl'!Z92,AF99&lt;1.2*'Ratio_M+Cl'!Z92),AF131/'Ratio_M+Cl'!Z124,IF(OR(AF131="N/A",AF163="N/A"),"N/A",""))</f>
        <v/>
      </c>
      <c r="AG68" s="183">
        <f>IF(AND(ISNUMBER(AG99),AG99&gt;0.8*'Ratio_M+Cl'!AA92,AG99&lt;1.2*'Ratio_M+Cl'!AA92),AG131/'Ratio_M+Cl'!AA124,IF(OR(AG131="N/A",AG163="N/A"),"N/A",""))</f>
        <v>37.638064590360301</v>
      </c>
      <c r="AH68" s="183" t="str">
        <f>IF(AND(ISNUMBER(AH99),AH99&gt;0.8*'Ratio_M+Cl'!AB92,AH99&lt;1.2*'Ratio_M+Cl'!AB92),AH131/'Ratio_M+Cl'!AB124,IF(OR(AH131="N/A",AH163="N/A"),"N/A",""))</f>
        <v/>
      </c>
      <c r="AI68" s="188" t="str">
        <f>IF(AND(ISNUMBER(AI99),AI99&gt;0.8*'Ratio_M+Cl'!AC92,AI99&lt;1.2*'Ratio_M+Cl'!AC92),AI131/'Ratio_M+Cl'!AC124,IF(OR(AI131="N/A",AI163="N/A"),"N/A",""))</f>
        <v/>
      </c>
      <c r="AK68" s="160" t="s">
        <v>337</v>
      </c>
      <c r="AL68" s="177" t="str">
        <f t="shared" si="1"/>
        <v/>
      </c>
      <c r="AM68" s="177">
        <f t="shared" si="7"/>
        <v>0.1107446488732385</v>
      </c>
      <c r="AN68" s="177">
        <f t="shared" si="8"/>
        <v>0.20458723635589288</v>
      </c>
      <c r="AO68" s="177" t="str">
        <f t="shared" si="9"/>
        <v/>
      </c>
      <c r="AP68" s="177" t="str">
        <f t="shared" si="10"/>
        <v/>
      </c>
      <c r="AQ68" s="177">
        <f t="shared" si="11"/>
        <v>0.25148684877194361</v>
      </c>
      <c r="AR68" s="177">
        <f t="shared" si="12"/>
        <v>0.16448655411148544</v>
      </c>
      <c r="AS68" s="177" t="str">
        <f t="shared" si="13"/>
        <v/>
      </c>
      <c r="AT68" s="177" t="str">
        <f t="shared" si="14"/>
        <v/>
      </c>
      <c r="AU68" s="177" t="str">
        <f t="shared" si="15"/>
        <v/>
      </c>
      <c r="AV68" s="177" t="str">
        <f t="shared" si="16"/>
        <v/>
      </c>
      <c r="AW68" s="177" t="str">
        <f t="shared" si="17"/>
        <v/>
      </c>
      <c r="AX68" s="177" t="str">
        <f t="shared" si="18"/>
        <v/>
      </c>
      <c r="AY68" s="177" t="str">
        <f t="shared" si="19"/>
        <v/>
      </c>
      <c r="AZ68" s="177" t="str">
        <f t="shared" si="20"/>
        <v/>
      </c>
      <c r="BA68" s="177" t="str">
        <f t="shared" si="21"/>
        <v/>
      </c>
      <c r="BB68" s="177" t="str">
        <f t="shared" si="22"/>
        <v/>
      </c>
      <c r="BC68" s="177" t="str">
        <f t="shared" si="23"/>
        <v/>
      </c>
      <c r="BD68" s="177" t="str">
        <f t="shared" si="24"/>
        <v/>
      </c>
      <c r="BE68" s="177" t="str">
        <f t="shared" si="25"/>
        <v/>
      </c>
      <c r="BF68" s="177" t="str">
        <f t="shared" si="26"/>
        <v/>
      </c>
      <c r="BG68" s="177" t="str">
        <f t="shared" si="27"/>
        <v/>
      </c>
      <c r="BH68" s="177" t="str">
        <f t="shared" si="2"/>
        <v/>
      </c>
      <c r="BI68" s="177" t="str">
        <f t="shared" si="3"/>
        <v/>
      </c>
      <c r="BJ68" s="177">
        <f t="shared" si="4"/>
        <v>0.33035054156880994</v>
      </c>
      <c r="BK68" s="177" t="str">
        <f t="shared" si="5"/>
        <v/>
      </c>
      <c r="BL68" s="177" t="str">
        <f t="shared" si="6"/>
        <v/>
      </c>
    </row>
    <row r="69" spans="1:64" ht="15.75" x14ac:dyDescent="0.3">
      <c r="A69" s="150">
        <v>64</v>
      </c>
      <c r="B69" s="10" t="s">
        <v>60</v>
      </c>
      <c r="C69">
        <v>200576946.717316</v>
      </c>
      <c r="E69" s="10" t="s">
        <v>380</v>
      </c>
      <c r="F69" s="151">
        <f>IF(ISNUMBER(O49),O49/SUM($I$43:$AI$71),0)</f>
        <v>1.5604298803375501E-3</v>
      </c>
      <c r="H69" s="160" t="s">
        <v>338</v>
      </c>
      <c r="I69" s="177" t="str">
        <f>IF(AND(ISNUMBER(I100),I100&gt;0.8*'Ratio_M+Cl'!C93,I100&lt;1.2*'Ratio_M+Cl'!C93),I132/'Ratio_M+Cl'!C125,IF(OR(I132="N/A",I164="N/A"),"N/A",""))</f>
        <v/>
      </c>
      <c r="J69" s="177">
        <f>IF(AND(ISNUMBER(J100),J100&gt;0.8*'Ratio_M+Cl'!D93,J100&lt;1.2*'Ratio_M+Cl'!D93),J132/'Ratio_M+Cl'!D125,IF(OR(J132="N/A",J164="N/A"),"N/A",""))</f>
        <v>6.7513802269391592</v>
      </c>
      <c r="K69" s="177">
        <f>IF(AND(ISNUMBER(K100),K100&gt;0.8*'Ratio_M+Cl'!E93,K100&lt;1.2*'Ratio_M+Cl'!E93),K132/'Ratio_M+Cl'!E125,IF(OR(K132="N/A",K164="N/A"),"N/A",""))</f>
        <v>15.492717006717712</v>
      </c>
      <c r="L69" s="177" t="str">
        <f>IF(AND(ISNUMBER(L100),L100&gt;0.8*'Ratio_M+Cl'!F93,L100&lt;1.2*'Ratio_M+Cl'!F93),L132/'Ratio_M+Cl'!F125,IF(OR(L132="N/A",L164="N/A"),"N/A",""))</f>
        <v/>
      </c>
      <c r="M69" s="177" t="str">
        <f>IF(AND(ISNUMBER(M100),M100&gt;0.8*'Ratio_M+Cl'!G93,M100&lt;1.2*'Ratio_M+Cl'!G93),M132/'Ratio_M+Cl'!G125,IF(OR(M132="N/A",M164="N/A"),"N/A",""))</f>
        <v/>
      </c>
      <c r="N69" s="177">
        <f>IF(AND(ISNUMBER(N100),N100&gt;0.8*'Ratio_M+Cl'!H93,N100&lt;1.2*'Ratio_M+Cl'!H93),N132/'Ratio_M+Cl'!H125,IF(OR(N132="N/A",N164="N/A"),"N/A",""))</f>
        <v>18.346834134098692</v>
      </c>
      <c r="O69" s="177">
        <f>IF(AND(ISNUMBER(O100),O100&gt;0.8*'Ratio_M+Cl'!I93,O100&lt;1.2*'Ratio_M+Cl'!I93),O132/'Ratio_M+Cl'!I125,IF(OR(O132="N/A",O164="N/A"),"N/A",""))</f>
        <v>9.4276860286702</v>
      </c>
      <c r="P69" s="177" t="str">
        <f>IF(AND(ISNUMBER(P100),P100&gt;0.8*'Ratio_M+Cl'!J93,P100&lt;1.2*'Ratio_M+Cl'!J93),P132/'Ratio_M+Cl'!J125,IF(OR(P132="N/A",P164="N/A"),"N/A",""))</f>
        <v/>
      </c>
      <c r="Q69" s="177" t="str">
        <f>IF(AND(ISNUMBER(Q100),Q100&gt;0.8*'Ratio_M+Cl'!K93,Q100&lt;1.2*'Ratio_M+Cl'!K93),Q132/'Ratio_M+Cl'!K125,IF(OR(Q132="N/A",Q164="N/A"),"N/A",""))</f>
        <v/>
      </c>
      <c r="R69" s="186" t="str">
        <f>IF(AND(ISNUMBER(R100),R100&gt;0.8*'Ratio_M+Cl'!L93,R100&lt;1.2*'Ratio_M+Cl'!L93),R132/'Ratio_M+Cl'!L125,IF(OR(R132="N/A",R164="N/A"),"N/A",""))</f>
        <v/>
      </c>
      <c r="S69" s="186" t="str">
        <f>IF(AND(ISNUMBER(S100),S100&gt;0.8*'Ratio_M+Cl'!M93,S100&lt;1.2*'Ratio_M+Cl'!M93),S132/'Ratio_M+Cl'!M125,IF(OR(S132="N/A",S164="N/A"),"N/A",""))</f>
        <v/>
      </c>
      <c r="T69" s="186" t="str">
        <f>IF(AND(ISNUMBER(T100),T100&gt;0.8*'Ratio_M+Cl'!N93,T100&lt;1.2*'Ratio_M+Cl'!N93),T132/'Ratio_M+Cl'!N125,IF(OR(T132="N/A",T164="N/A"),"N/A",""))</f>
        <v/>
      </c>
      <c r="U69" s="186" t="str">
        <f>IF(AND(ISNUMBER(U100),U100&gt;0.8*'Ratio_M+Cl'!O93,U100&lt;1.2*'Ratio_M+Cl'!O93),U132/'Ratio_M+Cl'!O125,IF(OR(U132="N/A",U164="N/A"),"N/A",""))</f>
        <v/>
      </c>
      <c r="V69" s="186" t="str">
        <f>IF(AND(ISNUMBER(V100),V100&gt;0.8*'Ratio_M+Cl'!P93,V100&lt;1.2*'Ratio_M+Cl'!P93),V132/'Ratio_M+Cl'!P125,IF(OR(V132="N/A",V164="N/A"),"N/A",""))</f>
        <v/>
      </c>
      <c r="W69" s="186" t="str">
        <f>IF(AND(ISNUMBER(W100),W100&gt;0.8*'Ratio_M+Cl'!Q93,W100&lt;1.2*'Ratio_M+Cl'!Q93),W132/'Ratio_M+Cl'!Q125,IF(OR(W132="N/A",W164="N/A"),"N/A",""))</f>
        <v/>
      </c>
      <c r="X69" s="183" t="str">
        <f>IF(AND(ISNUMBER(X100),X100&gt;0.8*'Ratio_M+Cl'!R93,X100&lt;1.2*'Ratio_M+Cl'!R93),X132/'Ratio_M+Cl'!R125,IF(OR(X132="N/A",X164="N/A"),"N/A",""))</f>
        <v/>
      </c>
      <c r="Y69" s="183" t="str">
        <f>IF(AND(ISNUMBER(Y100),Y100&gt;0.8*'Ratio_M+Cl'!S93,Y100&lt;1.2*'Ratio_M+Cl'!S93),Y132/'Ratio_M+Cl'!S125,IF(OR(Y132="N/A",Y164="N/A"),"N/A",""))</f>
        <v/>
      </c>
      <c r="Z69" s="183" t="str">
        <f>IF(AND(ISNUMBER(Z100),Z100&gt;0.8*'Ratio_M+Cl'!T93,Z100&lt;1.2*'Ratio_M+Cl'!T93),Z132/'Ratio_M+Cl'!T125,IF(OR(Z132="N/A",Z164="N/A"),"N/A",""))</f>
        <v/>
      </c>
      <c r="AA69" s="183" t="str">
        <f>IF(AND(ISNUMBER(AA100),AA100&gt;0.8*'Ratio_M+Cl'!U93,AA100&lt;1.2*'Ratio_M+Cl'!U93),AA132/'Ratio_M+Cl'!U125,IF(OR(AA132="N/A",AA164="N/A"),"N/A",""))</f>
        <v/>
      </c>
      <c r="AB69" s="183" t="str">
        <f>IF(AND(ISNUMBER(AB100),AB100&gt;0.8*'Ratio_M+Cl'!V93,AB100&lt;1.2*'Ratio_M+Cl'!V93),AB132/'Ratio_M+Cl'!V125,IF(OR(AB132="N/A",AB164="N/A"),"N/A",""))</f>
        <v/>
      </c>
      <c r="AC69" s="183" t="str">
        <f>IF(AND(ISNUMBER(AC100),AC100&gt;0.8*'Ratio_M+Cl'!W93,AC100&lt;1.2*'Ratio_M+Cl'!W93),AC132/'Ratio_M+Cl'!W125,IF(OR(AC132="N/A",AC164="N/A"),"N/A",""))</f>
        <v/>
      </c>
      <c r="AD69" s="183" t="str">
        <f>IF(AND(ISNUMBER(AD100),AD100&gt;0.8*'Ratio_M+Cl'!X93,AD100&lt;1.2*'Ratio_M+Cl'!X93),AD132/'Ratio_M+Cl'!X125,IF(OR(AD132="N/A",AD164="N/A"),"N/A",""))</f>
        <v/>
      </c>
      <c r="AE69" s="183" t="str">
        <f>IF(AND(ISNUMBER(AE100),AE100&gt;0.8*'Ratio_M+Cl'!Y93,AE100&lt;1.2*'Ratio_M+Cl'!Y93),AE132/'Ratio_M+Cl'!Y125,IF(OR(AE132="N/A",AE164="N/A"),"N/A",""))</f>
        <v/>
      </c>
      <c r="AF69" s="183" t="str">
        <f>IF(AND(ISNUMBER(AF100),AF100&gt;0.8*'Ratio_M+Cl'!Z93,AF100&lt;1.2*'Ratio_M+Cl'!Z93),AF132/'Ratio_M+Cl'!Z125,IF(OR(AF132="N/A",AF164="N/A"),"N/A",""))</f>
        <v/>
      </c>
      <c r="AG69" s="183" t="str">
        <f>IF(AND(ISNUMBER(AG100),AG100&gt;0.8*'Ratio_M+Cl'!AA93,AG100&lt;1.2*'Ratio_M+Cl'!AA93),AG132/'Ratio_M+Cl'!AA125,IF(OR(AG132="N/A",AG164="N/A"),"N/A",""))</f>
        <v/>
      </c>
      <c r="AH69" s="183" t="str">
        <f>IF(AND(ISNUMBER(AH100),AH100&gt;0.8*'Ratio_M+Cl'!AB93,AH100&lt;1.2*'Ratio_M+Cl'!AB93),AH132/'Ratio_M+Cl'!AB125,IF(OR(AH132="N/A",AH164="N/A"),"N/A",""))</f>
        <v/>
      </c>
      <c r="AI69" s="188" t="str">
        <f>IF(AND(ISNUMBER(AI100),AI100&gt;0.8*'Ratio_M+Cl'!AC93,AI100&lt;1.2*'Ratio_M+Cl'!AC93),AI132/'Ratio_M+Cl'!AC125,IF(OR(AI132="N/A",AI164="N/A"),"N/A",""))</f>
        <v/>
      </c>
      <c r="AK69" s="160" t="s">
        <v>338</v>
      </c>
      <c r="AL69" s="177" t="str">
        <f t="shared" si="1"/>
        <v/>
      </c>
      <c r="AM69" s="177">
        <f t="shared" si="7"/>
        <v>5.9257088231830249E-2</v>
      </c>
      <c r="AN69" s="177">
        <f t="shared" si="8"/>
        <v>0.13598009114560888</v>
      </c>
      <c r="AO69" s="177" t="str">
        <f t="shared" si="9"/>
        <v/>
      </c>
      <c r="AP69" s="177" t="str">
        <f t="shared" si="10"/>
        <v/>
      </c>
      <c r="AQ69" s="177">
        <f t="shared" si="11"/>
        <v>0.16103077185921297</v>
      </c>
      <c r="AR69" s="177">
        <f t="shared" si="12"/>
        <v>8.274711304123647E-2</v>
      </c>
      <c r="AS69" s="177" t="str">
        <f t="shared" si="13"/>
        <v/>
      </c>
      <c r="AT69" s="177" t="str">
        <f t="shared" si="14"/>
        <v/>
      </c>
      <c r="AU69" s="177" t="str">
        <f t="shared" si="15"/>
        <v/>
      </c>
      <c r="AV69" s="177" t="str">
        <f t="shared" si="16"/>
        <v/>
      </c>
      <c r="AW69" s="177" t="str">
        <f t="shared" si="17"/>
        <v/>
      </c>
      <c r="AX69" s="177" t="str">
        <f t="shared" si="18"/>
        <v/>
      </c>
      <c r="AY69" s="177" t="str">
        <f t="shared" si="19"/>
        <v/>
      </c>
      <c r="AZ69" s="177" t="str">
        <f t="shared" si="20"/>
        <v/>
      </c>
      <c r="BA69" s="177" t="str">
        <f t="shared" si="21"/>
        <v/>
      </c>
      <c r="BB69" s="177" t="str">
        <f t="shared" si="22"/>
        <v/>
      </c>
      <c r="BC69" s="177" t="str">
        <f t="shared" si="23"/>
        <v/>
      </c>
      <c r="BD69" s="177" t="str">
        <f t="shared" si="24"/>
        <v/>
      </c>
      <c r="BE69" s="177" t="str">
        <f t="shared" si="25"/>
        <v/>
      </c>
      <c r="BF69" s="177" t="str">
        <f t="shared" si="26"/>
        <v/>
      </c>
      <c r="BG69" s="177" t="str">
        <f t="shared" si="27"/>
        <v/>
      </c>
      <c r="BH69" s="177" t="str">
        <f t="shared" si="2"/>
        <v/>
      </c>
      <c r="BI69" s="177" t="str">
        <f t="shared" si="3"/>
        <v/>
      </c>
      <c r="BJ69" s="177" t="str">
        <f t="shared" si="4"/>
        <v/>
      </c>
      <c r="BK69" s="177" t="str">
        <f t="shared" si="5"/>
        <v/>
      </c>
      <c r="BL69" s="177" t="str">
        <f t="shared" si="6"/>
        <v/>
      </c>
    </row>
    <row r="70" spans="1:64" ht="15.75" x14ac:dyDescent="0.3">
      <c r="A70" s="150">
        <v>65</v>
      </c>
      <c r="B70" s="10" t="s">
        <v>1101</v>
      </c>
      <c r="C70">
        <v>54277763.3947258</v>
      </c>
      <c r="E70" s="10" t="s">
        <v>381</v>
      </c>
      <c r="F70" s="151">
        <f>IF(ISNUMBER(P49),P49/SUM($I$43:$AI$71),0)</f>
        <v>7.4736867506073022E-3</v>
      </c>
      <c r="H70" s="160" t="s">
        <v>339</v>
      </c>
      <c r="I70" s="189" t="str">
        <f>IF(AND(ISNUMBER(I101),I101&gt;0.8*'Ratio_M+Cl'!C94,I101&lt;1.2*'Ratio_M+Cl'!C94),I133/'Ratio_M+Cl'!C126,IF(OR(I133="N/A",I165="N/A"),"N/A",""))</f>
        <v/>
      </c>
      <c r="J70" s="186" t="str">
        <f>IF(AND(ISNUMBER(J101),J101&gt;0.8*'Ratio_M+Cl'!D94,J101&lt;1.2*'Ratio_M+Cl'!D94),J133/'Ratio_M+Cl'!D126,IF(OR(J133="N/A",J165="N/A"),"N/A",""))</f>
        <v/>
      </c>
      <c r="K70" s="186" t="str">
        <f>IF(AND(ISNUMBER(K101),K101&gt;0.8*'Ratio_M+Cl'!E94,K101&lt;1.2*'Ratio_M+Cl'!E94),K133/'Ratio_M+Cl'!E126,IF(OR(K133="N/A",K165="N/A"),"N/A",""))</f>
        <v/>
      </c>
      <c r="L70" s="186">
        <f>IF(AND(ISNUMBER(L101),L101&gt;0.8*'Ratio_M+Cl'!F94,L101&lt;1.2*'Ratio_M+Cl'!F94),L133/'Ratio_M+Cl'!F126,IF(OR(L133="N/A",L165="N/A"),"N/A",""))</f>
        <v>16.125244940957138</v>
      </c>
      <c r="M70" s="186" t="str">
        <f>IF(AND(ISNUMBER(M101),M101&gt;0.8*'Ratio_M+Cl'!G94,M101&lt;1.2*'Ratio_M+Cl'!G94),M133/'Ratio_M+Cl'!G126,IF(OR(M133="N/A",M165="N/A"),"N/A",""))</f>
        <v/>
      </c>
      <c r="N70" s="186">
        <f>IF(AND(ISNUMBER(N101),N101&gt;0.8*'Ratio_M+Cl'!H94,N101&lt;1.2*'Ratio_M+Cl'!H94),N133/'Ratio_M+Cl'!H126,IF(OR(N133="N/A",N165="N/A"),"N/A",""))</f>
        <v>12.697887175752328</v>
      </c>
      <c r="O70" s="186" t="str">
        <f>IF(AND(ISNUMBER(O101),O101&gt;0.8*'Ratio_M+Cl'!I94,O101&lt;1.2*'Ratio_M+Cl'!I94),O133/'Ratio_M+Cl'!I126,IF(OR(O133="N/A",O165="N/A"),"N/A",""))</f>
        <v/>
      </c>
      <c r="P70" s="186" t="str">
        <f>IF(AND(ISNUMBER(P101),P101&gt;0.8*'Ratio_M+Cl'!J94,P101&lt;1.2*'Ratio_M+Cl'!J94),P133/'Ratio_M+Cl'!J126,IF(OR(P133="N/A",P165="N/A"),"N/A",""))</f>
        <v/>
      </c>
      <c r="Q70" s="186" t="str">
        <f>IF(AND(ISNUMBER(Q101),Q101&gt;0.8*'Ratio_M+Cl'!K94,Q101&lt;1.2*'Ratio_M+Cl'!K94),Q133/'Ratio_M+Cl'!K126,IF(OR(Q133="N/A",Q165="N/A"),"N/A",""))</f>
        <v/>
      </c>
      <c r="R70" s="186" t="str">
        <f>IF(AND(ISNUMBER(R101),R101&gt;0.8*'Ratio_M+Cl'!L94,R101&lt;1.2*'Ratio_M+Cl'!L94),R133/'Ratio_M+Cl'!L126,IF(OR(R133="N/A",R165="N/A"),"N/A",""))</f>
        <v/>
      </c>
      <c r="S70" s="186" t="str">
        <f>IF(AND(ISNUMBER(S101),S101&gt;0.8*'Ratio_M+Cl'!M94,S101&lt;1.2*'Ratio_M+Cl'!M94),S133/'Ratio_M+Cl'!M126,IF(OR(S133="N/A",S165="N/A"),"N/A",""))</f>
        <v/>
      </c>
      <c r="T70" s="186" t="str">
        <f>IF(AND(ISNUMBER(T101),T101&gt;0.8*'Ratio_M+Cl'!N94,T101&lt;1.2*'Ratio_M+Cl'!N94),T133/'Ratio_M+Cl'!N126,IF(OR(T133="N/A",T165="N/A"),"N/A",""))</f>
        <v/>
      </c>
      <c r="U70" s="186" t="str">
        <f>IF(AND(ISNUMBER(U101),U101&gt;0.8*'Ratio_M+Cl'!O94,U101&lt;1.2*'Ratio_M+Cl'!O94),U133/'Ratio_M+Cl'!O126,IF(OR(U133="N/A",U165="N/A"),"N/A",""))</f>
        <v/>
      </c>
      <c r="V70" s="186" t="str">
        <f>IF(AND(ISNUMBER(V101),V101&gt;0.8*'Ratio_M+Cl'!P94,V101&lt;1.2*'Ratio_M+Cl'!P94),V133/'Ratio_M+Cl'!P126,IF(OR(V133="N/A",V165="N/A"),"N/A",""))</f>
        <v/>
      </c>
      <c r="W70" s="186" t="str">
        <f>IF(AND(ISNUMBER(W101),W101&gt;0.8*'Ratio_M+Cl'!Q94,W101&lt;1.2*'Ratio_M+Cl'!Q94),W133/'Ratio_M+Cl'!Q126,IF(OR(W133="N/A",W165="N/A"),"N/A",""))</f>
        <v/>
      </c>
      <c r="X70" s="183" t="str">
        <f>IF(AND(ISNUMBER(X101),X101&gt;0.8*'Ratio_M+Cl'!R94,X101&lt;1.2*'Ratio_M+Cl'!R94),X133/'Ratio_M+Cl'!R126,IF(OR(X133="N/A",X165="N/A"),"N/A",""))</f>
        <v/>
      </c>
      <c r="Y70" s="183" t="str">
        <f>IF(AND(ISNUMBER(Y101),Y101&gt;0.8*'Ratio_M+Cl'!S94,Y101&lt;1.2*'Ratio_M+Cl'!S94),Y133/'Ratio_M+Cl'!S126,IF(OR(Y133="N/A",Y165="N/A"),"N/A",""))</f>
        <v/>
      </c>
      <c r="Z70" s="183" t="str">
        <f>IF(AND(ISNUMBER(Z101),Z101&gt;0.8*'Ratio_M+Cl'!T94,Z101&lt;1.2*'Ratio_M+Cl'!T94),Z133/'Ratio_M+Cl'!T126,IF(OR(Z133="N/A",Z165="N/A"),"N/A",""))</f>
        <v/>
      </c>
      <c r="AA70" s="183" t="str">
        <f>IF(AND(ISNUMBER(AA101),AA101&gt;0.8*'Ratio_M+Cl'!U94,AA101&lt;1.2*'Ratio_M+Cl'!U94),AA133/'Ratio_M+Cl'!U126,IF(OR(AA133="N/A",AA165="N/A"),"N/A",""))</f>
        <v/>
      </c>
      <c r="AB70" s="183" t="str">
        <f>IF(AND(ISNUMBER(AB101),AB101&gt;0.8*'Ratio_M+Cl'!V94,AB101&lt;1.2*'Ratio_M+Cl'!V94),AB133/'Ratio_M+Cl'!V126,IF(OR(AB133="N/A",AB165="N/A"),"N/A",""))</f>
        <v/>
      </c>
      <c r="AC70" s="183" t="str">
        <f>IF(AND(ISNUMBER(AC101),AC101&gt;0.8*'Ratio_M+Cl'!W94,AC101&lt;1.2*'Ratio_M+Cl'!W94),AC133/'Ratio_M+Cl'!W126,IF(OR(AC133="N/A",AC165="N/A"),"N/A",""))</f>
        <v/>
      </c>
      <c r="AD70" s="183" t="str">
        <f>IF(AND(ISNUMBER(AD101),AD101&gt;0.8*'Ratio_M+Cl'!X94,AD101&lt;1.2*'Ratio_M+Cl'!X94),AD133/'Ratio_M+Cl'!X126,IF(OR(AD133="N/A",AD165="N/A"),"N/A",""))</f>
        <v/>
      </c>
      <c r="AE70" s="183" t="str">
        <f>IF(AND(ISNUMBER(AE101),AE101&gt;0.8*'Ratio_M+Cl'!Y94,AE101&lt;1.2*'Ratio_M+Cl'!Y94),AE133/'Ratio_M+Cl'!Y126,IF(OR(AE133="N/A",AE165="N/A"),"N/A",""))</f>
        <v/>
      </c>
      <c r="AF70" s="183" t="str">
        <f>IF(AND(ISNUMBER(AF101),AF101&gt;0.8*'Ratio_M+Cl'!Z94,AF101&lt;1.2*'Ratio_M+Cl'!Z94),AF133/'Ratio_M+Cl'!Z126,IF(OR(AF133="N/A",AF165="N/A"),"N/A",""))</f>
        <v/>
      </c>
      <c r="AG70" s="183" t="str">
        <f>IF(AND(ISNUMBER(AG101),AG101&gt;0.8*'Ratio_M+Cl'!AA94,AG101&lt;1.2*'Ratio_M+Cl'!AA94),AG133/'Ratio_M+Cl'!AA126,IF(OR(AG133="N/A",AG165="N/A"),"N/A",""))</f>
        <v/>
      </c>
      <c r="AH70" s="183" t="str">
        <f>IF(AND(ISNUMBER(AH101),AH101&gt;0.8*'Ratio_M+Cl'!AB94,AH101&lt;1.2*'Ratio_M+Cl'!AB94),AH133/'Ratio_M+Cl'!AB126,IF(OR(AH133="N/A",AH165="N/A"),"N/A",""))</f>
        <v/>
      </c>
      <c r="AI70" s="188" t="str">
        <f>IF(AND(ISNUMBER(AI101),AI101&gt;0.8*'Ratio_M+Cl'!AC94,AI101&lt;1.2*'Ratio_M+Cl'!AC94),AI133/'Ratio_M+Cl'!AC126,IF(OR(AI133="N/A",AI165="N/A"),"N/A",""))</f>
        <v/>
      </c>
      <c r="AK70" s="160" t="s">
        <v>339</v>
      </c>
      <c r="AL70" s="177" t="str">
        <f t="shared" si="1"/>
        <v/>
      </c>
      <c r="AM70" s="177" t="str">
        <f t="shared" si="7"/>
        <v/>
      </c>
      <c r="AN70" s="177" t="str">
        <f t="shared" si="8"/>
        <v/>
      </c>
      <c r="AO70" s="177">
        <f t="shared" si="9"/>
        <v>0.14153180980881858</v>
      </c>
      <c r="AP70" s="177" t="str">
        <f t="shared" si="10"/>
        <v/>
      </c>
      <c r="AQ70" s="177">
        <f t="shared" si="11"/>
        <v>0.11144977699952645</v>
      </c>
      <c r="AR70" s="177" t="str">
        <f t="shared" si="12"/>
        <v/>
      </c>
      <c r="AS70" s="177" t="str">
        <f t="shared" si="13"/>
        <v/>
      </c>
      <c r="AT70" s="177" t="str">
        <f t="shared" si="14"/>
        <v/>
      </c>
      <c r="AU70" s="177" t="str">
        <f t="shared" si="15"/>
        <v/>
      </c>
      <c r="AV70" s="177" t="str">
        <f t="shared" si="16"/>
        <v/>
      </c>
      <c r="AW70" s="177" t="str">
        <f t="shared" si="17"/>
        <v/>
      </c>
      <c r="AX70" s="177" t="str">
        <f t="shared" si="18"/>
        <v/>
      </c>
      <c r="AY70" s="177" t="str">
        <f t="shared" si="19"/>
        <v/>
      </c>
      <c r="AZ70" s="177" t="str">
        <f t="shared" si="20"/>
        <v/>
      </c>
      <c r="BA70" s="177" t="str">
        <f t="shared" si="21"/>
        <v/>
      </c>
      <c r="BB70" s="177" t="str">
        <f t="shared" si="22"/>
        <v/>
      </c>
      <c r="BC70" s="177" t="str">
        <f t="shared" si="23"/>
        <v/>
      </c>
      <c r="BD70" s="177" t="str">
        <f t="shared" si="24"/>
        <v/>
      </c>
      <c r="BE70" s="177" t="str">
        <f t="shared" si="25"/>
        <v/>
      </c>
      <c r="BF70" s="177" t="str">
        <f t="shared" si="26"/>
        <v/>
      </c>
      <c r="BG70" s="177" t="str">
        <f t="shared" si="27"/>
        <v/>
      </c>
      <c r="BH70" s="177" t="str">
        <f t="shared" si="2"/>
        <v/>
      </c>
      <c r="BI70" s="177" t="str">
        <f t="shared" si="3"/>
        <v/>
      </c>
      <c r="BJ70" s="177" t="str">
        <f t="shared" si="4"/>
        <v/>
      </c>
      <c r="BK70" s="177" t="str">
        <f t="shared" si="5"/>
        <v/>
      </c>
      <c r="BL70" s="177" t="str">
        <f t="shared" si="6"/>
        <v/>
      </c>
    </row>
    <row r="71" spans="1:64" ht="15.75" x14ac:dyDescent="0.3">
      <c r="A71" s="150">
        <v>66</v>
      </c>
      <c r="B71" s="10" t="s">
        <v>1102</v>
      </c>
      <c r="C71">
        <v>46394257.402454399</v>
      </c>
      <c r="E71" s="10" t="s">
        <v>382</v>
      </c>
      <c r="F71" s="151">
        <f>IF(ISNUMBER(Q49),Q49/SUM($I$43:$AI$71),0)</f>
        <v>1.9641185576080425E-2</v>
      </c>
      <c r="H71" s="161" t="s">
        <v>340</v>
      </c>
      <c r="I71" s="190" t="str">
        <f>IF(AND(ISNUMBER(I102),I102&gt;0.8*'Ratio_M+Cl'!C95,I102&lt;1.2*'Ratio_M+Cl'!C95),I134/'Ratio_M+Cl'!C127,IF(OR(I134="N/A",I166="N/A"),"N/A",""))</f>
        <v/>
      </c>
      <c r="J71" s="191" t="str">
        <f>IF(AND(ISNUMBER(J102),J102&gt;0.8*'Ratio_M+Cl'!D95,J102&lt;1.2*'Ratio_M+Cl'!D95),J134/'Ratio_M+Cl'!D127,IF(OR(J134="N/A",J166="N/A"),"N/A",""))</f>
        <v/>
      </c>
      <c r="K71" s="191" t="str">
        <f>IF(AND(ISNUMBER(K102),K102&gt;0.8*'Ratio_M+Cl'!E95,K102&lt;1.2*'Ratio_M+Cl'!E95),K134/'Ratio_M+Cl'!E127,IF(OR(K134="N/A",K166="N/A"),"N/A",""))</f>
        <v/>
      </c>
      <c r="L71" s="191" t="str">
        <f>IF(AND(ISNUMBER(L102),L102&gt;0.8*'Ratio_M+Cl'!F95,L102&lt;1.2*'Ratio_M+Cl'!F95),L134/'Ratio_M+Cl'!F127,IF(OR(L134="N/A",L166="N/A"),"N/A",""))</f>
        <v/>
      </c>
      <c r="M71" s="191" t="str">
        <f>IF(AND(ISNUMBER(M102),M102&gt;0.8*'Ratio_M+Cl'!G95,M102&lt;1.2*'Ratio_M+Cl'!G95),M134/'Ratio_M+Cl'!G127,IF(OR(M134="N/A",M166="N/A"),"N/A",""))</f>
        <v/>
      </c>
      <c r="N71" s="191">
        <f>IF(AND(ISNUMBER(N102),N102&gt;0.8*'Ratio_M+Cl'!H95,N102&lt;1.2*'Ratio_M+Cl'!H95),N134/'Ratio_M+Cl'!H127,IF(OR(N134="N/A",N166="N/A"),"N/A",""))</f>
        <v>9.261969108767202</v>
      </c>
      <c r="O71" s="191" t="str">
        <f>IF(AND(ISNUMBER(O102),O102&gt;0.8*'Ratio_M+Cl'!I95,O102&lt;1.2*'Ratio_M+Cl'!I95),O134/'Ratio_M+Cl'!I127,IF(OR(O134="N/A",O166="N/A"),"N/A",""))</f>
        <v/>
      </c>
      <c r="P71" s="191" t="str">
        <f>IF(AND(ISNUMBER(P102),P102&gt;0.8*'Ratio_M+Cl'!J95,P102&lt;1.2*'Ratio_M+Cl'!J95),P134/'Ratio_M+Cl'!J127,IF(OR(P134="N/A",P166="N/A"),"N/A",""))</f>
        <v/>
      </c>
      <c r="Q71" s="191" t="str">
        <f>IF(AND(ISNUMBER(Q102),Q102&gt;0.8*'Ratio_M+Cl'!K95,Q102&lt;1.2*'Ratio_M+Cl'!K95),Q134/'Ratio_M+Cl'!K127,IF(OR(Q134="N/A",Q166="N/A"),"N/A",""))</f>
        <v/>
      </c>
      <c r="R71" s="191" t="str">
        <f>IF(AND(ISNUMBER(R102),R102&gt;0.8*'Ratio_M+Cl'!L95,R102&lt;1.2*'Ratio_M+Cl'!L95),R134/'Ratio_M+Cl'!L127,IF(OR(R134="N/A",R166="N/A"),"N/A",""))</f>
        <v/>
      </c>
      <c r="S71" s="191" t="str">
        <f>IF(AND(ISNUMBER(S102),S102&gt;0.8*'Ratio_M+Cl'!M95,S102&lt;1.2*'Ratio_M+Cl'!M95),S134/'Ratio_M+Cl'!M127,IF(OR(S134="N/A",S166="N/A"),"N/A",""))</f>
        <v/>
      </c>
      <c r="T71" s="191" t="str">
        <f>IF(AND(ISNUMBER(T102),T102&gt;0.8*'Ratio_M+Cl'!N95,T102&lt;1.2*'Ratio_M+Cl'!N95),T134/'Ratio_M+Cl'!N127,IF(OR(T134="N/A",T166="N/A"),"N/A",""))</f>
        <v/>
      </c>
      <c r="U71" s="191" t="str">
        <f>IF(AND(ISNUMBER(U102),U102&gt;0.8*'Ratio_M+Cl'!O95,U102&lt;1.2*'Ratio_M+Cl'!O95),U134/'Ratio_M+Cl'!O127,IF(OR(U134="N/A",U166="N/A"),"N/A",""))</f>
        <v/>
      </c>
      <c r="V71" s="191" t="str">
        <f>IF(AND(ISNUMBER(V102),V102&gt;0.8*'Ratio_M+Cl'!P95,V102&lt;1.2*'Ratio_M+Cl'!P95),V134/'Ratio_M+Cl'!P127,IF(OR(V134="N/A",V166="N/A"),"N/A",""))</f>
        <v/>
      </c>
      <c r="W71" s="191" t="str">
        <f>IF(AND(ISNUMBER(W102),W102&gt;0.8*'Ratio_M+Cl'!Q95,W102&lt;1.2*'Ratio_M+Cl'!Q95),W134/'Ratio_M+Cl'!Q127,IF(OR(W134="N/A",W166="N/A"),"N/A",""))</f>
        <v/>
      </c>
      <c r="X71" s="192" t="str">
        <f>IF(AND(ISNUMBER(X102),X102&gt;0.8*'Ratio_M+Cl'!R95,X102&lt;1.2*'Ratio_M+Cl'!R95),X134/'Ratio_M+Cl'!R127,IF(OR(X134="N/A",X166="N/A"),"N/A",""))</f>
        <v/>
      </c>
      <c r="Y71" s="192" t="str">
        <f>IF(AND(ISNUMBER(Y102),Y102&gt;0.8*'Ratio_M+Cl'!S95,Y102&lt;1.2*'Ratio_M+Cl'!S95),Y134/'Ratio_M+Cl'!S127,IF(OR(Y134="N/A",Y166="N/A"),"N/A",""))</f>
        <v/>
      </c>
      <c r="Z71" s="192" t="str">
        <f>IF(AND(ISNUMBER(Z102),Z102&gt;0.8*'Ratio_M+Cl'!T95,Z102&lt;1.2*'Ratio_M+Cl'!T95),Z134/'Ratio_M+Cl'!T127,IF(OR(Z134="N/A",Z166="N/A"),"N/A",""))</f>
        <v/>
      </c>
      <c r="AA71" s="192" t="str">
        <f>IF(AND(ISNUMBER(AA102),AA102&gt;0.8*'Ratio_M+Cl'!U95,AA102&lt;1.2*'Ratio_M+Cl'!U95),AA134/'Ratio_M+Cl'!U127,IF(OR(AA134="N/A",AA166="N/A"),"N/A",""))</f>
        <v/>
      </c>
      <c r="AB71" s="192" t="str">
        <f>IF(AND(ISNUMBER(AB102),AB102&gt;0.8*'Ratio_M+Cl'!V95,AB102&lt;1.2*'Ratio_M+Cl'!V95),AB134/'Ratio_M+Cl'!V127,IF(OR(AB134="N/A",AB166="N/A"),"N/A",""))</f>
        <v/>
      </c>
      <c r="AC71" s="192" t="str">
        <f>IF(AND(ISNUMBER(AC102),AC102&gt;0.8*'Ratio_M+Cl'!W95,AC102&lt;1.2*'Ratio_M+Cl'!W95),AC134/'Ratio_M+Cl'!W127,IF(OR(AC134="N/A",AC166="N/A"),"N/A",""))</f>
        <v/>
      </c>
      <c r="AD71" s="192" t="str">
        <f>IF(AND(ISNUMBER(AD102),AD102&gt;0.8*'Ratio_M+Cl'!X95,AD102&lt;1.2*'Ratio_M+Cl'!X95),AD134/'Ratio_M+Cl'!X127,IF(OR(AD134="N/A",AD166="N/A"),"N/A",""))</f>
        <v/>
      </c>
      <c r="AE71" s="192" t="str">
        <f>IF(AND(ISNUMBER(AE102),AE102&gt;0.8*'Ratio_M+Cl'!Y95,AE102&lt;1.2*'Ratio_M+Cl'!Y95),AE134/'Ratio_M+Cl'!Y127,IF(OR(AE134="N/A",AE166="N/A"),"N/A",""))</f>
        <v/>
      </c>
      <c r="AF71" s="192" t="str">
        <f>IF(AND(ISNUMBER(AF102),AF102&gt;0.8*'Ratio_M+Cl'!Z95,AF102&lt;1.2*'Ratio_M+Cl'!Z95),AF134/'Ratio_M+Cl'!Z127,IF(OR(AF134="N/A",AF166="N/A"),"N/A",""))</f>
        <v/>
      </c>
      <c r="AG71" s="192" t="str">
        <f>IF(AND(ISNUMBER(AG102),AG102&gt;0.8*'Ratio_M+Cl'!AA95,AG102&lt;1.2*'Ratio_M+Cl'!AA95),AG134/'Ratio_M+Cl'!AA127,IF(OR(AG134="N/A",AG166="N/A"),"N/A",""))</f>
        <v/>
      </c>
      <c r="AH71" s="192" t="str">
        <f>IF(AND(ISNUMBER(AH102),AH102&gt;0.8*'Ratio_M+Cl'!AB95,AH102&lt;1.2*'Ratio_M+Cl'!AB95),AH134/'Ratio_M+Cl'!AB127,IF(OR(AH134="N/A",AH166="N/A"),"N/A",""))</f>
        <v/>
      </c>
      <c r="AI71" s="193" t="str">
        <f>IF(AND(ISNUMBER(AI102),AI102&gt;0.8*'Ratio_M+Cl'!AC95,AI102&lt;1.2*'Ratio_M+Cl'!AC95),AI134/'Ratio_M+Cl'!AC127,IF(OR(AI134="N/A",AI166="N/A"),"N/A",""))</f>
        <v/>
      </c>
      <c r="AK71" s="161" t="s">
        <v>340</v>
      </c>
      <c r="AL71" s="177" t="str">
        <f t="shared" ref="AL71" si="28">IF(ISNUMBER(I71),I71*10^6/AF31,"")</f>
        <v/>
      </c>
      <c r="AM71" s="177" t="str">
        <f t="shared" ref="AM71" si="29">IF(ISNUMBER(J71),J71*10^6/AG31,"")</f>
        <v/>
      </c>
      <c r="AN71" s="177" t="str">
        <f t="shared" ref="AN71" si="30">IF(ISNUMBER(K71),K71*10^6/AH31,"")</f>
        <v/>
      </c>
      <c r="AO71" s="177" t="str">
        <f t="shared" ref="AO71" si="31">IF(ISNUMBER(L71),L71*10^6/AI31,"")</f>
        <v/>
      </c>
      <c r="AP71" s="177" t="str">
        <f t="shared" ref="AP71" si="32">IF(ISNUMBER(M71),M71*10^6/AJ31,"")</f>
        <v/>
      </c>
      <c r="AQ71" s="177" t="e">
        <f t="shared" ref="AQ71" si="33">IF(ISNUMBER(N71),N71*10^6/AK31,"")</f>
        <v>#DIV/0!</v>
      </c>
      <c r="AR71" s="177" t="str">
        <f t="shared" ref="AR71" si="34">IF(ISNUMBER(O71),O71*10^6/AL31,"")</f>
        <v/>
      </c>
      <c r="AS71" s="177" t="str">
        <f t="shared" ref="AS71" si="35">IF(ISNUMBER(P71),P71*10^6/AM31,"")</f>
        <v/>
      </c>
      <c r="AT71" s="177" t="str">
        <f t="shared" ref="AT71" si="36">IF(ISNUMBER(Q71),Q71*10^6/AN31,"")</f>
        <v/>
      </c>
      <c r="AU71" s="177" t="str">
        <f t="shared" ref="AU71" si="37">IF(ISNUMBER(R71),R71*10^6/AO31,"")</f>
        <v/>
      </c>
      <c r="AV71" s="177" t="str">
        <f t="shared" ref="AV71" si="38">IF(ISNUMBER(S71),S71*10^6/AP31,"")</f>
        <v/>
      </c>
      <c r="AW71" s="177" t="str">
        <f t="shared" ref="AW71" si="39">IF(ISNUMBER(T71),T71*10^6/AQ31,"")</f>
        <v/>
      </c>
      <c r="AX71" s="177" t="str">
        <f t="shared" ref="AX71" si="40">IF(ISNUMBER(U71),U71*10^6/AR31,"")</f>
        <v/>
      </c>
      <c r="AY71" s="177" t="str">
        <f t="shared" ref="AY71" si="41">IF(ISNUMBER(V71),V71*10^6/AS31,"")</f>
        <v/>
      </c>
      <c r="AZ71" s="177" t="str">
        <f t="shared" ref="AZ71" si="42">IF(ISNUMBER(W71),W71*10^6/AT31,"")</f>
        <v/>
      </c>
      <c r="BA71" s="177" t="str">
        <f t="shared" ref="BA71" si="43">IF(ISNUMBER(X71),X71*10^6/AU31,"")</f>
        <v/>
      </c>
      <c r="BB71" s="177" t="str">
        <f t="shared" ref="BB71" si="44">IF(ISNUMBER(Y71),Y71*10^6/AV31,"")</f>
        <v/>
      </c>
      <c r="BC71" s="177" t="str">
        <f t="shared" ref="BC71" si="45">IF(ISNUMBER(Z71),Z71*10^6/AW31,"")</f>
        <v/>
      </c>
      <c r="BD71" s="177" t="str">
        <f t="shared" ref="BD71" si="46">IF(ISNUMBER(AA71),AA71*10^6/AX31,"")</f>
        <v/>
      </c>
      <c r="BE71" s="177" t="str">
        <f t="shared" ref="BE71" si="47">IF(ISNUMBER(AB71),AB71*10^6/AY31,"")</f>
        <v/>
      </c>
      <c r="BF71" s="177" t="str">
        <f t="shared" ref="BF71" si="48">IF(ISNUMBER(AC71),AC71*10^6/AZ31,"")</f>
        <v/>
      </c>
      <c r="BG71" s="177" t="str">
        <f t="shared" ref="BG71" si="49">IF(ISNUMBER(AD71),AD71*10^6/BA31,"")</f>
        <v/>
      </c>
      <c r="BH71" s="177" t="str">
        <f t="shared" ref="BH71" si="50">IF(ISNUMBER(AE71),AE71*10^6/BB31,"")</f>
        <v/>
      </c>
      <c r="BI71" s="177" t="str">
        <f t="shared" ref="BI71" si="51">IF(ISNUMBER(AF71),AF71*10^6/BC31,"")</f>
        <v/>
      </c>
      <c r="BJ71" s="177" t="str">
        <f t="shared" ref="BJ71" si="52">IF(ISNUMBER(AG71),AG71*10^6/BD31,"")</f>
        <v/>
      </c>
      <c r="BK71" s="177" t="str">
        <f t="shared" ref="BK71" si="53">IF(ISNUMBER(AH71),AH71*10^6/BE31,"")</f>
        <v/>
      </c>
      <c r="BL71" s="177" t="str">
        <f t="shared" ref="BL71" si="54">IF(ISNUMBER(AI71),AI71*10^6/BF31,"")</f>
        <v/>
      </c>
    </row>
    <row r="72" spans="1:64" x14ac:dyDescent="0.25">
      <c r="A72" s="150">
        <v>67</v>
      </c>
      <c r="B72" s="10" t="s">
        <v>1103</v>
      </c>
      <c r="C72">
        <v>3827989.8948197402</v>
      </c>
      <c r="E72" s="10" t="s">
        <v>500</v>
      </c>
      <c r="F72" s="151">
        <f>IF(ISNUMBER(R49),R49/SUM($I$43:$AI$71),0)</f>
        <v>1.9779338819863285E-2</v>
      </c>
      <c r="AD72" s="237" t="s">
        <v>1822</v>
      </c>
      <c r="AE72" s="239">
        <f>AE136/AE104*100</f>
        <v>83.767475150894427</v>
      </c>
      <c r="AG72" s="237" t="s">
        <v>1819</v>
      </c>
      <c r="AH72" s="239">
        <f>AH136/AH104*100</f>
        <v>56.335697422735819</v>
      </c>
    </row>
    <row r="73" spans="1:64" ht="15.75" x14ac:dyDescent="0.3">
      <c r="A73" s="150">
        <v>68</v>
      </c>
      <c r="B73" s="10" t="s">
        <v>1104</v>
      </c>
      <c r="C73">
        <v>2877611.73324621</v>
      </c>
      <c r="E73" s="10" t="s">
        <v>501</v>
      </c>
      <c r="F73" s="151">
        <f>IF(ISNUMBER(S49),S49/SUM($I$43:$AI$71),0)</f>
        <v>8.2217819866439827E-3</v>
      </c>
      <c r="H73" s="146" t="s">
        <v>327</v>
      </c>
      <c r="I73" s="154" t="s">
        <v>1012</v>
      </c>
      <c r="J73" s="155" t="s">
        <v>322</v>
      </c>
      <c r="K73" s="155" t="s">
        <v>323</v>
      </c>
      <c r="L73" s="155" t="s">
        <v>324</v>
      </c>
      <c r="M73" s="156" t="s">
        <v>325</v>
      </c>
      <c r="N73" s="155" t="s">
        <v>326</v>
      </c>
      <c r="O73" s="155" t="s">
        <v>2</v>
      </c>
      <c r="P73" s="155" t="s">
        <v>3</v>
      </c>
      <c r="Q73" s="155" t="s">
        <v>4</v>
      </c>
      <c r="R73" s="155" t="s">
        <v>5</v>
      </c>
      <c r="S73" s="155" t="s">
        <v>6</v>
      </c>
      <c r="T73" s="155" t="s">
        <v>7</v>
      </c>
      <c r="U73" s="155" t="s">
        <v>8</v>
      </c>
      <c r="V73" s="155" t="s">
        <v>1016</v>
      </c>
      <c r="W73" s="155" t="s">
        <v>1017</v>
      </c>
      <c r="X73" s="155" t="s">
        <v>1018</v>
      </c>
      <c r="Y73" s="155" t="s">
        <v>1074</v>
      </c>
      <c r="Z73" s="155" t="s">
        <v>1075</v>
      </c>
      <c r="AA73" s="155" t="s">
        <v>1076</v>
      </c>
      <c r="AB73" s="155" t="s">
        <v>1077</v>
      </c>
      <c r="AC73" s="155" t="s">
        <v>1078</v>
      </c>
      <c r="AD73" s="155" t="s">
        <v>1079</v>
      </c>
      <c r="AE73" s="155" t="s">
        <v>1080</v>
      </c>
      <c r="AF73" s="155" t="s">
        <v>1081</v>
      </c>
      <c r="AG73" s="155" t="s">
        <v>1082</v>
      </c>
      <c r="AH73" s="155" t="s">
        <v>1083</v>
      </c>
      <c r="AI73" s="157" t="s">
        <v>1084</v>
      </c>
    </row>
    <row r="74" spans="1:64" ht="15.75" x14ac:dyDescent="0.3">
      <c r="A74" s="150">
        <v>69</v>
      </c>
      <c r="B74" s="10" t="s">
        <v>679</v>
      </c>
      <c r="C74">
        <v>42367.4606483467</v>
      </c>
      <c r="E74" s="10" t="s">
        <v>1571</v>
      </c>
      <c r="F74" s="151">
        <f>IF(ISNUMBER(T49),T49/SUM($I$43:$AI$71),0)</f>
        <v>1.3968487758487258E-3</v>
      </c>
      <c r="H74" s="158" t="s">
        <v>1011</v>
      </c>
      <c r="I74" s="50" t="str">
        <f t="shared" ref="I74:X89" si="55">IF(ISNUMBER(IF(ISNUMBER(I138),IF(AND(1000000*I106&gt;$J$2,1000000*I138&gt;$J$2),I138,""),"")/IF(ISNUMBER(I106),IF(AND(1000000*I106&gt;$J$2,1000000*I138&gt;$J$2),I106,""),"")),100*I138/I106,"")</f>
        <v/>
      </c>
      <c r="J74" s="1" t="str">
        <f t="shared" si="55"/>
        <v/>
      </c>
      <c r="K74" s="1" t="str">
        <f t="shared" si="55"/>
        <v/>
      </c>
      <c r="L74" s="1" t="str">
        <f t="shared" si="55"/>
        <v/>
      </c>
      <c r="M74" s="29" t="str">
        <f t="shared" si="55"/>
        <v/>
      </c>
      <c r="N74" s="1" t="str">
        <f t="shared" si="55"/>
        <v/>
      </c>
      <c r="O74" s="145" t="str">
        <f t="shared" si="55"/>
        <v/>
      </c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</row>
    <row r="75" spans="1:64" ht="15.75" x14ac:dyDescent="0.3">
      <c r="A75" s="150">
        <v>70</v>
      </c>
      <c r="B75" s="10" t="s">
        <v>680</v>
      </c>
      <c r="C75">
        <v>0</v>
      </c>
      <c r="E75" s="10" t="s">
        <v>1572</v>
      </c>
      <c r="F75" s="151">
        <f>IF(ISNUMBER(U49),U49/SUM($I$43:$AI$71),0)</f>
        <v>0</v>
      </c>
      <c r="H75" s="159" t="s">
        <v>321</v>
      </c>
      <c r="I75" s="32" t="str">
        <f t="shared" si="55"/>
        <v/>
      </c>
      <c r="J75" s="15" t="str">
        <f t="shared" si="55"/>
        <v/>
      </c>
      <c r="K75" s="15" t="str">
        <f t="shared" si="55"/>
        <v/>
      </c>
      <c r="L75" s="15" t="str">
        <f t="shared" si="55"/>
        <v/>
      </c>
      <c r="M75" s="15" t="str">
        <f t="shared" si="55"/>
        <v/>
      </c>
      <c r="N75" s="30" t="str">
        <f t="shared" si="55"/>
        <v/>
      </c>
      <c r="O75" s="31" t="str">
        <f t="shared" si="55"/>
        <v/>
      </c>
      <c r="P75" s="144" t="str">
        <f t="shared" si="55"/>
        <v/>
      </c>
      <c r="Q75" s="1"/>
      <c r="R75" s="1"/>
      <c r="S75" s="1"/>
      <c r="T75" s="1"/>
      <c r="U75" s="1"/>
      <c r="V75" s="1"/>
      <c r="W75" s="1"/>
      <c r="X75" s="3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</row>
    <row r="76" spans="1:64" ht="15.75" x14ac:dyDescent="0.3">
      <c r="A76" s="150">
        <v>71</v>
      </c>
      <c r="B76" s="10" t="s">
        <v>61</v>
      </c>
      <c r="C76">
        <v>82397121.597049698</v>
      </c>
      <c r="E76" s="10" t="s">
        <v>502</v>
      </c>
      <c r="F76" s="151">
        <f>IF(ISNUMBER(I50),I50/SUM($I$43:$AI$71),0)</f>
        <v>9.3525457149197652E-4</v>
      </c>
      <c r="H76" s="160" t="s">
        <v>10</v>
      </c>
      <c r="I76" s="37" t="str">
        <f t="shared" si="55"/>
        <v/>
      </c>
      <c r="J76" s="1">
        <f>IF(ISNUMBER(IF(ISNUMBER(J140),IF(AND(1000000*J108&gt;$J$2,1000000*J140&gt;$J$2),J140,""),"")/IF(ISNUMBER(J108),IF(AND(1000000*J108&gt;$J$2,1000000*J140&gt;$J$2),J108,""),"")),100*J140/J108,"")</f>
        <v>79.526521914516081</v>
      </c>
      <c r="K76" s="1">
        <f t="shared" si="55"/>
        <v>97.62270568833361</v>
      </c>
      <c r="L76" s="1">
        <f t="shared" si="55"/>
        <v>89.627293525011311</v>
      </c>
      <c r="M76" s="1">
        <f t="shared" si="55"/>
        <v>77.863843067028341</v>
      </c>
      <c r="N76" s="1">
        <f t="shared" si="55"/>
        <v>84.743637646145075</v>
      </c>
      <c r="O76" s="29">
        <f t="shared" si="55"/>
        <v>96.805683988181755</v>
      </c>
      <c r="P76" s="1">
        <f t="shared" si="55"/>
        <v>93.071676134853703</v>
      </c>
      <c r="Q76" s="144" t="str">
        <f t="shared" si="55"/>
        <v/>
      </c>
      <c r="R76" s="1"/>
      <c r="S76" s="1"/>
      <c r="T76" s="1"/>
      <c r="U76" s="1"/>
      <c r="V76" s="1"/>
      <c r="W76" s="1"/>
      <c r="X76" s="3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</row>
    <row r="77" spans="1:64" ht="15.75" x14ac:dyDescent="0.3">
      <c r="A77" s="150">
        <v>72</v>
      </c>
      <c r="B77" s="10" t="s">
        <v>62</v>
      </c>
      <c r="C77">
        <v>66337924.939849898</v>
      </c>
      <c r="E77" s="10" t="s">
        <v>383</v>
      </c>
      <c r="F77" s="151">
        <f>IF(ISNUMBER(J50),J50/SUM($I$43:$AI$71),0)</f>
        <v>9.0434643103915868E-3</v>
      </c>
      <c r="H77" s="160" t="s">
        <v>11</v>
      </c>
      <c r="I77" s="37" t="str">
        <f t="shared" si="55"/>
        <v/>
      </c>
      <c r="J77" s="1">
        <f t="shared" si="55"/>
        <v>81.171550879299474</v>
      </c>
      <c r="K77" s="1">
        <f t="shared" si="55"/>
        <v>95.9267316468449</v>
      </c>
      <c r="L77" s="1">
        <f t="shared" si="55"/>
        <v>89.359625965351611</v>
      </c>
      <c r="M77" s="1">
        <f t="shared" si="55"/>
        <v>78.840028941099035</v>
      </c>
      <c r="N77" s="1">
        <f t="shared" si="55"/>
        <v>83.813458687808435</v>
      </c>
      <c r="O77" s="1">
        <f t="shared" si="55"/>
        <v>95.209220354043609</v>
      </c>
      <c r="P77" s="29">
        <f t="shared" si="55"/>
        <v>95.746658687318615</v>
      </c>
      <c r="Q77" s="1">
        <f t="shared" si="55"/>
        <v>85.475624824589872</v>
      </c>
      <c r="R77" s="144">
        <f t="shared" si="55"/>
        <v>75.172918746216183</v>
      </c>
      <c r="S77" s="1"/>
      <c r="T77" s="1"/>
      <c r="U77" s="1"/>
      <c r="V77" s="1"/>
      <c r="W77" s="1"/>
      <c r="X77" s="3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</row>
    <row r="78" spans="1:64" ht="15.75" x14ac:dyDescent="0.3">
      <c r="A78" s="150">
        <v>73</v>
      </c>
      <c r="B78" s="10" t="s">
        <v>63</v>
      </c>
      <c r="C78">
        <v>619132354.88111901</v>
      </c>
      <c r="E78" s="10" t="s">
        <v>384</v>
      </c>
      <c r="F78" s="151">
        <f>IF(ISNUMBER(K50),K50/SUM($I$43:$AI$71),0)</f>
        <v>1.5722874369866708E-2</v>
      </c>
      <c r="H78" s="160" t="s">
        <v>12</v>
      </c>
      <c r="I78" s="37" t="str">
        <f t="shared" si="55"/>
        <v/>
      </c>
      <c r="J78" s="1">
        <f t="shared" si="55"/>
        <v>80.51000284241141</v>
      </c>
      <c r="K78" s="1">
        <f t="shared" si="55"/>
        <v>95.645499009761537</v>
      </c>
      <c r="L78" s="1">
        <f t="shared" si="55"/>
        <v>88.929027847432764</v>
      </c>
      <c r="M78" s="1">
        <f t="shared" si="55"/>
        <v>78.539894715231142</v>
      </c>
      <c r="N78" s="1">
        <f t="shared" si="55"/>
        <v>84.164497618913998</v>
      </c>
      <c r="O78" s="1">
        <f t="shared" si="55"/>
        <v>95.353299304165745</v>
      </c>
      <c r="P78" s="1">
        <f t="shared" si="55"/>
        <v>94.244483277666447</v>
      </c>
      <c r="Q78" s="29">
        <f t="shared" si="55"/>
        <v>84.993052300382132</v>
      </c>
      <c r="R78" s="1">
        <f t="shared" si="55"/>
        <v>86.295758522120011</v>
      </c>
      <c r="S78" s="144">
        <f t="shared" si="55"/>
        <v>96.408081540256177</v>
      </c>
      <c r="T78" s="1"/>
      <c r="U78" s="1"/>
      <c r="V78" s="1"/>
      <c r="W78" s="1"/>
      <c r="X78" s="3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</row>
    <row r="79" spans="1:64" ht="15.75" x14ac:dyDescent="0.3">
      <c r="A79" s="150">
        <v>74</v>
      </c>
      <c r="B79" s="10" t="s">
        <v>64</v>
      </c>
      <c r="C79">
        <v>592172230.35693395</v>
      </c>
      <c r="E79" s="10" t="s">
        <v>385</v>
      </c>
      <c r="F79" s="151">
        <f>IF(ISNUMBER(L50),L50/SUM($I$43:$AI$71),0)</f>
        <v>1.1307382422901302E-2</v>
      </c>
      <c r="H79" s="159" t="s">
        <v>13</v>
      </c>
      <c r="I79" s="32" t="str">
        <f t="shared" si="55"/>
        <v/>
      </c>
      <c r="J79" s="15">
        <f t="shared" si="55"/>
        <v>82.352225977637431</v>
      </c>
      <c r="K79" s="15">
        <f t="shared" si="55"/>
        <v>94.734600097828547</v>
      </c>
      <c r="L79" s="15">
        <f t="shared" si="55"/>
        <v>87.186737017092867</v>
      </c>
      <c r="M79" s="15">
        <f t="shared" si="55"/>
        <v>78.372567344875804</v>
      </c>
      <c r="N79" s="15">
        <f t="shared" si="55"/>
        <v>86.010680885575269</v>
      </c>
      <c r="O79" s="15">
        <f t="shared" si="55"/>
        <v>95.873296261386017</v>
      </c>
      <c r="P79" s="15">
        <f t="shared" si="55"/>
        <v>94.06288848255231</v>
      </c>
      <c r="Q79" s="15">
        <f t="shared" si="55"/>
        <v>85.714527965872222</v>
      </c>
      <c r="R79" s="30">
        <f t="shared" si="55"/>
        <v>87.985908364012033</v>
      </c>
      <c r="S79" s="1">
        <f t="shared" si="55"/>
        <v>95.852153438707163</v>
      </c>
      <c r="T79" s="144">
        <f t="shared" si="55"/>
        <v>98.227621983908975</v>
      </c>
      <c r="U79" s="1"/>
      <c r="V79" s="31"/>
      <c r="W79" s="31"/>
      <c r="X79" s="3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</row>
    <row r="80" spans="1:64" ht="15.75" x14ac:dyDescent="0.3">
      <c r="A80" s="150">
        <v>75</v>
      </c>
      <c r="B80" s="10" t="s">
        <v>65</v>
      </c>
      <c r="C80">
        <v>1024659736.3818099</v>
      </c>
      <c r="E80" s="10" t="s">
        <v>386</v>
      </c>
      <c r="F80" s="151">
        <f>IF(ISNUMBER(M50),M50/SUM($I$43:$AI$71),0)</f>
        <v>5.1833983178335794E-3</v>
      </c>
      <c r="H80" s="160" t="s">
        <v>14</v>
      </c>
      <c r="I80" s="37">
        <f t="shared" si="55"/>
        <v>60.698674129149289</v>
      </c>
      <c r="J80" s="1">
        <f t="shared" si="55"/>
        <v>79.964364972388282</v>
      </c>
      <c r="K80" s="1">
        <f t="shared" si="55"/>
        <v>94.500202449181685</v>
      </c>
      <c r="L80" s="1">
        <f t="shared" si="55"/>
        <v>88.911790765659134</v>
      </c>
      <c r="M80" s="1">
        <f t="shared" si="55"/>
        <v>76.821783497320737</v>
      </c>
      <c r="N80" s="1">
        <f t="shared" si="55"/>
        <v>89.337321752519856</v>
      </c>
      <c r="O80" s="1">
        <f t="shared" si="55"/>
        <v>99.16464336646716</v>
      </c>
      <c r="P80" s="1">
        <f t="shared" si="55"/>
        <v>94.107708014917904</v>
      </c>
      <c r="Q80" s="1">
        <f t="shared" si="55"/>
        <v>85.22483646445518</v>
      </c>
      <c r="R80" s="1">
        <f t="shared" si="55"/>
        <v>87.046830881569477</v>
      </c>
      <c r="S80" s="29">
        <f t="shared" si="55"/>
        <v>94.350545363727989</v>
      </c>
      <c r="T80" s="1">
        <f t="shared" si="55"/>
        <v>97.718567080101224</v>
      </c>
      <c r="U80" s="144" t="str">
        <f t="shared" si="55"/>
        <v/>
      </c>
      <c r="V80" s="31"/>
      <c r="W80" s="31"/>
      <c r="X80" s="3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</row>
    <row r="81" spans="1:35" ht="15.75" x14ac:dyDescent="0.3">
      <c r="A81" s="150">
        <v>76</v>
      </c>
      <c r="B81" s="10" t="s">
        <v>66</v>
      </c>
      <c r="C81">
        <v>911219942.308411</v>
      </c>
      <c r="E81" s="10" t="s">
        <v>387</v>
      </c>
      <c r="F81" s="151">
        <f>IF(ISNUMBER(N50),N50/SUM($I$43:$AI$71),0)</f>
        <v>2.4058019689195088E-3</v>
      </c>
      <c r="H81" s="160" t="s">
        <v>15</v>
      </c>
      <c r="I81" s="37">
        <f t="shared" si="55"/>
        <v>62.68193934205199</v>
      </c>
      <c r="J81" s="1">
        <f t="shared" si="55"/>
        <v>80.667469526397156</v>
      </c>
      <c r="K81" s="1">
        <f t="shared" si="55"/>
        <v>95.685654986708613</v>
      </c>
      <c r="L81" s="1">
        <f t="shared" si="55"/>
        <v>89.893133387494146</v>
      </c>
      <c r="M81" s="1">
        <f t="shared" si="55"/>
        <v>77.182292814264528</v>
      </c>
      <c r="N81" s="1">
        <f t="shared" si="55"/>
        <v>85.637255050974346</v>
      </c>
      <c r="O81" s="1">
        <f t="shared" si="55"/>
        <v>91.898855571013826</v>
      </c>
      <c r="P81" s="1">
        <f t="shared" si="55"/>
        <v>68.636587586318186</v>
      </c>
      <c r="Q81" s="1">
        <f t="shared" si="55"/>
        <v>87.073213273911165</v>
      </c>
      <c r="R81" s="1">
        <f t="shared" si="55"/>
        <v>87.460118887424045</v>
      </c>
      <c r="S81" s="1">
        <f t="shared" si="55"/>
        <v>87.192429484490191</v>
      </c>
      <c r="T81" s="29">
        <f t="shared" si="55"/>
        <v>100.55206606045114</v>
      </c>
      <c r="U81" s="1" t="str">
        <f t="shared" si="55"/>
        <v/>
      </c>
      <c r="V81" s="144" t="str">
        <f t="shared" si="55"/>
        <v/>
      </c>
      <c r="W81" s="31"/>
      <c r="X81" s="3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</row>
    <row r="82" spans="1:35" ht="15.75" x14ac:dyDescent="0.3">
      <c r="A82" s="150">
        <v>77</v>
      </c>
      <c r="B82" s="10" t="s">
        <v>67</v>
      </c>
      <c r="C82">
        <v>590448997.51348901</v>
      </c>
      <c r="E82" s="10" t="s">
        <v>388</v>
      </c>
      <c r="F82" s="151">
        <f>IF(ISNUMBER(O50),O50/SUM($I$43:$AI$71),0)</f>
        <v>9.7328756092152676E-4</v>
      </c>
      <c r="H82" s="160" t="s">
        <v>16</v>
      </c>
      <c r="I82" s="37">
        <f t="shared" si="55"/>
        <v>64.826979928432777</v>
      </c>
      <c r="J82" s="1">
        <f t="shared" si="55"/>
        <v>81.0466308126652</v>
      </c>
      <c r="K82" s="1">
        <f t="shared" si="55"/>
        <v>95.395905728334327</v>
      </c>
      <c r="L82" s="1">
        <f t="shared" si="55"/>
        <v>88.575008074995949</v>
      </c>
      <c r="M82" s="1">
        <f t="shared" si="55"/>
        <v>77.674869937149225</v>
      </c>
      <c r="N82" s="1">
        <f t="shared" si="55"/>
        <v>85.175845032390711</v>
      </c>
      <c r="O82" s="1">
        <f t="shared" si="55"/>
        <v>95.523438348031632</v>
      </c>
      <c r="P82" s="1">
        <f t="shared" si="55"/>
        <v>90.02735659070656</v>
      </c>
      <c r="Q82" s="1" t="str">
        <f t="shared" si="55"/>
        <v/>
      </c>
      <c r="R82" s="1" t="str">
        <f t="shared" si="55"/>
        <v/>
      </c>
      <c r="S82" s="1" t="str">
        <f t="shared" si="55"/>
        <v/>
      </c>
      <c r="T82" s="1" t="str">
        <f t="shared" si="55"/>
        <v/>
      </c>
      <c r="U82" s="29" t="str">
        <f t="shared" si="55"/>
        <v/>
      </c>
      <c r="V82" s="31" t="str">
        <f t="shared" si="55"/>
        <v/>
      </c>
      <c r="W82" s="144" t="str">
        <f t="shared" si="55"/>
        <v/>
      </c>
      <c r="X82" s="3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</row>
    <row r="83" spans="1:35" ht="15.75" x14ac:dyDescent="0.3">
      <c r="A83" s="150">
        <v>78</v>
      </c>
      <c r="B83" s="10" t="s">
        <v>68</v>
      </c>
      <c r="C83">
        <v>463738020.994232</v>
      </c>
      <c r="E83" s="10" t="s">
        <v>389</v>
      </c>
      <c r="F83" s="151">
        <f>IF(ISNUMBER(P50),P50/SUM($I$43:$AI$71),0)</f>
        <v>0</v>
      </c>
      <c r="H83" s="159" t="s">
        <v>17</v>
      </c>
      <c r="I83" s="32">
        <f t="shared" si="55"/>
        <v>62.065944136472332</v>
      </c>
      <c r="J83" s="15">
        <f t="shared" si="55"/>
        <v>79.043350054720477</v>
      </c>
      <c r="K83" s="15">
        <f t="shared" si="55"/>
        <v>95.431463578653791</v>
      </c>
      <c r="L83" s="15">
        <f t="shared" si="55"/>
        <v>88.983504439760353</v>
      </c>
      <c r="M83" s="15">
        <f t="shared" si="55"/>
        <v>76.791203378907113</v>
      </c>
      <c r="N83" s="15">
        <f t="shared" si="55"/>
        <v>84.568463858038371</v>
      </c>
      <c r="O83" s="15">
        <f t="shared" si="55"/>
        <v>93.003804590211047</v>
      </c>
      <c r="P83" s="15">
        <f t="shared" si="55"/>
        <v>96.617728363251388</v>
      </c>
      <c r="Q83" s="15">
        <f t="shared" si="55"/>
        <v>71.949015288471912</v>
      </c>
      <c r="R83" s="15" t="str">
        <f t="shared" si="55"/>
        <v/>
      </c>
      <c r="S83" s="15" t="str">
        <f t="shared" si="55"/>
        <v/>
      </c>
      <c r="T83" s="15" t="str">
        <f t="shared" si="55"/>
        <v/>
      </c>
      <c r="U83" s="15" t="str">
        <f t="shared" si="55"/>
        <v/>
      </c>
      <c r="V83" s="30" t="str">
        <f t="shared" si="55"/>
        <v/>
      </c>
      <c r="W83" s="31" t="str">
        <f t="shared" si="55"/>
        <v/>
      </c>
      <c r="X83" s="144" t="str">
        <f t="shared" si="55"/>
        <v/>
      </c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</row>
    <row r="84" spans="1:35" ht="15.75" x14ac:dyDescent="0.3">
      <c r="A84" s="150">
        <v>79</v>
      </c>
      <c r="B84" s="10" t="s">
        <v>69</v>
      </c>
      <c r="C84">
        <v>219082557.122673</v>
      </c>
      <c r="E84" s="10" t="s">
        <v>390</v>
      </c>
      <c r="F84" s="151">
        <f>IF(ISNUMBER(Q50),Q50/SUM($I$43:$AI$71),0)</f>
        <v>3.8256824334490354E-4</v>
      </c>
      <c r="H84" s="160" t="s">
        <v>9</v>
      </c>
      <c r="I84" s="37" t="str">
        <f t="shared" si="55"/>
        <v/>
      </c>
      <c r="J84" s="1">
        <f t="shared" si="55"/>
        <v>77.021488082958953</v>
      </c>
      <c r="K84" s="1">
        <f t="shared" si="55"/>
        <v>95.720554061020607</v>
      </c>
      <c r="L84" s="1">
        <f t="shared" si="55"/>
        <v>88.573237038317458</v>
      </c>
      <c r="M84" s="1">
        <f t="shared" si="55"/>
        <v>76.876766326822462</v>
      </c>
      <c r="N84" s="1">
        <f t="shared" si="55"/>
        <v>82.086775770580459</v>
      </c>
      <c r="O84" s="1">
        <f t="shared" si="55"/>
        <v>92.021721723883275</v>
      </c>
      <c r="P84" s="1" t="str">
        <f t="shared" si="55"/>
        <v/>
      </c>
      <c r="Q84" s="1" t="str">
        <f t="shared" si="55"/>
        <v/>
      </c>
      <c r="R84" s="1" t="str">
        <f t="shared" si="55"/>
        <v/>
      </c>
      <c r="S84" s="1" t="str">
        <f t="shared" si="55"/>
        <v/>
      </c>
      <c r="T84" s="1">
        <f t="shared" si="55"/>
        <v>103.77494058646997</v>
      </c>
      <c r="U84" s="1">
        <f t="shared" si="55"/>
        <v>81.931828471602486</v>
      </c>
      <c r="V84" s="1">
        <f t="shared" si="55"/>
        <v>68.313856091492411</v>
      </c>
      <c r="W84" s="29" t="str">
        <f t="shared" si="55"/>
        <v/>
      </c>
      <c r="X84" s="31" t="str">
        <f t="shared" si="55"/>
        <v/>
      </c>
      <c r="Y84" s="144" t="str">
        <f t="shared" ref="Y84:AI99" si="56">IF(ISNUMBER(IF(ISNUMBER(Y148),IF(AND(1000000*Y116&gt;$J$2,1000000*Y148&gt;$J$2),Y148,""),"")/IF(ISNUMBER(Y116),IF(AND(1000000*Y116&gt;$J$2,1000000*Y148&gt;$J$2),Y116,""),"")),100*Y148/Y116,"")</f>
        <v/>
      </c>
      <c r="Z84" s="1"/>
      <c r="AA84" s="1"/>
      <c r="AB84" s="1"/>
      <c r="AC84" s="1"/>
      <c r="AD84" s="1"/>
      <c r="AE84" s="1"/>
      <c r="AF84" s="1"/>
      <c r="AG84" s="1"/>
      <c r="AH84" s="1"/>
      <c r="AI84" s="1"/>
    </row>
    <row r="85" spans="1:35" ht="15.75" x14ac:dyDescent="0.3">
      <c r="A85" s="150">
        <v>80</v>
      </c>
      <c r="B85" s="10" t="s">
        <v>70</v>
      </c>
      <c r="C85">
        <v>184389733.57296801</v>
      </c>
      <c r="E85" s="10" t="s">
        <v>503</v>
      </c>
      <c r="F85" s="151">
        <f>IF(ISNUMBER(R50),R50/SUM($I$43:$AI$71),0)</f>
        <v>7.9668319921142965E-4</v>
      </c>
      <c r="H85" s="160" t="s">
        <v>18</v>
      </c>
      <c r="I85" s="37" t="str">
        <f t="shared" si="55"/>
        <v/>
      </c>
      <c r="J85" s="1">
        <f t="shared" si="55"/>
        <v>67.337828036887728</v>
      </c>
      <c r="K85" s="1">
        <f t="shared" si="55"/>
        <v>91.572242710076239</v>
      </c>
      <c r="L85" s="1" t="str">
        <f t="shared" si="55"/>
        <v/>
      </c>
      <c r="M85" s="1" t="str">
        <f t="shared" si="55"/>
        <v/>
      </c>
      <c r="N85" s="1" t="str">
        <f t="shared" si="55"/>
        <v/>
      </c>
      <c r="O85" s="1" t="str">
        <f t="shared" si="55"/>
        <v/>
      </c>
      <c r="P85" s="1" t="str">
        <f t="shared" si="55"/>
        <v/>
      </c>
      <c r="Q85" s="1" t="str">
        <f t="shared" si="55"/>
        <v/>
      </c>
      <c r="R85" s="1" t="str">
        <f t="shared" si="55"/>
        <v/>
      </c>
      <c r="S85" s="1" t="str">
        <f t="shared" si="55"/>
        <v/>
      </c>
      <c r="T85" s="1">
        <f t="shared" si="55"/>
        <v>97.153773742345649</v>
      </c>
      <c r="U85" s="1">
        <f t="shared" si="55"/>
        <v>90.807907943883492</v>
      </c>
      <c r="V85" s="1">
        <f t="shared" si="55"/>
        <v>88.476297528828241</v>
      </c>
      <c r="W85" s="1">
        <f t="shared" si="55"/>
        <v>88.235887370833126</v>
      </c>
      <c r="X85" s="29">
        <f t="shared" si="55"/>
        <v>103.90351992884884</v>
      </c>
      <c r="Y85" s="1" t="str">
        <f t="shared" si="56"/>
        <v/>
      </c>
      <c r="Z85" s="144" t="str">
        <f t="shared" si="56"/>
        <v/>
      </c>
      <c r="AA85" s="1"/>
      <c r="AB85" s="1"/>
      <c r="AC85" s="1"/>
      <c r="AD85" s="1"/>
      <c r="AE85" s="1"/>
      <c r="AF85" s="1"/>
      <c r="AG85" s="1"/>
      <c r="AH85" s="1"/>
      <c r="AI85" s="1"/>
    </row>
    <row r="86" spans="1:35" ht="15.75" x14ac:dyDescent="0.3">
      <c r="A86" s="150">
        <v>81</v>
      </c>
      <c r="B86" s="10" t="s">
        <v>71</v>
      </c>
      <c r="C86">
        <v>320141547.940979</v>
      </c>
      <c r="E86" s="10" t="s">
        <v>504</v>
      </c>
      <c r="F86" s="151">
        <f>IF(ISNUMBER(S50),S50/SUM($I$43:$AI$71),0)</f>
        <v>7.3947162293708007E-4</v>
      </c>
      <c r="H86" s="160" t="s">
        <v>19</v>
      </c>
      <c r="I86" s="37">
        <f t="shared" si="55"/>
        <v>62.268173184316261</v>
      </c>
      <c r="J86" s="1">
        <f t="shared" si="55"/>
        <v>77.576066609183044</v>
      </c>
      <c r="K86" s="1">
        <f t="shared" si="55"/>
        <v>93.300371659417578</v>
      </c>
      <c r="L86" s="1">
        <f t="shared" si="55"/>
        <v>90.205763716280231</v>
      </c>
      <c r="M86" s="1">
        <f t="shared" si="55"/>
        <v>76.724993303845281</v>
      </c>
      <c r="N86" s="1" t="str">
        <f t="shared" si="55"/>
        <v/>
      </c>
      <c r="O86" s="1" t="str">
        <f t="shared" si="55"/>
        <v/>
      </c>
      <c r="P86" s="1" t="str">
        <f t="shared" si="55"/>
        <v/>
      </c>
      <c r="Q86" s="1" t="str">
        <f t="shared" si="55"/>
        <v/>
      </c>
      <c r="R86" s="1" t="str">
        <f t="shared" si="55"/>
        <v/>
      </c>
      <c r="S86" s="1" t="str">
        <f t="shared" si="55"/>
        <v/>
      </c>
      <c r="T86" s="1">
        <f t="shared" si="55"/>
        <v>98.380859200957957</v>
      </c>
      <c r="U86" s="1">
        <f t="shared" si="55"/>
        <v>89.627755748425272</v>
      </c>
      <c r="V86" s="1">
        <f t="shared" si="55"/>
        <v>88.467390906546854</v>
      </c>
      <c r="W86" s="1">
        <f t="shared" si="55"/>
        <v>95.784969963248969</v>
      </c>
      <c r="X86" s="31">
        <f t="shared" si="55"/>
        <v>96.602938526572899</v>
      </c>
      <c r="Y86" s="29">
        <f t="shared" si="56"/>
        <v>95.740582544594773</v>
      </c>
      <c r="Z86" s="1" t="str">
        <f t="shared" si="56"/>
        <v/>
      </c>
      <c r="AA86" s="144" t="str">
        <f t="shared" si="56"/>
        <v/>
      </c>
      <c r="AB86" s="1"/>
      <c r="AC86" s="1"/>
      <c r="AD86" s="1"/>
      <c r="AE86" s="1"/>
      <c r="AF86" s="1"/>
      <c r="AG86" s="1"/>
      <c r="AH86" s="1"/>
      <c r="AI86" s="1"/>
    </row>
    <row r="87" spans="1:35" ht="15.75" x14ac:dyDescent="0.3">
      <c r="A87" s="150">
        <v>82</v>
      </c>
      <c r="B87" s="10" t="s">
        <v>72</v>
      </c>
      <c r="C87">
        <v>305265528.40515101</v>
      </c>
      <c r="E87" s="10" t="s">
        <v>505</v>
      </c>
      <c r="F87" s="151">
        <f>IF(ISNUMBER(T50),T50/SUM($I$43:$AI$71),0)</f>
        <v>2.9026287945743695E-4</v>
      </c>
      <c r="H87" s="160" t="s">
        <v>20</v>
      </c>
      <c r="I87" s="37">
        <f t="shared" si="55"/>
        <v>66.238081724096588</v>
      </c>
      <c r="J87" s="1">
        <f t="shared" si="55"/>
        <v>79.481220616349702</v>
      </c>
      <c r="K87" s="1">
        <f t="shared" si="55"/>
        <v>95.388372425060737</v>
      </c>
      <c r="L87" s="1">
        <f t="shared" si="55"/>
        <v>88.095993874300589</v>
      </c>
      <c r="M87" s="1">
        <f t="shared" si="55"/>
        <v>76.449667426157006</v>
      </c>
      <c r="N87" s="1">
        <f t="shared" si="55"/>
        <v>85.329934588814979</v>
      </c>
      <c r="O87" s="1" t="str">
        <f t="shared" si="55"/>
        <v/>
      </c>
      <c r="P87" s="1" t="str">
        <f t="shared" si="55"/>
        <v/>
      </c>
      <c r="Q87" s="1" t="str">
        <f t="shared" si="55"/>
        <v/>
      </c>
      <c r="R87" s="31" t="str">
        <f t="shared" si="55"/>
        <v/>
      </c>
      <c r="S87" s="31" t="str">
        <f t="shared" si="55"/>
        <v/>
      </c>
      <c r="T87" s="31" t="str">
        <f t="shared" si="55"/>
        <v/>
      </c>
      <c r="U87" s="31">
        <f t="shared" si="55"/>
        <v>89.295303724505757</v>
      </c>
      <c r="V87" s="31">
        <f t="shared" si="55"/>
        <v>91.57342309226064</v>
      </c>
      <c r="W87" s="31">
        <f t="shared" si="55"/>
        <v>95.694858471875818</v>
      </c>
      <c r="X87" s="31">
        <f t="shared" si="55"/>
        <v>99.313693014526805</v>
      </c>
      <c r="Y87" s="1">
        <f t="shared" si="56"/>
        <v>91.774411039467182</v>
      </c>
      <c r="Z87" s="29">
        <f t="shared" si="56"/>
        <v>75.22758769629948</v>
      </c>
      <c r="AA87" s="1" t="str">
        <f t="shared" si="56"/>
        <v/>
      </c>
      <c r="AB87" s="144" t="str">
        <f t="shared" si="56"/>
        <v/>
      </c>
      <c r="AC87" s="1"/>
      <c r="AD87" s="1"/>
      <c r="AE87" s="1"/>
      <c r="AF87" s="1"/>
      <c r="AG87" s="1"/>
      <c r="AH87" s="1"/>
      <c r="AI87" s="1"/>
    </row>
    <row r="88" spans="1:35" ht="15.75" x14ac:dyDescent="0.3">
      <c r="A88" s="150">
        <v>83</v>
      </c>
      <c r="B88" s="10" t="s">
        <v>73</v>
      </c>
      <c r="C88">
        <v>454417276.055206</v>
      </c>
      <c r="E88" s="10" t="s">
        <v>1573</v>
      </c>
      <c r="F88" s="151">
        <f>IF(ISNUMBER(U50),U50/SUM($I$43:$AI$71),0)</f>
        <v>0</v>
      </c>
      <c r="H88" s="160" t="s">
        <v>21</v>
      </c>
      <c r="I88" s="37">
        <f t="shared" si="55"/>
        <v>59.938932785425315</v>
      </c>
      <c r="J88" s="1">
        <f t="shared" si="55"/>
        <v>80.212008207011678</v>
      </c>
      <c r="K88" s="1">
        <f t="shared" si="55"/>
        <v>96.108348878037901</v>
      </c>
      <c r="L88" s="1">
        <f t="shared" si="55"/>
        <v>89.670476733585332</v>
      </c>
      <c r="M88" s="1">
        <f t="shared" si="55"/>
        <v>77.905550624565691</v>
      </c>
      <c r="N88" s="1">
        <f t="shared" si="55"/>
        <v>85.718224417580259</v>
      </c>
      <c r="O88" s="1">
        <f t="shared" si="55"/>
        <v>84.849978790399007</v>
      </c>
      <c r="P88" s="1" t="str">
        <f t="shared" si="55"/>
        <v/>
      </c>
      <c r="Q88" s="1" t="str">
        <f t="shared" si="55"/>
        <v/>
      </c>
      <c r="R88" s="31" t="str">
        <f t="shared" si="55"/>
        <v/>
      </c>
      <c r="S88" s="31" t="str">
        <f t="shared" si="55"/>
        <v/>
      </c>
      <c r="T88" s="31" t="str">
        <f t="shared" si="55"/>
        <v/>
      </c>
      <c r="U88" s="31">
        <f t="shared" si="55"/>
        <v>80.91015921290807</v>
      </c>
      <c r="V88" s="31">
        <f t="shared" si="55"/>
        <v>93.151547466114266</v>
      </c>
      <c r="W88" s="31">
        <f t="shared" si="55"/>
        <v>95.693318422617097</v>
      </c>
      <c r="X88" s="31">
        <f t="shared" si="55"/>
        <v>99.064890719891338</v>
      </c>
      <c r="Y88" s="1">
        <f t="shared" si="56"/>
        <v>91.80283040213709</v>
      </c>
      <c r="Z88" s="1">
        <f t="shared" si="56"/>
        <v>94.525514417422968</v>
      </c>
      <c r="AA88" s="29">
        <f t="shared" si="56"/>
        <v>104.94360138102954</v>
      </c>
      <c r="AB88" s="1" t="str">
        <f t="shared" si="56"/>
        <v/>
      </c>
      <c r="AC88" s="144" t="str">
        <f t="shared" si="56"/>
        <v/>
      </c>
      <c r="AD88" s="1"/>
      <c r="AE88" s="1"/>
      <c r="AF88" s="1"/>
      <c r="AG88" s="1"/>
      <c r="AH88" s="1"/>
      <c r="AI88" s="1"/>
    </row>
    <row r="89" spans="1:35" ht="15.75" x14ac:dyDescent="0.3">
      <c r="A89" s="150">
        <v>84</v>
      </c>
      <c r="B89" s="10" t="s">
        <v>74</v>
      </c>
      <c r="C89">
        <v>428263213.74267602</v>
      </c>
      <c r="E89" s="10" t="s">
        <v>1574</v>
      </c>
      <c r="F89" s="151">
        <f>IF(ISNUMBER(V50),V50/SUM($I$43:$AI$71),0)</f>
        <v>0</v>
      </c>
      <c r="H89" s="160" t="s">
        <v>22</v>
      </c>
      <c r="I89" s="37">
        <f t="shared" si="55"/>
        <v>62.054795035325185</v>
      </c>
      <c r="J89" s="1">
        <f t="shared" si="55"/>
        <v>79.171238843249952</v>
      </c>
      <c r="K89" s="1">
        <f t="shared" si="55"/>
        <v>96.031301664066277</v>
      </c>
      <c r="L89" s="1">
        <f t="shared" si="55"/>
        <v>89.598289184239917</v>
      </c>
      <c r="M89" s="1">
        <f t="shared" si="55"/>
        <v>77.982243226140355</v>
      </c>
      <c r="N89" s="1">
        <f t="shared" si="55"/>
        <v>84.013652591812161</v>
      </c>
      <c r="O89" s="1">
        <f t="shared" si="55"/>
        <v>94.913485122926659</v>
      </c>
      <c r="P89" s="1" t="str">
        <f t="shared" si="55"/>
        <v/>
      </c>
      <c r="Q89" s="1" t="str">
        <f t="shared" si="55"/>
        <v/>
      </c>
      <c r="R89" s="31" t="str">
        <f t="shared" si="55"/>
        <v/>
      </c>
      <c r="S89" s="31" t="str">
        <f t="shared" si="55"/>
        <v/>
      </c>
      <c r="T89" s="31" t="str">
        <f t="shared" si="55"/>
        <v/>
      </c>
      <c r="U89" s="31" t="str">
        <f t="shared" si="55"/>
        <v/>
      </c>
      <c r="V89" s="31">
        <f t="shared" si="55"/>
        <v>88.412749408326704</v>
      </c>
      <c r="W89" s="31">
        <f t="shared" si="55"/>
        <v>96.150899246459389</v>
      </c>
      <c r="X89" s="31">
        <f t="shared" si="55"/>
        <v>96.520477626056675</v>
      </c>
      <c r="Y89" s="1">
        <f t="shared" si="56"/>
        <v>90.767432994283439</v>
      </c>
      <c r="Z89" s="1">
        <f t="shared" si="56"/>
        <v>90.89676082197488</v>
      </c>
      <c r="AA89" s="1">
        <f t="shared" si="56"/>
        <v>94.41115732810249</v>
      </c>
      <c r="AB89" s="29">
        <f t="shared" si="56"/>
        <v>97.114571765897367</v>
      </c>
      <c r="AC89" s="1" t="str">
        <f t="shared" si="56"/>
        <v/>
      </c>
      <c r="AD89" s="144" t="str">
        <f t="shared" si="56"/>
        <v/>
      </c>
      <c r="AE89" s="1"/>
      <c r="AF89" s="1"/>
      <c r="AG89" s="1"/>
      <c r="AH89" s="1"/>
      <c r="AI89" s="1"/>
    </row>
    <row r="90" spans="1:35" ht="15.75" x14ac:dyDescent="0.3">
      <c r="A90" s="150">
        <v>85</v>
      </c>
      <c r="B90" s="10" t="s">
        <v>75</v>
      </c>
      <c r="C90">
        <v>283424513.75048798</v>
      </c>
      <c r="E90" s="10" t="s">
        <v>506</v>
      </c>
      <c r="F90" s="151">
        <f>IF(ISNUMBER(I51),I51/SUM($I$43:$AI$71),0)</f>
        <v>8.5347773694064409E-4</v>
      </c>
      <c r="H90" s="160" t="s">
        <v>23</v>
      </c>
      <c r="I90" s="37">
        <f t="shared" ref="I90:X102" si="57">IF(ISNUMBER(IF(ISNUMBER(I154),IF(AND(1000000*I122&gt;$J$2,1000000*I154&gt;$J$2),I154,""),"")/IF(ISNUMBER(I122),IF(AND(1000000*I122&gt;$J$2,1000000*I154&gt;$J$2),I122,""),"")),100*I154/I122,"")</f>
        <v>63.502180706878072</v>
      </c>
      <c r="J90" s="1">
        <f t="shared" si="57"/>
        <v>77.702501515297342</v>
      </c>
      <c r="K90" s="1">
        <f t="shared" si="57"/>
        <v>95.987376143876602</v>
      </c>
      <c r="L90" s="1">
        <f t="shared" si="57"/>
        <v>90.783178678353934</v>
      </c>
      <c r="M90" s="1">
        <f t="shared" si="57"/>
        <v>78.9791092606809</v>
      </c>
      <c r="N90" s="1">
        <f t="shared" si="57"/>
        <v>84.444691357876891</v>
      </c>
      <c r="O90" s="1">
        <f t="shared" si="57"/>
        <v>91.726769121971103</v>
      </c>
      <c r="P90" s="1">
        <f t="shared" si="57"/>
        <v>91.484832424976574</v>
      </c>
      <c r="Q90" s="1" t="str">
        <f t="shared" si="57"/>
        <v/>
      </c>
      <c r="R90" s="31" t="str">
        <f t="shared" si="57"/>
        <v/>
      </c>
      <c r="S90" s="31" t="str">
        <f t="shared" si="57"/>
        <v/>
      </c>
      <c r="T90" s="31" t="str">
        <f t="shared" si="57"/>
        <v/>
      </c>
      <c r="U90" s="31" t="str">
        <f t="shared" si="57"/>
        <v/>
      </c>
      <c r="V90" s="31" t="str">
        <f t="shared" si="57"/>
        <v/>
      </c>
      <c r="W90" s="31">
        <f t="shared" si="57"/>
        <v>91.938543019947957</v>
      </c>
      <c r="X90" s="31">
        <f t="shared" si="57"/>
        <v>95.506924667048068</v>
      </c>
      <c r="Y90" s="1">
        <f t="shared" si="56"/>
        <v>88.57483057248136</v>
      </c>
      <c r="Z90" s="1">
        <f t="shared" si="56"/>
        <v>90.82623954132464</v>
      </c>
      <c r="AA90" s="1">
        <f t="shared" si="56"/>
        <v>97.897651803496942</v>
      </c>
      <c r="AB90" s="1">
        <f t="shared" si="56"/>
        <v>96.783088000698086</v>
      </c>
      <c r="AC90" s="29">
        <f t="shared" si="56"/>
        <v>83.663320681004848</v>
      </c>
      <c r="AD90" s="1" t="str">
        <f t="shared" si="56"/>
        <v/>
      </c>
      <c r="AE90" s="144" t="str">
        <f t="shared" si="56"/>
        <v/>
      </c>
      <c r="AF90" s="1"/>
      <c r="AG90" s="1"/>
      <c r="AH90" s="1"/>
      <c r="AI90" s="1"/>
    </row>
    <row r="91" spans="1:35" ht="15.75" x14ac:dyDescent="0.3">
      <c r="A91" s="150">
        <v>86</v>
      </c>
      <c r="B91" s="10" t="s">
        <v>76</v>
      </c>
      <c r="C91">
        <v>240891145.20405599</v>
      </c>
      <c r="E91" s="10" t="s">
        <v>391</v>
      </c>
      <c r="F91" s="151">
        <f>IF(ISNUMBER(J51),J51/SUM($I$43:$AI$71),0)</f>
        <v>7.5411872422547358E-3</v>
      </c>
      <c r="H91" s="160" t="s">
        <v>24</v>
      </c>
      <c r="I91" s="37">
        <f t="shared" si="57"/>
        <v>63.819396493773908</v>
      </c>
      <c r="J91" s="1">
        <f t="shared" si="57"/>
        <v>78.915788979935684</v>
      </c>
      <c r="K91" s="1">
        <f t="shared" si="57"/>
        <v>97.606699282096272</v>
      </c>
      <c r="L91" s="1">
        <f t="shared" si="57"/>
        <v>89.636296716974982</v>
      </c>
      <c r="M91" s="1">
        <f t="shared" si="57"/>
        <v>78.2798449986973</v>
      </c>
      <c r="N91" s="1">
        <f t="shared" si="57"/>
        <v>84.686446462946734</v>
      </c>
      <c r="O91" s="1">
        <f t="shared" si="57"/>
        <v>94.811548455339604</v>
      </c>
      <c r="P91" s="1">
        <f t="shared" si="57"/>
        <v>90.831855197379213</v>
      </c>
      <c r="Q91" s="1" t="str">
        <f t="shared" si="57"/>
        <v/>
      </c>
      <c r="R91" s="31" t="str">
        <f t="shared" si="57"/>
        <v/>
      </c>
      <c r="S91" s="31" t="str">
        <f t="shared" si="57"/>
        <v/>
      </c>
      <c r="T91" s="31" t="str">
        <f t="shared" si="57"/>
        <v/>
      </c>
      <c r="U91" s="31" t="str">
        <f t="shared" si="57"/>
        <v/>
      </c>
      <c r="V91" s="31" t="str">
        <f t="shared" si="57"/>
        <v/>
      </c>
      <c r="W91" s="31">
        <f t="shared" si="57"/>
        <v>90.815567010971563</v>
      </c>
      <c r="X91" s="31">
        <f t="shared" si="57"/>
        <v>94.054175023485641</v>
      </c>
      <c r="Y91" s="1">
        <f t="shared" si="56"/>
        <v>89.552398070061841</v>
      </c>
      <c r="Z91" s="1">
        <f t="shared" si="56"/>
        <v>93.462484064900536</v>
      </c>
      <c r="AA91" s="1">
        <f t="shared" si="56"/>
        <v>96.699991692297715</v>
      </c>
      <c r="AB91" s="1">
        <f t="shared" si="56"/>
        <v>95.866506320536374</v>
      </c>
      <c r="AC91" s="1">
        <f t="shared" si="56"/>
        <v>88.301265336885479</v>
      </c>
      <c r="AD91" s="29">
        <f t="shared" si="56"/>
        <v>92.865715909030186</v>
      </c>
      <c r="AE91" s="1" t="str">
        <f t="shared" si="56"/>
        <v/>
      </c>
      <c r="AF91" s="144" t="str">
        <f t="shared" si="56"/>
        <v/>
      </c>
      <c r="AG91" s="1"/>
      <c r="AH91" s="1"/>
      <c r="AI91" s="1"/>
    </row>
    <row r="92" spans="1:35" ht="15.75" x14ac:dyDescent="0.3">
      <c r="A92" s="150">
        <v>87</v>
      </c>
      <c r="B92" s="10" t="s">
        <v>1105</v>
      </c>
      <c r="C92">
        <v>68909841.069351196</v>
      </c>
      <c r="E92" s="10" t="s">
        <v>392</v>
      </c>
      <c r="F92" s="151">
        <f>IF(ISNUMBER(K51),K51/SUM($I$43:$AI$71),0)</f>
        <v>1.4819315591620214E-2</v>
      </c>
      <c r="H92" s="160" t="s">
        <v>330</v>
      </c>
      <c r="I92" s="37">
        <f t="shared" si="57"/>
        <v>61.196754620582823</v>
      </c>
      <c r="J92" s="1">
        <f t="shared" si="57"/>
        <v>77.019715320707434</v>
      </c>
      <c r="K92" s="1">
        <f t="shared" si="57"/>
        <v>96.078087439301726</v>
      </c>
      <c r="L92" s="1">
        <f t="shared" si="57"/>
        <v>88.956804807546931</v>
      </c>
      <c r="M92" s="1">
        <f t="shared" si="57"/>
        <v>78.221279187638544</v>
      </c>
      <c r="N92" s="1">
        <f t="shared" si="57"/>
        <v>83.953433274466718</v>
      </c>
      <c r="O92" s="1">
        <f t="shared" si="57"/>
        <v>90.418304259608917</v>
      </c>
      <c r="P92" s="1">
        <f t="shared" si="57"/>
        <v>98.701656301132459</v>
      </c>
      <c r="Q92" s="1" t="str">
        <f t="shared" si="57"/>
        <v/>
      </c>
      <c r="R92" s="31" t="str">
        <f t="shared" si="57"/>
        <v/>
      </c>
      <c r="S92" s="31" t="str">
        <f t="shared" si="57"/>
        <v/>
      </c>
      <c r="T92" s="31" t="str">
        <f t="shared" si="57"/>
        <v/>
      </c>
      <c r="U92" s="31" t="str">
        <f t="shared" si="57"/>
        <v/>
      </c>
      <c r="V92" s="31" t="str">
        <f t="shared" si="57"/>
        <v/>
      </c>
      <c r="W92" s="31" t="str">
        <f t="shared" si="57"/>
        <v/>
      </c>
      <c r="X92" s="31">
        <f t="shared" si="57"/>
        <v>84.514242699427299</v>
      </c>
      <c r="Y92" s="1">
        <f t="shared" si="56"/>
        <v>87.989889452401215</v>
      </c>
      <c r="Z92" s="1">
        <f t="shared" si="56"/>
        <v>90.994762655631746</v>
      </c>
      <c r="AA92" s="1">
        <f t="shared" si="56"/>
        <v>97.933001434443099</v>
      </c>
      <c r="AB92" s="1">
        <f t="shared" si="56"/>
        <v>97.982895333321622</v>
      </c>
      <c r="AC92" s="1">
        <f t="shared" si="56"/>
        <v>91.693996454555929</v>
      </c>
      <c r="AD92" s="1">
        <f t="shared" si="56"/>
        <v>95.782643128816886</v>
      </c>
      <c r="AE92" s="29">
        <f t="shared" si="56"/>
        <v>114.67580031508264</v>
      </c>
      <c r="AF92" s="1" t="str">
        <f t="shared" si="56"/>
        <v/>
      </c>
      <c r="AG92" s="144" t="str">
        <f t="shared" si="56"/>
        <v/>
      </c>
      <c r="AH92" s="1"/>
      <c r="AI92" s="1"/>
    </row>
    <row r="93" spans="1:35" ht="15.75" x14ac:dyDescent="0.3">
      <c r="A93" s="150">
        <v>88</v>
      </c>
      <c r="B93" s="10" t="s">
        <v>1106</v>
      </c>
      <c r="C93">
        <v>59466270.047183998</v>
      </c>
      <c r="E93" s="10" t="s">
        <v>393</v>
      </c>
      <c r="F93" s="151">
        <f>IF(ISNUMBER(L51),L51/SUM($I$43:$AI$71),0)</f>
        <v>1.2872205711749594E-2</v>
      </c>
      <c r="H93" s="160" t="s">
        <v>331</v>
      </c>
      <c r="I93" s="37">
        <f t="shared" si="57"/>
        <v>53.275776948761759</v>
      </c>
      <c r="J93" s="1">
        <f t="shared" si="57"/>
        <v>79.827077798188924</v>
      </c>
      <c r="K93" s="1">
        <f t="shared" si="57"/>
        <v>96.321486818915886</v>
      </c>
      <c r="L93" s="1">
        <f t="shared" si="57"/>
        <v>86.72100697299922</v>
      </c>
      <c r="M93" s="1">
        <f t="shared" si="57"/>
        <v>78.575696211705775</v>
      </c>
      <c r="N93" s="1">
        <f t="shared" si="57"/>
        <v>84.351696938581739</v>
      </c>
      <c r="O93" s="1">
        <f t="shared" si="57"/>
        <v>96.136174877007576</v>
      </c>
      <c r="P93" s="1">
        <f t="shared" si="57"/>
        <v>100.20478654136387</v>
      </c>
      <c r="Q93" s="1" t="str">
        <f t="shared" si="57"/>
        <v/>
      </c>
      <c r="R93" s="31" t="str">
        <f t="shared" si="57"/>
        <v/>
      </c>
      <c r="S93" s="31" t="str">
        <f t="shared" si="57"/>
        <v/>
      </c>
      <c r="T93" s="31" t="str">
        <f t="shared" si="57"/>
        <v/>
      </c>
      <c r="U93" s="31" t="str">
        <f t="shared" si="57"/>
        <v/>
      </c>
      <c r="V93" s="31" t="str">
        <f t="shared" si="57"/>
        <v/>
      </c>
      <c r="W93" s="31" t="str">
        <f t="shared" si="57"/>
        <v/>
      </c>
      <c r="X93" s="31" t="str">
        <f t="shared" si="57"/>
        <v/>
      </c>
      <c r="Y93" s="1">
        <f t="shared" si="56"/>
        <v>64.777797615215377</v>
      </c>
      <c r="Z93" s="1">
        <f t="shared" si="56"/>
        <v>88.845920950979448</v>
      </c>
      <c r="AA93" s="1">
        <f t="shared" si="56"/>
        <v>99.268016938795128</v>
      </c>
      <c r="AB93" s="1">
        <f t="shared" si="56"/>
        <v>97.462674195959806</v>
      </c>
      <c r="AC93" s="1">
        <f t="shared" si="56"/>
        <v>90.245541377164983</v>
      </c>
      <c r="AD93" s="1">
        <f t="shared" si="56"/>
        <v>93.122969051749337</v>
      </c>
      <c r="AE93" s="1">
        <f t="shared" si="56"/>
        <v>104.73994205409369</v>
      </c>
      <c r="AF93" s="29">
        <f t="shared" si="56"/>
        <v>144.0501819233636</v>
      </c>
      <c r="AG93" s="1" t="str">
        <f t="shared" si="56"/>
        <v/>
      </c>
      <c r="AH93" s="144" t="str">
        <f t="shared" si="56"/>
        <v/>
      </c>
      <c r="AI93" s="1"/>
    </row>
    <row r="94" spans="1:35" ht="15.75" x14ac:dyDescent="0.3">
      <c r="A94" s="150">
        <v>89</v>
      </c>
      <c r="B94" s="10" t="s">
        <v>1107</v>
      </c>
      <c r="C94">
        <v>4652304.6857469101</v>
      </c>
      <c r="E94" s="10" t="s">
        <v>394</v>
      </c>
      <c r="F94" s="151">
        <f>IF(ISNUMBER(M51),M51/SUM($I$43:$AI$71),0)</f>
        <v>6.9794127671995859E-3</v>
      </c>
      <c r="H94" s="160" t="s">
        <v>332</v>
      </c>
      <c r="I94" s="37">
        <f t="shared" si="57"/>
        <v>64.102231305962562</v>
      </c>
      <c r="J94" s="1">
        <f t="shared" si="57"/>
        <v>78.357710500830549</v>
      </c>
      <c r="K94" s="1">
        <f t="shared" si="57"/>
        <v>96.257495207105364</v>
      </c>
      <c r="L94" s="1">
        <f t="shared" si="57"/>
        <v>87.641420255188407</v>
      </c>
      <c r="M94" s="1">
        <f t="shared" si="57"/>
        <v>77.61250690551698</v>
      </c>
      <c r="N94" s="1">
        <f t="shared" si="57"/>
        <v>81.791546685242324</v>
      </c>
      <c r="O94" s="1">
        <f t="shared" si="57"/>
        <v>95.431241830384081</v>
      </c>
      <c r="P94" s="1">
        <f t="shared" si="57"/>
        <v>99.919063971156731</v>
      </c>
      <c r="Q94" s="1" t="str">
        <f t="shared" si="57"/>
        <v/>
      </c>
      <c r="R94" s="31" t="str">
        <f t="shared" si="57"/>
        <v/>
      </c>
      <c r="S94" s="31" t="str">
        <f t="shared" si="57"/>
        <v/>
      </c>
      <c r="T94" s="31" t="str">
        <f t="shared" si="57"/>
        <v/>
      </c>
      <c r="U94" s="31" t="str">
        <f t="shared" si="57"/>
        <v/>
      </c>
      <c r="V94" s="31" t="str">
        <f t="shared" si="57"/>
        <v/>
      </c>
      <c r="W94" s="31" t="str">
        <f t="shared" si="57"/>
        <v/>
      </c>
      <c r="X94" s="31" t="str">
        <f t="shared" si="57"/>
        <v/>
      </c>
      <c r="Y94" s="1" t="str">
        <f t="shared" si="56"/>
        <v/>
      </c>
      <c r="Z94" s="1">
        <f t="shared" si="56"/>
        <v>86.564121302508141</v>
      </c>
      <c r="AA94" s="1">
        <f t="shared" si="56"/>
        <v>92.863638612718759</v>
      </c>
      <c r="AB94" s="1">
        <f t="shared" si="56"/>
        <v>96.489313340020544</v>
      </c>
      <c r="AC94" s="1">
        <f t="shared" si="56"/>
        <v>92.369066980082508</v>
      </c>
      <c r="AD94" s="1">
        <f t="shared" si="56"/>
        <v>91.604763085056049</v>
      </c>
      <c r="AE94" s="1">
        <f t="shared" si="56"/>
        <v>99.875123370886485</v>
      </c>
      <c r="AF94" s="1">
        <f t="shared" si="56"/>
        <v>94.802037326539818</v>
      </c>
      <c r="AG94" s="29">
        <f t="shared" si="56"/>
        <v>90.473881182506801</v>
      </c>
      <c r="AH94" s="1" t="str">
        <f t="shared" si="56"/>
        <v/>
      </c>
      <c r="AI94" s="144" t="str">
        <f t="shared" si="56"/>
        <v/>
      </c>
    </row>
    <row r="95" spans="1:35" ht="15.75" x14ac:dyDescent="0.3">
      <c r="A95" s="150">
        <v>90</v>
      </c>
      <c r="B95" s="10" t="s">
        <v>1108</v>
      </c>
      <c r="C95">
        <v>4485197.6949360399</v>
      </c>
      <c r="E95" s="10" t="s">
        <v>395</v>
      </c>
      <c r="F95" s="151">
        <f>IF(ISNUMBER(N51),N51/SUM($I$43:$AI$71),0)</f>
        <v>3.5967950974930855E-3</v>
      </c>
      <c r="H95" s="160" t="s">
        <v>333</v>
      </c>
      <c r="I95" s="37">
        <f t="shared" si="57"/>
        <v>51.601983200073576</v>
      </c>
      <c r="J95" s="1">
        <f t="shared" si="57"/>
        <v>79.468924965924955</v>
      </c>
      <c r="K95" s="1">
        <f t="shared" si="57"/>
        <v>100.08934609229146</v>
      </c>
      <c r="L95" s="1">
        <f t="shared" si="57"/>
        <v>86.633017365012563</v>
      </c>
      <c r="M95" s="1">
        <f t="shared" si="57"/>
        <v>75.483190083326278</v>
      </c>
      <c r="N95" s="1">
        <f t="shared" si="57"/>
        <v>85.730391090961916</v>
      </c>
      <c r="O95" s="1">
        <f t="shared" si="57"/>
        <v>91.319169088943042</v>
      </c>
      <c r="P95" s="1">
        <f t="shared" si="57"/>
        <v>97.800993540357396</v>
      </c>
      <c r="Q95" s="1" t="str">
        <f t="shared" si="57"/>
        <v/>
      </c>
      <c r="R95" s="31" t="str">
        <f t="shared" si="57"/>
        <v/>
      </c>
      <c r="S95" s="31" t="str">
        <f t="shared" si="57"/>
        <v/>
      </c>
      <c r="T95" s="31" t="str">
        <f t="shared" si="57"/>
        <v/>
      </c>
      <c r="U95" s="31" t="str">
        <f t="shared" si="57"/>
        <v/>
      </c>
      <c r="V95" s="31" t="str">
        <f t="shared" si="57"/>
        <v/>
      </c>
      <c r="W95" s="31" t="str">
        <f t="shared" si="57"/>
        <v/>
      </c>
      <c r="X95" s="31" t="str">
        <f t="shared" si="57"/>
        <v/>
      </c>
      <c r="Y95" s="1" t="str">
        <f t="shared" si="56"/>
        <v/>
      </c>
      <c r="Z95" s="1" t="str">
        <f t="shared" si="56"/>
        <v/>
      </c>
      <c r="AA95" s="1">
        <f t="shared" si="56"/>
        <v>84.271017800982833</v>
      </c>
      <c r="AB95" s="1">
        <f t="shared" si="56"/>
        <v>96.941264776745925</v>
      </c>
      <c r="AC95" s="1">
        <f t="shared" si="56"/>
        <v>91.953696586231459</v>
      </c>
      <c r="AD95" s="1">
        <f t="shared" si="56"/>
        <v>93.291914557054014</v>
      </c>
      <c r="AE95" s="1">
        <f t="shared" si="56"/>
        <v>97.987730366660813</v>
      </c>
      <c r="AF95" s="1">
        <f t="shared" si="56"/>
        <v>94.463112897323327</v>
      </c>
      <c r="AG95" s="1">
        <f t="shared" si="56"/>
        <v>78.326918339208859</v>
      </c>
      <c r="AH95" s="29" t="str">
        <f t="shared" si="56"/>
        <v/>
      </c>
      <c r="AI95" s="145" t="str">
        <f t="shared" si="56"/>
        <v/>
      </c>
    </row>
    <row r="96" spans="1:35" ht="15.75" x14ac:dyDescent="0.3">
      <c r="A96" s="150">
        <v>91</v>
      </c>
      <c r="B96" s="10" t="s">
        <v>681</v>
      </c>
      <c r="C96">
        <v>233923.05623383101</v>
      </c>
      <c r="E96" s="10" t="s">
        <v>396</v>
      </c>
      <c r="F96" s="151">
        <f>IF(ISNUMBER(O51),O51/SUM($I$43:$AI$71),0)</f>
        <v>1.7964124524972886E-3</v>
      </c>
      <c r="H96" s="160" t="s">
        <v>334</v>
      </c>
      <c r="I96" s="37">
        <f t="shared" si="57"/>
        <v>41.82993673774218</v>
      </c>
      <c r="J96" s="1">
        <f t="shared" si="57"/>
        <v>77.467112393078921</v>
      </c>
      <c r="K96" s="1">
        <f t="shared" si="57"/>
        <v>102.09582048826245</v>
      </c>
      <c r="L96" s="1">
        <f t="shared" si="57"/>
        <v>81.301128711182727</v>
      </c>
      <c r="M96" s="1">
        <f t="shared" si="57"/>
        <v>71.349179042017099</v>
      </c>
      <c r="N96" s="1">
        <f t="shared" si="57"/>
        <v>83.027932665818298</v>
      </c>
      <c r="O96" s="1">
        <f t="shared" si="57"/>
        <v>98.98770733623229</v>
      </c>
      <c r="P96" s="1">
        <f t="shared" si="57"/>
        <v>92.474250193693166</v>
      </c>
      <c r="Q96" s="1" t="str">
        <f t="shared" si="57"/>
        <v/>
      </c>
      <c r="R96" s="31" t="str">
        <f t="shared" si="57"/>
        <v/>
      </c>
      <c r="S96" s="31" t="str">
        <f t="shared" si="57"/>
        <v/>
      </c>
      <c r="T96" s="31" t="str">
        <f t="shared" si="57"/>
        <v/>
      </c>
      <c r="U96" s="31" t="str">
        <f t="shared" si="57"/>
        <v/>
      </c>
      <c r="V96" s="31" t="str">
        <f t="shared" si="57"/>
        <v/>
      </c>
      <c r="W96" s="31" t="str">
        <f t="shared" si="57"/>
        <v/>
      </c>
      <c r="X96" s="31" t="str">
        <f t="shared" si="57"/>
        <v/>
      </c>
      <c r="Y96" s="1" t="str">
        <f t="shared" si="56"/>
        <v/>
      </c>
      <c r="Z96" s="1" t="str">
        <f t="shared" si="56"/>
        <v/>
      </c>
      <c r="AA96" s="1" t="str">
        <f t="shared" si="56"/>
        <v/>
      </c>
      <c r="AB96" s="1">
        <f t="shared" si="56"/>
        <v>94.346123761424479</v>
      </c>
      <c r="AC96" s="1">
        <f t="shared" si="56"/>
        <v>91.551631594498929</v>
      </c>
      <c r="AD96" s="1">
        <f t="shared" si="56"/>
        <v>88.160982043971956</v>
      </c>
      <c r="AE96" s="1">
        <f t="shared" si="56"/>
        <v>91.649163643976195</v>
      </c>
      <c r="AF96" s="1">
        <f t="shared" si="56"/>
        <v>96.339300616372554</v>
      </c>
      <c r="AG96" s="1">
        <f t="shared" si="56"/>
        <v>92.216790000860939</v>
      </c>
      <c r="AH96" s="1">
        <f t="shared" si="56"/>
        <v>98.883504104873438</v>
      </c>
      <c r="AI96" s="29" t="str">
        <f t="shared" si="56"/>
        <v/>
      </c>
    </row>
    <row r="97" spans="1:35" ht="15.75" x14ac:dyDescent="0.3">
      <c r="A97" s="150">
        <v>92</v>
      </c>
      <c r="B97" s="10" t="s">
        <v>682</v>
      </c>
      <c r="C97">
        <v>70764.095768526196</v>
      </c>
      <c r="E97" s="10" t="s">
        <v>397</v>
      </c>
      <c r="F97" s="151">
        <f>IF(ISNUMBER(P51),P51/SUM($I$43:$AI$71),0)</f>
        <v>5.448301532286875E-4</v>
      </c>
      <c r="H97" s="160" t="s">
        <v>335</v>
      </c>
      <c r="I97" s="37" t="str">
        <f t="shared" si="57"/>
        <v/>
      </c>
      <c r="J97" s="1">
        <f t="shared" si="57"/>
        <v>75.057429470637729</v>
      </c>
      <c r="K97" s="1">
        <f t="shared" si="57"/>
        <v>101.58674935869755</v>
      </c>
      <c r="L97" s="1">
        <f t="shared" si="57"/>
        <v>71.396492728503873</v>
      </c>
      <c r="M97" s="1">
        <f t="shared" si="57"/>
        <v>68.278304629846147</v>
      </c>
      <c r="N97" s="1">
        <f t="shared" si="57"/>
        <v>80.697194636568071</v>
      </c>
      <c r="O97" s="1">
        <f t="shared" si="57"/>
        <v>94.824470510083003</v>
      </c>
      <c r="P97" s="1">
        <f t="shared" si="57"/>
        <v>93.659543581859651</v>
      </c>
      <c r="Q97" s="1" t="str">
        <f t="shared" si="57"/>
        <v/>
      </c>
      <c r="R97" s="31" t="str">
        <f t="shared" si="57"/>
        <v/>
      </c>
      <c r="S97" s="31" t="str">
        <f t="shared" si="57"/>
        <v/>
      </c>
      <c r="T97" s="31" t="str">
        <f t="shared" si="57"/>
        <v/>
      </c>
      <c r="U97" s="31" t="str">
        <f t="shared" si="57"/>
        <v/>
      </c>
      <c r="V97" s="31" t="str">
        <f t="shared" si="57"/>
        <v/>
      </c>
      <c r="W97" s="31" t="str">
        <f t="shared" si="57"/>
        <v/>
      </c>
      <c r="X97" s="31" t="str">
        <f t="shared" si="57"/>
        <v/>
      </c>
      <c r="Y97" s="31" t="str">
        <f t="shared" si="56"/>
        <v/>
      </c>
      <c r="Z97" s="31" t="str">
        <f t="shared" si="56"/>
        <v/>
      </c>
      <c r="AA97" s="31" t="str">
        <f t="shared" si="56"/>
        <v/>
      </c>
      <c r="AB97" s="31" t="str">
        <f t="shared" si="56"/>
        <v/>
      </c>
      <c r="AC97" s="31">
        <f t="shared" si="56"/>
        <v>80.072496165377871</v>
      </c>
      <c r="AD97" s="31">
        <f t="shared" si="56"/>
        <v>87.977059578215361</v>
      </c>
      <c r="AE97" s="31">
        <f t="shared" si="56"/>
        <v>93.623525781530958</v>
      </c>
      <c r="AF97" s="31">
        <f t="shared" si="56"/>
        <v>99.432023865980725</v>
      </c>
      <c r="AG97" s="31">
        <f t="shared" si="56"/>
        <v>94.408708249463132</v>
      </c>
      <c r="AH97" s="31">
        <f t="shared" si="56"/>
        <v>91.228917010318341</v>
      </c>
      <c r="AI97" s="28" t="str">
        <f t="shared" si="56"/>
        <v/>
      </c>
    </row>
    <row r="98" spans="1:35" ht="15.75" x14ac:dyDescent="0.3">
      <c r="A98" s="150">
        <v>93</v>
      </c>
      <c r="B98" s="10" t="s">
        <v>77</v>
      </c>
      <c r="C98">
        <v>23637808.197871201</v>
      </c>
      <c r="E98" s="10" t="s">
        <v>398</v>
      </c>
      <c r="F98" s="151">
        <f>IF(ISNUMBER(Q51),Q51/SUM($I$43:$AI$71),0)</f>
        <v>0</v>
      </c>
      <c r="H98" s="160" t="s">
        <v>336</v>
      </c>
      <c r="I98" s="37" t="str">
        <f t="shared" si="57"/>
        <v/>
      </c>
      <c r="J98" s="1">
        <f t="shared" si="57"/>
        <v>70.977347695851449</v>
      </c>
      <c r="K98" s="1">
        <f t="shared" si="57"/>
        <v>107.55288874352762</v>
      </c>
      <c r="L98" s="1">
        <f t="shared" si="57"/>
        <v>69.785895510347132</v>
      </c>
      <c r="M98" s="1">
        <f t="shared" si="57"/>
        <v>58.883901548754878</v>
      </c>
      <c r="N98" s="1">
        <f t="shared" si="57"/>
        <v>90.076996803606875</v>
      </c>
      <c r="O98" s="1">
        <f t="shared" si="57"/>
        <v>97.552705543211061</v>
      </c>
      <c r="P98" s="1">
        <f t="shared" si="57"/>
        <v>91.089798947030019</v>
      </c>
      <c r="Q98" s="1" t="str">
        <f t="shared" si="57"/>
        <v/>
      </c>
      <c r="R98" s="31" t="str">
        <f t="shared" si="57"/>
        <v/>
      </c>
      <c r="S98" s="31" t="str">
        <f t="shared" si="57"/>
        <v/>
      </c>
      <c r="T98" s="31" t="str">
        <f t="shared" si="57"/>
        <v/>
      </c>
      <c r="U98" s="31" t="str">
        <f t="shared" si="57"/>
        <v/>
      </c>
      <c r="V98" s="31" t="str">
        <f t="shared" si="57"/>
        <v/>
      </c>
      <c r="W98" s="31" t="str">
        <f t="shared" si="57"/>
        <v/>
      </c>
      <c r="X98" s="31" t="str">
        <f t="shared" si="57"/>
        <v/>
      </c>
      <c r="Y98" s="31" t="str">
        <f t="shared" si="56"/>
        <v/>
      </c>
      <c r="Z98" s="31" t="str">
        <f t="shared" si="56"/>
        <v/>
      </c>
      <c r="AA98" s="31" t="str">
        <f t="shared" si="56"/>
        <v/>
      </c>
      <c r="AB98" s="31" t="str">
        <f t="shared" si="56"/>
        <v/>
      </c>
      <c r="AC98" s="31" t="str">
        <f t="shared" si="56"/>
        <v/>
      </c>
      <c r="AD98" s="31">
        <f t="shared" si="56"/>
        <v>76.731528790689254</v>
      </c>
      <c r="AE98" s="31">
        <f t="shared" si="56"/>
        <v>112.04080086222322</v>
      </c>
      <c r="AF98" s="31">
        <f t="shared" si="56"/>
        <v>105.51646728782401</v>
      </c>
      <c r="AG98" s="31">
        <f t="shared" si="56"/>
        <v>92.453552568766341</v>
      </c>
      <c r="AH98" s="31">
        <f t="shared" si="56"/>
        <v>92.112616290966969</v>
      </c>
      <c r="AI98" s="28" t="str">
        <f t="shared" si="56"/>
        <v/>
      </c>
    </row>
    <row r="99" spans="1:35" ht="15.75" x14ac:dyDescent="0.3">
      <c r="A99" s="150">
        <v>94</v>
      </c>
      <c r="B99" s="10" t="s">
        <v>78</v>
      </c>
      <c r="C99">
        <v>19466261.2232714</v>
      </c>
      <c r="E99" s="10" t="s">
        <v>507</v>
      </c>
      <c r="F99" s="151">
        <f>IF(ISNUMBER(R51),R51/SUM($I$43:$AI$71),0)</f>
        <v>0</v>
      </c>
      <c r="H99" s="160" t="s">
        <v>337</v>
      </c>
      <c r="I99" s="37" t="str">
        <f t="shared" si="57"/>
        <v/>
      </c>
      <c r="J99" s="1">
        <f t="shared" si="57"/>
        <v>73.123810433653688</v>
      </c>
      <c r="K99" s="1">
        <f t="shared" si="57"/>
        <v>106.15143828438239</v>
      </c>
      <c r="L99" s="1">
        <f t="shared" si="57"/>
        <v>67.202006576233231</v>
      </c>
      <c r="M99" s="1">
        <f t="shared" si="57"/>
        <v>59.923592087495194</v>
      </c>
      <c r="N99" s="1">
        <f t="shared" si="57"/>
        <v>90.96045181119699</v>
      </c>
      <c r="O99" s="1">
        <f t="shared" si="57"/>
        <v>94.22337460268254</v>
      </c>
      <c r="P99" s="1">
        <f t="shared" si="57"/>
        <v>113.5307666388572</v>
      </c>
      <c r="Q99" s="1" t="str">
        <f t="shared" si="57"/>
        <v/>
      </c>
      <c r="R99" s="142" t="str">
        <f t="shared" si="57"/>
        <v/>
      </c>
      <c r="S99" s="142" t="str">
        <f t="shared" si="57"/>
        <v/>
      </c>
      <c r="T99" s="142" t="str">
        <f t="shared" si="57"/>
        <v/>
      </c>
      <c r="U99" s="142" t="str">
        <f t="shared" si="57"/>
        <v/>
      </c>
      <c r="V99" s="142" t="str">
        <f t="shared" si="57"/>
        <v/>
      </c>
      <c r="W99" s="142" t="str">
        <f t="shared" si="57"/>
        <v/>
      </c>
      <c r="X99" s="142" t="str">
        <f t="shared" si="57"/>
        <v/>
      </c>
      <c r="Y99" s="142" t="str">
        <f t="shared" si="56"/>
        <v/>
      </c>
      <c r="Z99" s="31" t="str">
        <f t="shared" si="56"/>
        <v/>
      </c>
      <c r="AA99" s="31" t="str">
        <f t="shared" si="56"/>
        <v/>
      </c>
      <c r="AB99" s="31" t="str">
        <f t="shared" si="56"/>
        <v/>
      </c>
      <c r="AC99" s="31" t="str">
        <f t="shared" si="56"/>
        <v/>
      </c>
      <c r="AD99" s="31" t="str">
        <f t="shared" si="56"/>
        <v/>
      </c>
      <c r="AE99" s="31" t="str">
        <f t="shared" si="56"/>
        <v/>
      </c>
      <c r="AF99" s="31">
        <f t="shared" si="56"/>
        <v>120.742013369357</v>
      </c>
      <c r="AG99" s="31">
        <f t="shared" si="56"/>
        <v>106.23812780064408</v>
      </c>
      <c r="AH99" s="31" t="str">
        <f t="shared" si="56"/>
        <v/>
      </c>
      <c r="AI99" s="28" t="str">
        <f t="shared" si="56"/>
        <v/>
      </c>
    </row>
    <row r="100" spans="1:35" ht="15.75" x14ac:dyDescent="0.3">
      <c r="A100" s="150">
        <v>95</v>
      </c>
      <c r="B100" s="10" t="s">
        <v>79</v>
      </c>
      <c r="C100">
        <v>106046217.51081499</v>
      </c>
      <c r="E100" s="10" t="s">
        <v>508</v>
      </c>
      <c r="F100" s="151">
        <f>IF(ISNUMBER(S51),S51/SUM($I$43:$AI$71),0)</f>
        <v>0</v>
      </c>
      <c r="H100" s="160" t="s">
        <v>338</v>
      </c>
      <c r="I100" s="37" t="str">
        <f t="shared" si="57"/>
        <v/>
      </c>
      <c r="J100" s="1">
        <f t="shared" si="57"/>
        <v>79.236390272852901</v>
      </c>
      <c r="K100" s="1">
        <f t="shared" si="57"/>
        <v>105.04088950855918</v>
      </c>
      <c r="L100" s="1">
        <f t="shared" si="57"/>
        <v>70.585291815905478</v>
      </c>
      <c r="M100" s="1">
        <f t="shared" si="57"/>
        <v>55.404513702577489</v>
      </c>
      <c r="N100" s="1">
        <f t="shared" si="57"/>
        <v>94.759614779538552</v>
      </c>
      <c r="O100" s="1">
        <f t="shared" si="57"/>
        <v>111.70698808153303</v>
      </c>
      <c r="P100" s="1" t="str">
        <f t="shared" si="57"/>
        <v/>
      </c>
      <c r="Q100" s="1" t="str">
        <f t="shared" si="57"/>
        <v/>
      </c>
      <c r="R100" s="142" t="str">
        <f t="shared" si="57"/>
        <v/>
      </c>
      <c r="S100" s="162" t="str">
        <f t="shared" si="57"/>
        <v/>
      </c>
      <c r="T100" s="162" t="str">
        <f t="shared" si="57"/>
        <v/>
      </c>
      <c r="U100" s="162" t="str">
        <f t="shared" si="57"/>
        <v/>
      </c>
      <c r="V100" s="162" t="str">
        <f t="shared" si="57"/>
        <v/>
      </c>
      <c r="W100" s="162" t="str">
        <f t="shared" si="57"/>
        <v/>
      </c>
      <c r="X100" s="142" t="str">
        <f t="shared" si="57"/>
        <v/>
      </c>
      <c r="Y100" s="142" t="str">
        <f t="shared" ref="Y100:AI102" si="58">IF(ISNUMBER(IF(ISNUMBER(Y164),IF(AND(1000000*Y132&gt;$J$2,1000000*Y164&gt;$J$2),Y164,""),"")/IF(ISNUMBER(Y132),IF(AND(1000000*Y132&gt;$J$2,1000000*Y164&gt;$J$2),Y132,""),"")),100*Y164/Y132,"")</f>
        <v/>
      </c>
      <c r="Z100" s="31" t="str">
        <f t="shared" si="58"/>
        <v/>
      </c>
      <c r="AA100" s="31" t="str">
        <f t="shared" si="58"/>
        <v/>
      </c>
      <c r="AB100" s="31" t="str">
        <f t="shared" si="58"/>
        <v/>
      </c>
      <c r="AC100" s="31" t="str">
        <f t="shared" si="58"/>
        <v/>
      </c>
      <c r="AD100" s="31" t="str">
        <f t="shared" si="58"/>
        <v/>
      </c>
      <c r="AE100" s="31" t="str">
        <f t="shared" si="58"/>
        <v/>
      </c>
      <c r="AF100" s="31" t="str">
        <f t="shared" si="58"/>
        <v/>
      </c>
      <c r="AG100" s="31">
        <f t="shared" si="58"/>
        <v>134.29560886524123</v>
      </c>
      <c r="AH100" s="31" t="str">
        <f t="shared" si="58"/>
        <v/>
      </c>
      <c r="AI100" s="28" t="str">
        <f t="shared" si="58"/>
        <v/>
      </c>
    </row>
    <row r="101" spans="1:35" ht="15.75" x14ac:dyDescent="0.3">
      <c r="A101" s="150">
        <v>96</v>
      </c>
      <c r="B101" s="10" t="s">
        <v>80</v>
      </c>
      <c r="C101">
        <v>100462460.07774401</v>
      </c>
      <c r="E101" s="10" t="s">
        <v>509</v>
      </c>
      <c r="F101" s="151">
        <f>IF(ISNUMBER(T51),T51/SUM($I$43:$AI$71),0)</f>
        <v>0</v>
      </c>
      <c r="H101" s="160" t="s">
        <v>339</v>
      </c>
      <c r="I101" s="37" t="str">
        <f t="shared" si="57"/>
        <v/>
      </c>
      <c r="J101" s="1" t="str">
        <f t="shared" si="57"/>
        <v/>
      </c>
      <c r="K101" s="1">
        <f t="shared" si="57"/>
        <v>120.08549244000977</v>
      </c>
      <c r="L101" s="1">
        <f t="shared" si="57"/>
        <v>74.600378020425254</v>
      </c>
      <c r="M101" s="1">
        <f t="shared" si="57"/>
        <v>53.557031177809648</v>
      </c>
      <c r="N101" s="1">
        <f t="shared" si="57"/>
        <v>98.009101878704783</v>
      </c>
      <c r="O101" s="1" t="str">
        <f t="shared" si="57"/>
        <v/>
      </c>
      <c r="P101" s="1" t="str">
        <f t="shared" si="57"/>
        <v/>
      </c>
      <c r="Q101" s="1" t="str">
        <f t="shared" si="57"/>
        <v/>
      </c>
      <c r="R101" s="142" t="str">
        <f t="shared" si="57"/>
        <v/>
      </c>
      <c r="S101" s="162" t="str">
        <f t="shared" si="57"/>
        <v/>
      </c>
      <c r="T101" s="162" t="str">
        <f t="shared" si="57"/>
        <v/>
      </c>
      <c r="U101" s="162" t="str">
        <f t="shared" si="57"/>
        <v/>
      </c>
      <c r="V101" s="162" t="str">
        <f t="shared" si="57"/>
        <v/>
      </c>
      <c r="W101" s="162" t="str">
        <f t="shared" si="57"/>
        <v/>
      </c>
      <c r="X101" s="142" t="str">
        <f t="shared" si="57"/>
        <v/>
      </c>
      <c r="Y101" s="142" t="str">
        <f t="shared" si="58"/>
        <v/>
      </c>
      <c r="Z101" s="31" t="str">
        <f t="shared" si="58"/>
        <v/>
      </c>
      <c r="AA101" s="31" t="str">
        <f t="shared" si="58"/>
        <v/>
      </c>
      <c r="AB101" s="31" t="str">
        <f t="shared" si="58"/>
        <v/>
      </c>
      <c r="AC101" s="31" t="str">
        <f t="shared" si="58"/>
        <v/>
      </c>
      <c r="AD101" s="31" t="str">
        <f t="shared" si="58"/>
        <v/>
      </c>
      <c r="AE101" s="31" t="str">
        <f t="shared" si="58"/>
        <v/>
      </c>
      <c r="AF101" s="31" t="str">
        <f t="shared" si="58"/>
        <v/>
      </c>
      <c r="AG101" s="31" t="str">
        <f t="shared" si="58"/>
        <v/>
      </c>
      <c r="AH101" s="31" t="str">
        <f t="shared" si="58"/>
        <v/>
      </c>
      <c r="AI101" s="28" t="str">
        <f t="shared" si="58"/>
        <v/>
      </c>
    </row>
    <row r="102" spans="1:35" ht="15.75" x14ac:dyDescent="0.3">
      <c r="A102" s="150">
        <v>97</v>
      </c>
      <c r="B102" s="10" t="s">
        <v>81</v>
      </c>
      <c r="C102">
        <v>236531365.113976</v>
      </c>
      <c r="E102" s="10" t="s">
        <v>510</v>
      </c>
      <c r="F102" s="151">
        <f>IF(ISNUMBER(U51),U51/SUM($I$43:$AI$71),0)</f>
        <v>0</v>
      </c>
      <c r="H102" s="161" t="s">
        <v>340</v>
      </c>
      <c r="I102" s="36" t="str">
        <f t="shared" si="57"/>
        <v/>
      </c>
      <c r="J102" s="33" t="str">
        <f t="shared" si="57"/>
        <v/>
      </c>
      <c r="K102" s="33">
        <f t="shared" si="57"/>
        <v>128.89202564467658</v>
      </c>
      <c r="L102" s="33">
        <f t="shared" si="57"/>
        <v>69.052898734359687</v>
      </c>
      <c r="M102" s="33">
        <f t="shared" si="57"/>
        <v>55.514186429389255</v>
      </c>
      <c r="N102" s="33">
        <f t="shared" si="57"/>
        <v>94.843269502203725</v>
      </c>
      <c r="O102" s="33" t="str">
        <f t="shared" si="57"/>
        <v/>
      </c>
      <c r="P102" s="33" t="str">
        <f t="shared" si="57"/>
        <v/>
      </c>
      <c r="Q102" s="33" t="str">
        <f t="shared" si="57"/>
        <v/>
      </c>
      <c r="R102" s="163" t="str">
        <f t="shared" si="57"/>
        <v/>
      </c>
      <c r="S102" s="163" t="str">
        <f t="shared" si="57"/>
        <v/>
      </c>
      <c r="T102" s="163" t="str">
        <f t="shared" si="57"/>
        <v/>
      </c>
      <c r="U102" s="163" t="str">
        <f t="shared" si="57"/>
        <v/>
      </c>
      <c r="V102" s="163" t="str">
        <f t="shared" si="57"/>
        <v/>
      </c>
      <c r="W102" s="163" t="str">
        <f t="shared" si="57"/>
        <v/>
      </c>
      <c r="X102" s="143" t="str">
        <f t="shared" si="57"/>
        <v/>
      </c>
      <c r="Y102" s="143" t="str">
        <f t="shared" si="58"/>
        <v/>
      </c>
      <c r="Z102" s="33" t="str">
        <f t="shared" si="58"/>
        <v/>
      </c>
      <c r="AA102" s="33" t="str">
        <f t="shared" si="58"/>
        <v/>
      </c>
      <c r="AB102" s="33" t="str">
        <f t="shared" si="58"/>
        <v/>
      </c>
      <c r="AC102" s="33" t="str">
        <f t="shared" si="58"/>
        <v/>
      </c>
      <c r="AD102" s="33" t="str">
        <f t="shared" si="58"/>
        <v/>
      </c>
      <c r="AE102" s="33" t="str">
        <f t="shared" si="58"/>
        <v/>
      </c>
      <c r="AF102" s="33" t="str">
        <f t="shared" si="58"/>
        <v/>
      </c>
      <c r="AG102" s="33" t="str">
        <f t="shared" si="58"/>
        <v/>
      </c>
      <c r="AH102" s="33" t="str">
        <f t="shared" si="58"/>
        <v/>
      </c>
      <c r="AI102" s="34" t="str">
        <f t="shared" si="58"/>
        <v/>
      </c>
    </row>
    <row r="103" spans="1:35" x14ac:dyDescent="0.25">
      <c r="A103" s="150">
        <v>98</v>
      </c>
      <c r="B103" s="10" t="s">
        <v>82</v>
      </c>
      <c r="C103">
        <v>206223979.264862</v>
      </c>
      <c r="E103" s="10" t="s">
        <v>1053</v>
      </c>
      <c r="F103" s="151">
        <f>IF(ISNUMBER(V51),V51/SUM($I$43:$AI$71),0)</f>
        <v>0</v>
      </c>
    </row>
    <row r="104" spans="1:35" x14ac:dyDescent="0.25">
      <c r="A104" s="150">
        <v>99</v>
      </c>
      <c r="B104" s="10" t="s">
        <v>83</v>
      </c>
      <c r="C104">
        <v>209092563.62741101</v>
      </c>
      <c r="E104" s="10" t="s">
        <v>1575</v>
      </c>
      <c r="F104" s="151">
        <f>IF(ISNUMBER(W51),W51/SUM($I$43:$AI$71),0)</f>
        <v>0</v>
      </c>
      <c r="H104" s="246" t="s">
        <v>1088</v>
      </c>
      <c r="AD104" s="237" t="s">
        <v>1818</v>
      </c>
      <c r="AE104" s="153">
        <f>C2</f>
        <v>113933715.415207</v>
      </c>
      <c r="AG104" s="237" t="s">
        <v>1819</v>
      </c>
      <c r="AH104" s="153">
        <f>C4</f>
        <v>10727182.174742701</v>
      </c>
    </row>
    <row r="105" spans="1:35" ht="15.75" x14ac:dyDescent="0.3">
      <c r="A105" s="150">
        <v>100</v>
      </c>
      <c r="B105" s="10" t="s">
        <v>84</v>
      </c>
      <c r="C105">
        <v>163871210.24202001</v>
      </c>
      <c r="E105" s="10" t="s">
        <v>511</v>
      </c>
      <c r="F105" s="151">
        <f>IF(ISNUMBER(I52),I52/SUM($I$43:$AI$71),0)</f>
        <v>3.4724503742934574E-4</v>
      </c>
      <c r="H105" s="247"/>
      <c r="I105" s="154" t="s">
        <v>1012</v>
      </c>
      <c r="J105" s="155" t="s">
        <v>322</v>
      </c>
      <c r="K105" s="155" t="s">
        <v>323</v>
      </c>
      <c r="L105" s="155" t="s">
        <v>324</v>
      </c>
      <c r="M105" s="155" t="s">
        <v>325</v>
      </c>
      <c r="N105" s="155" t="s">
        <v>326</v>
      </c>
      <c r="O105" s="155" t="s">
        <v>2</v>
      </c>
      <c r="P105" s="155" t="s">
        <v>3</v>
      </c>
      <c r="Q105" s="155" t="s">
        <v>4</v>
      </c>
      <c r="R105" s="155" t="s">
        <v>5</v>
      </c>
      <c r="S105" s="155" t="s">
        <v>6</v>
      </c>
      <c r="T105" s="155" t="s">
        <v>7</v>
      </c>
      <c r="U105" s="155" t="s">
        <v>8</v>
      </c>
      <c r="V105" s="155" t="s">
        <v>1016</v>
      </c>
      <c r="W105" s="155" t="s">
        <v>1017</v>
      </c>
      <c r="X105" s="155" t="s">
        <v>1018</v>
      </c>
      <c r="Y105" s="155" t="s">
        <v>1074</v>
      </c>
      <c r="Z105" s="155" t="s">
        <v>1075</v>
      </c>
      <c r="AA105" s="155" t="s">
        <v>1076</v>
      </c>
      <c r="AB105" s="155" t="s">
        <v>1077</v>
      </c>
      <c r="AC105" s="155" t="s">
        <v>1078</v>
      </c>
      <c r="AD105" s="155" t="s">
        <v>1079</v>
      </c>
      <c r="AE105" s="155" t="s">
        <v>1080</v>
      </c>
      <c r="AF105" s="155" t="s">
        <v>1081</v>
      </c>
      <c r="AG105" s="155" t="s">
        <v>1082</v>
      </c>
      <c r="AH105" s="155" t="s">
        <v>1083</v>
      </c>
      <c r="AI105" s="157" t="s">
        <v>1084</v>
      </c>
    </row>
    <row r="106" spans="1:35" ht="15.75" x14ac:dyDescent="0.3">
      <c r="A106" s="150">
        <v>101</v>
      </c>
      <c r="B106" s="10" t="s">
        <v>85</v>
      </c>
      <c r="C106">
        <v>91096934.468090102</v>
      </c>
      <c r="E106" s="10" t="s">
        <v>399</v>
      </c>
      <c r="F106" s="151">
        <f>IF(ISNUMBER(J52),J52/SUM($I$43:$AI$71),0)</f>
        <v>3.5782106926202928E-3</v>
      </c>
      <c r="H106" s="158" t="s">
        <v>1011</v>
      </c>
      <c r="I106" s="11">
        <f t="shared" ref="I106:O115" si="59">IF(ISNUMBER(VLOOKUP(CONCATENATE($H106,"_",I$105,"_a"),$B$6:$C$1151,2,FALSE)),VLOOKUP(CONCATENATE($H106,"_",I$105,"_a"),$B$6:$C$1151,2,FALSE)/1000000,"N/A")</f>
        <v>0</v>
      </c>
      <c r="J106" s="11">
        <f t="shared" si="59"/>
        <v>0</v>
      </c>
      <c r="K106" s="6">
        <f t="shared" si="59"/>
        <v>0</v>
      </c>
      <c r="L106" s="6">
        <f t="shared" si="59"/>
        <v>0</v>
      </c>
      <c r="M106" s="12">
        <f t="shared" si="59"/>
        <v>6.5002897866211096E-3</v>
      </c>
      <c r="N106" s="6">
        <f t="shared" si="59"/>
        <v>1.6016946503906001E-2</v>
      </c>
      <c r="O106" s="141">
        <f t="shared" si="59"/>
        <v>0</v>
      </c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</row>
    <row r="107" spans="1:35" ht="15.75" x14ac:dyDescent="0.3">
      <c r="A107" s="150">
        <v>102</v>
      </c>
      <c r="B107" s="10" t="s">
        <v>86</v>
      </c>
      <c r="C107">
        <v>78353093.601890594</v>
      </c>
      <c r="E107" s="10" t="s">
        <v>400</v>
      </c>
      <c r="F107" s="151">
        <f>IF(ISNUMBER(K52),K52/SUM($I$43:$AI$71),0)</f>
        <v>8.2958917825013377E-3</v>
      </c>
      <c r="H107" s="159" t="s">
        <v>321</v>
      </c>
      <c r="I107" s="9">
        <f t="shared" si="59"/>
        <v>0</v>
      </c>
      <c r="J107" s="9">
        <f t="shared" si="59"/>
        <v>0</v>
      </c>
      <c r="K107" s="9">
        <f t="shared" si="59"/>
        <v>1.7260469052489801E-2</v>
      </c>
      <c r="L107" s="9">
        <f t="shared" si="59"/>
        <v>1.8099945848877103E-2</v>
      </c>
      <c r="M107" s="9">
        <f t="shared" si="59"/>
        <v>0.508124787676275</v>
      </c>
      <c r="N107" s="13">
        <f t="shared" si="59"/>
        <v>0.30041682796191399</v>
      </c>
      <c r="O107" s="6">
        <f t="shared" si="59"/>
        <v>0</v>
      </c>
      <c r="P107" s="140">
        <f t="shared" ref="P107:P134" si="60">IF(ISNUMBER(VLOOKUP(CONCATENATE($H107,"_",P$105,"_a"),$B$6:$C$1151,2,FALSE)),VLOOKUP(CONCATENATE($H107,"_",P$105,"_a"),$B$6:$C$1151,2,FALSE)/1000000,"N/A")</f>
        <v>3.6892382378905998E-2</v>
      </c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</row>
    <row r="108" spans="1:35" ht="15.75" x14ac:dyDescent="0.3">
      <c r="A108" s="150">
        <v>103</v>
      </c>
      <c r="B108" s="10" t="s">
        <v>87</v>
      </c>
      <c r="C108">
        <v>130723750.282928</v>
      </c>
      <c r="E108" s="10" t="s">
        <v>401</v>
      </c>
      <c r="F108" s="151">
        <f>IF(ISNUMBER(L52),L52/SUM($I$43:$AI$71),0)</f>
        <v>8.786097019182447E-3</v>
      </c>
      <c r="H108" s="160" t="s">
        <v>10</v>
      </c>
      <c r="I108" s="11">
        <f t="shared" si="59"/>
        <v>0</v>
      </c>
      <c r="J108" s="11">
        <f t="shared" si="59"/>
        <v>15.058875328831199</v>
      </c>
      <c r="K108" s="6">
        <f t="shared" si="59"/>
        <v>80.585410866298702</v>
      </c>
      <c r="L108" s="6">
        <f t="shared" si="59"/>
        <v>65.695016481073395</v>
      </c>
      <c r="M108" s="6">
        <f t="shared" si="59"/>
        <v>74.14560849410249</v>
      </c>
      <c r="N108" s="6">
        <f t="shared" si="59"/>
        <v>144.43124090231299</v>
      </c>
      <c r="O108" s="12">
        <f t="shared" si="59"/>
        <v>98.534940969894393</v>
      </c>
      <c r="P108" s="6">
        <f t="shared" si="60"/>
        <v>23.9270900900631</v>
      </c>
      <c r="Q108" s="140">
        <f t="shared" ref="Q108:Q134" si="61">IF(ISNUMBER(VLOOKUP(CONCATENATE($H108,"_",Q$105,"_a"),$B$6:$C$1151,2,FALSE)),VLOOKUP(CONCATENATE($H108,"_",Q$105,"_a"),$B$6:$C$1151,2,FALSE)/1000000,"N/A")</f>
        <v>0.59766154004490402</v>
      </c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</row>
    <row r="109" spans="1:35" ht="15.75" x14ac:dyDescent="0.3">
      <c r="A109" s="150">
        <v>104</v>
      </c>
      <c r="B109" s="10" t="s">
        <v>88</v>
      </c>
      <c r="C109">
        <v>125329168.392746</v>
      </c>
      <c r="E109" s="10" t="s">
        <v>402</v>
      </c>
      <c r="F109" s="151">
        <f>IF(ISNUMBER(M52),M52/SUM($I$43:$AI$71),0)</f>
        <v>5.8923067811031994E-3</v>
      </c>
      <c r="H109" s="160" t="s">
        <v>11</v>
      </c>
      <c r="I109" s="11">
        <f t="shared" si="59"/>
        <v>2.21544494501958E-2</v>
      </c>
      <c r="J109" s="11">
        <f t="shared" si="59"/>
        <v>88.274198919481307</v>
      </c>
      <c r="K109" s="6">
        <f t="shared" si="59"/>
        <v>512.67423105835007</v>
      </c>
      <c r="L109" s="6">
        <f t="shared" si="59"/>
        <v>547.67323766337597</v>
      </c>
      <c r="M109" s="6">
        <f t="shared" si="59"/>
        <v>227.98139859297902</v>
      </c>
      <c r="N109" s="6">
        <f t="shared" si="59"/>
        <v>240.235770571144</v>
      </c>
      <c r="O109" s="6">
        <f t="shared" si="59"/>
        <v>338.40459392718498</v>
      </c>
      <c r="P109" s="12">
        <f t="shared" si="60"/>
        <v>209.487150222488</v>
      </c>
      <c r="Q109" s="6">
        <f t="shared" si="61"/>
        <v>54.277763394725802</v>
      </c>
      <c r="R109" s="140">
        <f t="shared" ref="R109:R134" si="62">IF(ISNUMBER(VLOOKUP(CONCATENATE($H109,"_",R$105,"_a"),$B$6:$C$1151,2,FALSE)),VLOOKUP(CONCATENATE($H109,"_",R$105,"_a"),$B$6:$C$1151,2,FALSE)/1000000,"N/A")</f>
        <v>3.8279898948197402</v>
      </c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</row>
    <row r="110" spans="1:35" ht="15.75" x14ac:dyDescent="0.3">
      <c r="A110" s="150">
        <v>105</v>
      </c>
      <c r="B110" s="10" t="s">
        <v>89</v>
      </c>
      <c r="C110">
        <v>393237369.12364203</v>
      </c>
      <c r="E110" s="10" t="s">
        <v>403</v>
      </c>
      <c r="F110" s="151">
        <f>IF(ISNUMBER(N52),N52/SUM($I$43:$AI$71),0)</f>
        <v>3.1845360963025328E-3</v>
      </c>
      <c r="H110" s="160" t="s">
        <v>12</v>
      </c>
      <c r="I110" s="11">
        <f t="shared" si="59"/>
        <v>4.2367460648346698E-2</v>
      </c>
      <c r="J110" s="11">
        <f t="shared" si="59"/>
        <v>82.397121597049704</v>
      </c>
      <c r="K110" s="6">
        <f t="shared" si="59"/>
        <v>619.132354881119</v>
      </c>
      <c r="L110" s="6">
        <f t="shared" si="59"/>
        <v>1024.65973638181</v>
      </c>
      <c r="M110" s="6">
        <f t="shared" si="59"/>
        <v>590.44899751348896</v>
      </c>
      <c r="N110" s="6">
        <f t="shared" si="59"/>
        <v>219.08255712267299</v>
      </c>
      <c r="O110" s="6">
        <f t="shared" si="59"/>
        <v>320.14154794097902</v>
      </c>
      <c r="P110" s="6">
        <f t="shared" si="60"/>
        <v>454.417276055206</v>
      </c>
      <c r="Q110" s="12">
        <f t="shared" si="61"/>
        <v>283.42451375048796</v>
      </c>
      <c r="R110" s="6">
        <f t="shared" si="62"/>
        <v>68.909841069351202</v>
      </c>
      <c r="S110" s="140">
        <f t="shared" ref="S110:S134" si="63">IF(ISNUMBER(VLOOKUP(CONCATENATE($H110,"_",S$105,"_a"),$B$6:$C$1151,2,FALSE)),VLOOKUP(CONCATENATE($H110,"_",S$105,"_a"),$B$6:$C$1151,2,FALSE)/1000000,"N/A")</f>
        <v>4.6523046857469099</v>
      </c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</row>
    <row r="111" spans="1:35" ht="15.75" x14ac:dyDescent="0.3">
      <c r="A111" s="150">
        <v>106</v>
      </c>
      <c r="B111" s="10" t="s">
        <v>90</v>
      </c>
      <c r="C111">
        <v>369890427.99049401</v>
      </c>
      <c r="E111" s="10" t="s">
        <v>404</v>
      </c>
      <c r="F111" s="151">
        <f>IF(ISNUMBER(O52),O52/SUM($I$43:$AI$71),0)</f>
        <v>1.6445213232908324E-3</v>
      </c>
      <c r="H111" s="159" t="s">
        <v>13</v>
      </c>
      <c r="I111" s="9">
        <f t="shared" si="59"/>
        <v>0.233923056233831</v>
      </c>
      <c r="J111" s="9">
        <f t="shared" si="59"/>
        <v>23.637808197871202</v>
      </c>
      <c r="K111" s="9">
        <f t="shared" si="59"/>
        <v>106.046217510815</v>
      </c>
      <c r="L111" s="9">
        <f t="shared" si="59"/>
        <v>236.53136511397599</v>
      </c>
      <c r="M111" s="9">
        <f t="shared" si="59"/>
        <v>209.09256362741101</v>
      </c>
      <c r="N111" s="9">
        <f t="shared" si="59"/>
        <v>91.096934468090097</v>
      </c>
      <c r="O111" s="9">
        <f t="shared" si="59"/>
        <v>130.72375028292799</v>
      </c>
      <c r="P111" s="9">
        <f t="shared" si="60"/>
        <v>393.23736912364205</v>
      </c>
      <c r="Q111" s="9">
        <f t="shared" si="61"/>
        <v>516.90695238247702</v>
      </c>
      <c r="R111" s="13">
        <f t="shared" si="62"/>
        <v>265.59826085824602</v>
      </c>
      <c r="S111" s="6">
        <f t="shared" si="63"/>
        <v>49.945796774993894</v>
      </c>
      <c r="T111" s="140">
        <f t="shared" ref="T111:T134" si="64">IF(ISNUMBER(VLOOKUP(CONCATENATE($H111,"_",T$105,"_a"),$B$6:$C$1151,2,FALSE)),VLOOKUP(CONCATENATE($H111,"_",T$105,"_a"),$B$6:$C$1151,2,FALSE)/1000000,"N/A")</f>
        <v>2.9635663713390801</v>
      </c>
      <c r="U111" s="6"/>
      <c r="V111" s="11"/>
      <c r="W111" s="11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</row>
    <row r="112" spans="1:35" ht="15.75" x14ac:dyDescent="0.3">
      <c r="A112" s="150">
        <v>107</v>
      </c>
      <c r="B112" s="10" t="s">
        <v>91</v>
      </c>
      <c r="C112">
        <v>516906952.38247699</v>
      </c>
      <c r="E112" s="10" t="s">
        <v>405</v>
      </c>
      <c r="F112" s="151">
        <f>IF(ISNUMBER(P52),P52/SUM($I$43:$AI$71),0)</f>
        <v>6.3258342142211979E-4</v>
      </c>
      <c r="H112" s="160" t="s">
        <v>14</v>
      </c>
      <c r="I112" s="11">
        <f t="shared" si="59"/>
        <v>21.599464618366202</v>
      </c>
      <c r="J112" s="11">
        <f t="shared" si="59"/>
        <v>256.93632323352102</v>
      </c>
      <c r="K112" s="6">
        <f t="shared" si="59"/>
        <v>342.09309647784397</v>
      </c>
      <c r="L112" s="6">
        <f t="shared" si="59"/>
        <v>201.38381493521101</v>
      </c>
      <c r="M112" s="6">
        <f t="shared" si="59"/>
        <v>96.378526587284099</v>
      </c>
      <c r="N112" s="6">
        <f t="shared" si="59"/>
        <v>41.2569248360806</v>
      </c>
      <c r="O112" s="6">
        <f t="shared" si="59"/>
        <v>28.3835212168913</v>
      </c>
      <c r="P112" s="6">
        <f t="shared" si="60"/>
        <v>132.213515910133</v>
      </c>
      <c r="Q112" s="6">
        <f t="shared" si="61"/>
        <v>341.891466274734</v>
      </c>
      <c r="R112" s="6">
        <f t="shared" si="62"/>
        <v>332.03150996011402</v>
      </c>
      <c r="S112" s="12">
        <f t="shared" si="63"/>
        <v>130.69376686821701</v>
      </c>
      <c r="T112" s="6">
        <f t="shared" si="64"/>
        <v>21.615315461972198</v>
      </c>
      <c r="U112" s="140">
        <f t="shared" ref="U112:U134" si="65">IF(ISNUMBER(VLOOKUP(CONCATENATE($H112,"_",U$105,"_a"),$B$6:$C$1151,2,FALSE)),VLOOKUP(CONCATENATE($H112,"_",U$105,"_a"),$B$6:$C$1151,2,FALSE)/1000000,"N/A")</f>
        <v>0.79334686528462195</v>
      </c>
      <c r="V112" s="11"/>
      <c r="W112" s="11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</row>
    <row r="113" spans="1:35" ht="15.75" x14ac:dyDescent="0.3">
      <c r="A113" s="150">
        <v>108</v>
      </c>
      <c r="B113" s="10" t="s">
        <v>92</v>
      </c>
      <c r="C113">
        <v>443064354.25741601</v>
      </c>
      <c r="E113" s="10" t="s">
        <v>406</v>
      </c>
      <c r="F113" s="151">
        <f>IF(ISNUMBER(Q52),Q52/SUM($I$43:$AI$71),0)</f>
        <v>1.1684716993866309E-4</v>
      </c>
      <c r="H113" s="160" t="s">
        <v>15</v>
      </c>
      <c r="I113" s="11">
        <f t="shared" si="59"/>
        <v>25.2838186411762</v>
      </c>
      <c r="J113" s="11">
        <f t="shared" si="59"/>
        <v>222.06427411525701</v>
      </c>
      <c r="K113" s="6">
        <f t="shared" si="59"/>
        <v>340.97878685861201</v>
      </c>
      <c r="L113" s="6">
        <f t="shared" si="59"/>
        <v>238.58880037450399</v>
      </c>
      <c r="M113" s="6">
        <f t="shared" si="59"/>
        <v>106.44971867690299</v>
      </c>
      <c r="N113" s="6">
        <f t="shared" si="59"/>
        <v>46.751372689765901</v>
      </c>
      <c r="O113" s="6">
        <f t="shared" si="59"/>
        <v>17.513918612635603</v>
      </c>
      <c r="P113" s="6">
        <f t="shared" si="60"/>
        <v>4.6799476796064399</v>
      </c>
      <c r="Q113" s="6">
        <f t="shared" si="61"/>
        <v>6.5890364358987803</v>
      </c>
      <c r="R113" s="6">
        <f t="shared" si="62"/>
        <v>13.236187645768199</v>
      </c>
      <c r="S113" s="6">
        <f t="shared" si="63"/>
        <v>11.6284512113562</v>
      </c>
      <c r="T113" s="12">
        <f t="shared" si="64"/>
        <v>4.4814087369983193</v>
      </c>
      <c r="U113" s="6">
        <f t="shared" si="65"/>
        <v>0.30943406339110396</v>
      </c>
      <c r="V113" s="140">
        <f t="shared" ref="V113:V134" si="66">IF(ISNUMBER(VLOOKUP(CONCATENATE($H113,"_",V$105,"_a"),$B$6:$C$1151,2,FALSE)),VLOOKUP(CONCATENATE($H113,"_",V$105,"_a"),$B$6:$C$1151,2,FALSE)/1000000,"N/A")</f>
        <v>0</v>
      </c>
      <c r="W113" s="11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</row>
    <row r="114" spans="1:35" ht="15.75" x14ac:dyDescent="0.3">
      <c r="A114" s="150">
        <v>109</v>
      </c>
      <c r="B114" s="10" t="s">
        <v>683</v>
      </c>
      <c r="C114">
        <v>265598260.858246</v>
      </c>
      <c r="E114" s="10" t="s">
        <v>407</v>
      </c>
      <c r="F114" s="151">
        <f>IF(ISNUMBER(R52),R52/SUM($I$43:$AI$71),0)</f>
        <v>0</v>
      </c>
      <c r="H114" s="160" t="s">
        <v>16</v>
      </c>
      <c r="I114" s="11">
        <f t="shared" si="59"/>
        <v>22.8213398906517</v>
      </c>
      <c r="J114" s="11">
        <f t="shared" si="59"/>
        <v>183.161099516685</v>
      </c>
      <c r="K114" s="6">
        <f t="shared" si="59"/>
        <v>317.88619682435603</v>
      </c>
      <c r="L114" s="6">
        <f t="shared" si="59"/>
        <v>268.61879578498798</v>
      </c>
      <c r="M114" s="6">
        <f t="shared" si="59"/>
        <v>141.82699948546599</v>
      </c>
      <c r="N114" s="6">
        <f t="shared" si="59"/>
        <v>69.172174865570099</v>
      </c>
      <c r="O114" s="6">
        <f t="shared" si="59"/>
        <v>31.956323506349602</v>
      </c>
      <c r="P114" s="6">
        <f t="shared" si="60"/>
        <v>9.4224560985574701</v>
      </c>
      <c r="Q114" s="6">
        <f t="shared" si="61"/>
        <v>0.41720703326660402</v>
      </c>
      <c r="R114" s="6">
        <f t="shared" si="62"/>
        <v>4.4666679214844504E-2</v>
      </c>
      <c r="S114" s="6">
        <f t="shared" si="63"/>
        <v>7.3024349372982994E-2</v>
      </c>
      <c r="T114" s="6">
        <f t="shared" si="64"/>
        <v>5.9311649784181304E-2</v>
      </c>
      <c r="U114" s="12">
        <f t="shared" si="65"/>
        <v>4.56662853222666E-3</v>
      </c>
      <c r="V114" s="11">
        <f t="shared" si="66"/>
        <v>0.11152523587719401</v>
      </c>
      <c r="W114" s="140">
        <f t="shared" ref="W114:W134" si="67">IF(ISNUMBER(VLOOKUP(CONCATENATE($H114,"_",W$105,"_a"),$B$6:$C$1151,2,FALSE)),VLOOKUP(CONCATENATE($H114,"_",W$105,"_a"),$B$6:$C$1151,2,FALSE)/1000000,"N/A")</f>
        <v>0</v>
      </c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</row>
    <row r="115" spans="1:35" ht="15.75" x14ac:dyDescent="0.3">
      <c r="A115" s="150">
        <v>110</v>
      </c>
      <c r="B115" s="10" t="s">
        <v>684</v>
      </c>
      <c r="C115">
        <v>233689042.41514599</v>
      </c>
      <c r="E115" s="10" t="s">
        <v>512</v>
      </c>
      <c r="F115" s="151">
        <f>IF(ISNUMBER(S52),S52/SUM($I$43:$AI$71),0)</f>
        <v>0</v>
      </c>
      <c r="H115" s="159" t="s">
        <v>17</v>
      </c>
      <c r="I115" s="9">
        <f t="shared" si="59"/>
        <v>9.1837447108197185</v>
      </c>
      <c r="J115" s="9">
        <f t="shared" si="59"/>
        <v>85.963024499794003</v>
      </c>
      <c r="K115" s="9">
        <f t="shared" si="59"/>
        <v>176.03706926819598</v>
      </c>
      <c r="L115" s="9">
        <f t="shared" si="59"/>
        <v>181.33164086462401</v>
      </c>
      <c r="M115" s="9">
        <f t="shared" si="59"/>
        <v>118.369276287643</v>
      </c>
      <c r="N115" s="9">
        <f t="shared" si="59"/>
        <v>60.5666786609535</v>
      </c>
      <c r="O115" s="9">
        <f t="shared" si="59"/>
        <v>28.963988721534701</v>
      </c>
      <c r="P115" s="9">
        <f t="shared" si="60"/>
        <v>10.840849151361502</v>
      </c>
      <c r="Q115" s="9">
        <f t="shared" si="61"/>
        <v>1.9712959247305399</v>
      </c>
      <c r="R115" s="9">
        <f t="shared" si="62"/>
        <v>2.7759279589355E-2</v>
      </c>
      <c r="S115" s="9">
        <f t="shared" si="63"/>
        <v>1.4628985349426501E-3</v>
      </c>
      <c r="T115" s="9">
        <f t="shared" si="64"/>
        <v>2.1826889774413803E-2</v>
      </c>
      <c r="U115" s="9">
        <f t="shared" si="65"/>
        <v>5.3675124711915897E-3</v>
      </c>
      <c r="V115" s="13">
        <f t="shared" si="66"/>
        <v>1.7107075793059499E-2</v>
      </c>
      <c r="W115" s="11">
        <f t="shared" si="67"/>
        <v>0</v>
      </c>
      <c r="X115" s="140">
        <f t="shared" ref="X115:X134" si="68">IF(ISNUMBER(VLOOKUP(CONCATENATE($H115,"_",X$105,"_a"),$B$6:$C$1151,2,FALSE)),VLOOKUP(CONCATENATE($H115,"_",X$105,"_a"),$B$6:$C$1151,2,FALSE)/1000000,"N/A")</f>
        <v>0</v>
      </c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</row>
    <row r="116" spans="1:35" ht="15.75" x14ac:dyDescent="0.3">
      <c r="A116" s="150">
        <v>111</v>
      </c>
      <c r="B116" s="10" t="s">
        <v>1109</v>
      </c>
      <c r="C116">
        <v>49945796.774993896</v>
      </c>
      <c r="E116" s="10" t="s">
        <v>513</v>
      </c>
      <c r="F116" s="151">
        <f>IF(ISNUMBER(T52),T52/SUM($I$43:$AI$71),0)</f>
        <v>0</v>
      </c>
      <c r="H116" s="160" t="s">
        <v>9</v>
      </c>
      <c r="I116" s="11">
        <f t="shared" ref="I116:O125" si="69">IF(ISNUMBER(VLOOKUP(CONCATENATE($H116,"_",I$105,"_a"),$B$6:$C$1151,2,FALSE)),VLOOKUP(CONCATENATE($H116,"_",I$105,"_a"),$B$6:$C$1151,2,FALSE)/1000000,"N/A")</f>
        <v>0.58763436178994199</v>
      </c>
      <c r="J116" s="11">
        <f t="shared" si="69"/>
        <v>7.2917677582569107</v>
      </c>
      <c r="K116" s="6">
        <f t="shared" si="69"/>
        <v>19.636760431791302</v>
      </c>
      <c r="L116" s="6">
        <f t="shared" si="69"/>
        <v>24.919877270929298</v>
      </c>
      <c r="M116" s="6">
        <f t="shared" si="69"/>
        <v>20.4091866495781</v>
      </c>
      <c r="N116" s="6">
        <f t="shared" si="69"/>
        <v>10.298853006940801</v>
      </c>
      <c r="O116" s="6">
        <f t="shared" si="69"/>
        <v>4.4298604603235701</v>
      </c>
      <c r="P116" s="6">
        <f t="shared" si="60"/>
        <v>0.96775303967917004</v>
      </c>
      <c r="Q116" s="6">
        <f t="shared" si="61"/>
        <v>0.113151763839848</v>
      </c>
      <c r="R116" s="6">
        <f t="shared" si="62"/>
        <v>1.30618127041021E-2</v>
      </c>
      <c r="S116" s="6">
        <f t="shared" si="63"/>
        <v>0.78343018027001599</v>
      </c>
      <c r="T116" s="6">
        <f t="shared" si="64"/>
        <v>3.4161869154505702</v>
      </c>
      <c r="U116" s="11">
        <f t="shared" si="65"/>
        <v>5.0971282633857697</v>
      </c>
      <c r="V116" s="6">
        <f t="shared" si="66"/>
        <v>2.7708377414543599</v>
      </c>
      <c r="W116" s="12">
        <f t="shared" si="67"/>
        <v>0.120481729558595</v>
      </c>
      <c r="X116" s="6">
        <f t="shared" si="68"/>
        <v>0</v>
      </c>
      <c r="Y116" s="140">
        <f t="shared" ref="Y116:Y134" si="70">IF(ISNUMBER(VLOOKUP(CONCATENATE($H116,"_",Y$105,"_a"),$B$6:$C$1151,2,FALSE)),VLOOKUP(CONCATENATE($H116,"_",Y$105,"_a"),$B$6:$C$1151,2,FALSE)/1000000,"N/A")</f>
        <v>0</v>
      </c>
      <c r="Z116" s="6"/>
      <c r="AA116" s="6"/>
      <c r="AB116" s="6"/>
      <c r="AC116" s="6"/>
      <c r="AD116" s="6"/>
      <c r="AE116" s="6"/>
      <c r="AF116" s="6"/>
      <c r="AG116" s="6"/>
      <c r="AH116" s="6"/>
      <c r="AI116" s="6"/>
    </row>
    <row r="117" spans="1:35" ht="15.75" x14ac:dyDescent="0.3">
      <c r="A117" s="150">
        <v>112</v>
      </c>
      <c r="B117" s="10" t="s">
        <v>1110</v>
      </c>
      <c r="C117">
        <v>47874121.760952003</v>
      </c>
      <c r="E117" s="10" t="s">
        <v>514</v>
      </c>
      <c r="F117" s="151">
        <f>IF(ISNUMBER(U52),U52/SUM($I$43:$AI$71),0)</f>
        <v>0</v>
      </c>
      <c r="H117" s="160" t="s">
        <v>18</v>
      </c>
      <c r="I117" s="11">
        <f t="shared" si="69"/>
        <v>0.28582229121911501</v>
      </c>
      <c r="J117" s="11">
        <f t="shared" si="69"/>
        <v>1.5170311613916201</v>
      </c>
      <c r="K117" s="6">
        <f t="shared" si="69"/>
        <v>1.1095920096152398</v>
      </c>
      <c r="L117" s="6">
        <f t="shared" si="69"/>
        <v>0.29309829611718702</v>
      </c>
      <c r="M117" s="6">
        <f t="shared" si="69"/>
        <v>4.2967174275388896E-2</v>
      </c>
      <c r="N117" s="6">
        <f t="shared" si="69"/>
        <v>1.20454727661125E-2</v>
      </c>
      <c r="O117" s="6">
        <f t="shared" si="69"/>
        <v>0</v>
      </c>
      <c r="P117" s="6">
        <f t="shared" si="60"/>
        <v>0</v>
      </c>
      <c r="Q117" s="6">
        <f t="shared" si="61"/>
        <v>0</v>
      </c>
      <c r="R117" s="6">
        <f t="shared" si="62"/>
        <v>4.9382772348634902E-3</v>
      </c>
      <c r="S117" s="6">
        <f t="shared" si="63"/>
        <v>0.94074312790965997</v>
      </c>
      <c r="T117" s="6">
        <f t="shared" si="64"/>
        <v>7.5643862873802208</v>
      </c>
      <c r="U117" s="11">
        <f t="shared" si="65"/>
        <v>17.8284628365011</v>
      </c>
      <c r="V117" s="6">
        <f t="shared" si="66"/>
        <v>19.4865654767904</v>
      </c>
      <c r="W117" s="6">
        <f t="shared" si="67"/>
        <v>9.9609577430334095</v>
      </c>
      <c r="X117" s="12">
        <f t="shared" si="68"/>
        <v>1.5533860281249301</v>
      </c>
      <c r="Y117" s="6">
        <f t="shared" si="70"/>
        <v>0</v>
      </c>
      <c r="Z117" s="140">
        <f t="shared" ref="Z117:Z134" si="71">IF(ISNUMBER(VLOOKUP(CONCATENATE($H117,"_",Z$105,"_a"),$B$6:$C$1151,2,FALSE)),VLOOKUP(CONCATENATE($H117,"_",Z$105,"_a"),$B$6:$C$1151,2,FALSE)/1000000,"N/A")</f>
        <v>0</v>
      </c>
      <c r="AA117" s="6"/>
      <c r="AB117" s="6"/>
      <c r="AC117" s="6"/>
      <c r="AD117" s="6"/>
      <c r="AE117" s="6"/>
      <c r="AF117" s="6"/>
      <c r="AG117" s="6"/>
      <c r="AH117" s="6"/>
      <c r="AI117" s="6"/>
    </row>
    <row r="118" spans="1:35" ht="15.75" x14ac:dyDescent="0.3">
      <c r="A118" s="150">
        <v>113</v>
      </c>
      <c r="B118" s="10" t="s">
        <v>1111</v>
      </c>
      <c r="C118">
        <v>2963566.3713390799</v>
      </c>
      <c r="E118" s="10" t="s">
        <v>1054</v>
      </c>
      <c r="F118" s="151">
        <f>IF(ISNUMBER(V52),V52/SUM($I$43:$AI$71),0)</f>
        <v>0</v>
      </c>
      <c r="H118" s="160" t="s">
        <v>19</v>
      </c>
      <c r="I118" s="11">
        <f t="shared" si="69"/>
        <v>4.2425342891206705</v>
      </c>
      <c r="J118" s="11">
        <f t="shared" si="69"/>
        <v>13.755901682069801</v>
      </c>
      <c r="K118" s="6">
        <f t="shared" si="69"/>
        <v>13.172693163314801</v>
      </c>
      <c r="L118" s="6">
        <f t="shared" si="69"/>
        <v>8.2882983491969107</v>
      </c>
      <c r="M118" s="6">
        <f t="shared" si="69"/>
        <v>3.1452778996191002</v>
      </c>
      <c r="N118" s="6">
        <f t="shared" si="69"/>
        <v>0.21285404581981901</v>
      </c>
      <c r="O118" s="6">
        <f t="shared" si="69"/>
        <v>0</v>
      </c>
      <c r="P118" s="6">
        <f t="shared" si="60"/>
        <v>0</v>
      </c>
      <c r="Q118" s="6">
        <f t="shared" si="61"/>
        <v>0</v>
      </c>
      <c r="R118" s="11">
        <f t="shared" si="62"/>
        <v>0</v>
      </c>
      <c r="S118" s="11">
        <f t="shared" si="63"/>
        <v>6.1815828239258401E-2</v>
      </c>
      <c r="T118" s="11">
        <f t="shared" si="64"/>
        <v>3.8777307864737502</v>
      </c>
      <c r="U118" s="11">
        <f t="shared" si="65"/>
        <v>17.219417833521799</v>
      </c>
      <c r="V118" s="11">
        <f t="shared" si="66"/>
        <v>32.580910919981001</v>
      </c>
      <c r="W118" s="11">
        <f t="shared" si="67"/>
        <v>29.399983408765799</v>
      </c>
      <c r="X118" s="6">
        <f t="shared" si="68"/>
        <v>13.8691628606205</v>
      </c>
      <c r="Y118" s="12">
        <f t="shared" si="70"/>
        <v>2.3563175711245501</v>
      </c>
      <c r="Z118" s="6">
        <f t="shared" si="71"/>
        <v>2.9731756133791098E-2</v>
      </c>
      <c r="AA118" s="140">
        <f t="shared" ref="AA118:AA134" si="72">IF(ISNUMBER(VLOOKUP(CONCATENATE($H118,"_",AA$105,"_a"),$B$6:$C$1151,2,FALSE)),VLOOKUP(CONCATENATE($H118,"_",AA$105,"_a"),$B$6:$C$1151,2,FALSE)/1000000,"N/A")</f>
        <v>0</v>
      </c>
      <c r="AB118" s="6"/>
      <c r="AC118" s="6"/>
      <c r="AD118" s="6"/>
      <c r="AE118" s="6"/>
      <c r="AF118" s="6"/>
      <c r="AG118" s="6"/>
      <c r="AH118" s="6"/>
      <c r="AI118" s="6"/>
    </row>
    <row r="119" spans="1:35" ht="15.75" x14ac:dyDescent="0.3">
      <c r="A119" s="150">
        <v>114</v>
      </c>
      <c r="B119" s="10" t="s">
        <v>1112</v>
      </c>
      <c r="C119">
        <v>2911040.7724811998</v>
      </c>
      <c r="E119" s="10" t="s">
        <v>1576</v>
      </c>
      <c r="F119" s="151">
        <f>IF(ISNUMBER(W52),W52/SUM($I$43:$AI$71),0)</f>
        <v>0</v>
      </c>
      <c r="H119" s="160" t="s">
        <v>20</v>
      </c>
      <c r="I119" s="11">
        <f t="shared" si="69"/>
        <v>11.782217136177101</v>
      </c>
      <c r="J119" s="11">
        <f t="shared" si="69"/>
        <v>38.527488371414201</v>
      </c>
      <c r="K119" s="6">
        <f t="shared" si="69"/>
        <v>52.603334390716597</v>
      </c>
      <c r="L119" s="6">
        <f t="shared" si="69"/>
        <v>42.192140729713401</v>
      </c>
      <c r="M119" s="6">
        <f t="shared" si="69"/>
        <v>19.430814301125501</v>
      </c>
      <c r="N119" s="6">
        <f t="shared" si="69"/>
        <v>4.4246308446252298</v>
      </c>
      <c r="O119" s="6">
        <f t="shared" si="69"/>
        <v>0.24941563377051099</v>
      </c>
      <c r="P119" s="6">
        <f t="shared" si="60"/>
        <v>0</v>
      </c>
      <c r="Q119" s="6">
        <f t="shared" si="61"/>
        <v>0</v>
      </c>
      <c r="R119" s="11">
        <f t="shared" si="62"/>
        <v>0</v>
      </c>
      <c r="S119" s="11">
        <f t="shared" si="63"/>
        <v>0</v>
      </c>
      <c r="T119" s="11">
        <f t="shared" si="64"/>
        <v>0.423225159246087</v>
      </c>
      <c r="U119" s="11">
        <f t="shared" si="65"/>
        <v>7.6969286719574903</v>
      </c>
      <c r="V119" s="11">
        <f t="shared" si="66"/>
        <v>24.838719052349102</v>
      </c>
      <c r="W119" s="11">
        <f t="shared" si="67"/>
        <v>38.197082630020098</v>
      </c>
      <c r="X119" s="6">
        <f t="shared" si="68"/>
        <v>29.998410417730302</v>
      </c>
      <c r="Y119" s="6">
        <f t="shared" si="70"/>
        <v>13.322246702177999</v>
      </c>
      <c r="Z119" s="12">
        <f t="shared" si="71"/>
        <v>2.22869442813289</v>
      </c>
      <c r="AA119" s="6">
        <f t="shared" si="72"/>
        <v>1.38397485781256E-2</v>
      </c>
      <c r="AB119" s="140">
        <f t="shared" ref="AB119:AB134" si="73">IF(ISNUMBER(VLOOKUP(CONCATENATE($H119,"_",AB$105,"_a"),$B$6:$C$1151,2,FALSE)),VLOOKUP(CONCATENATE($H119,"_",AB$105,"_a"),$B$6:$C$1151,2,FALSE)/1000000,"N/A")</f>
        <v>0</v>
      </c>
      <c r="AC119" s="6"/>
      <c r="AD119" s="6"/>
      <c r="AE119" s="6"/>
      <c r="AF119" s="6"/>
      <c r="AG119" s="6"/>
      <c r="AH119" s="6"/>
      <c r="AI119" s="6"/>
    </row>
    <row r="120" spans="1:35" ht="15.75" x14ac:dyDescent="0.3">
      <c r="A120" s="150">
        <v>115</v>
      </c>
      <c r="B120" s="10" t="s">
        <v>685</v>
      </c>
      <c r="C120">
        <v>21599464.6183662</v>
      </c>
      <c r="E120" s="10" t="s">
        <v>1577</v>
      </c>
      <c r="F120" s="151">
        <f>IF(ISNUMBER(X52),X52/SUM($I$43:$AI$71),0)</f>
        <v>0</v>
      </c>
      <c r="H120" s="160" t="s">
        <v>21</v>
      </c>
      <c r="I120" s="11">
        <f t="shared" si="69"/>
        <v>13.879620117591902</v>
      </c>
      <c r="J120" s="11">
        <f t="shared" si="69"/>
        <v>49.608017706138604</v>
      </c>
      <c r="K120" s="6">
        <f t="shared" si="69"/>
        <v>85.9550630787964</v>
      </c>
      <c r="L120" s="6">
        <f t="shared" si="69"/>
        <v>95.475507479324293</v>
      </c>
      <c r="M120" s="6">
        <f t="shared" si="69"/>
        <v>52.021645588180498</v>
      </c>
      <c r="N120" s="6">
        <f t="shared" si="69"/>
        <v>14.6758312641087</v>
      </c>
      <c r="O120" s="6">
        <f t="shared" si="69"/>
        <v>2.3388467594692699</v>
      </c>
      <c r="P120" s="6">
        <f t="shared" si="60"/>
        <v>5.13439101069346E-2</v>
      </c>
      <c r="Q120" s="6">
        <f t="shared" si="61"/>
        <v>1.02777476923838E-2</v>
      </c>
      <c r="R120" s="11">
        <f t="shared" si="62"/>
        <v>0</v>
      </c>
      <c r="S120" s="11">
        <f t="shared" si="63"/>
        <v>0</v>
      </c>
      <c r="T120" s="11">
        <f t="shared" si="64"/>
        <v>2.51312023476567E-2</v>
      </c>
      <c r="U120" s="11">
        <f t="shared" si="65"/>
        <v>2.8273369976229699</v>
      </c>
      <c r="V120" s="11">
        <f t="shared" si="66"/>
        <v>17.410442343584101</v>
      </c>
      <c r="W120" s="11">
        <f t="shared" si="67"/>
        <v>44.827653167915301</v>
      </c>
      <c r="X120" s="6">
        <f t="shared" si="68"/>
        <v>58.964706276470196</v>
      </c>
      <c r="Y120" s="6">
        <f t="shared" si="70"/>
        <v>44.751920202816002</v>
      </c>
      <c r="Z120" s="6">
        <f t="shared" si="71"/>
        <v>18.027802905618699</v>
      </c>
      <c r="AA120" s="12">
        <f t="shared" si="72"/>
        <v>3.1985473654878103</v>
      </c>
      <c r="AB120" s="6">
        <f t="shared" si="73"/>
        <v>2.3622890466796203E-2</v>
      </c>
      <c r="AC120" s="140">
        <f t="shared" ref="AC120:AC134" si="74">IF(ISNUMBER(VLOOKUP(CONCATENATE($H120,"_",AC$105,"_a"),$B$6:$C$1151,2,FALSE)),VLOOKUP(CONCATENATE($H120,"_",AC$105,"_a"),$B$6:$C$1151,2,FALSE)/1000000,"N/A")</f>
        <v>2.7161310808593402E-2</v>
      </c>
      <c r="AD120" s="6"/>
      <c r="AE120" s="6"/>
      <c r="AF120" s="6"/>
      <c r="AG120" s="6"/>
      <c r="AH120" s="6"/>
      <c r="AI120" s="6"/>
    </row>
    <row r="121" spans="1:35" ht="15.75" x14ac:dyDescent="0.3">
      <c r="A121" s="150">
        <v>116</v>
      </c>
      <c r="B121" s="10" t="s">
        <v>686</v>
      </c>
      <c r="C121">
        <v>13110588.642343</v>
      </c>
      <c r="E121" s="10" t="s">
        <v>515</v>
      </c>
      <c r="F121" s="151">
        <f>IF(ISNUMBER(I53),I53/SUM($I$43:$AI$71),0)</f>
        <v>0</v>
      </c>
      <c r="H121" s="160" t="s">
        <v>22</v>
      </c>
      <c r="I121" s="11">
        <f t="shared" si="69"/>
        <v>10.9427128762989</v>
      </c>
      <c r="J121" s="11">
        <f t="shared" si="69"/>
        <v>43.499671049709299</v>
      </c>
      <c r="K121" s="6">
        <f t="shared" si="69"/>
        <v>90.258605921524008</v>
      </c>
      <c r="L121" s="6">
        <f t="shared" si="69"/>
        <v>130.24659202272801</v>
      </c>
      <c r="M121" s="6">
        <f t="shared" si="69"/>
        <v>86.723523687950106</v>
      </c>
      <c r="N121" s="6">
        <f t="shared" si="69"/>
        <v>29.3372700944633</v>
      </c>
      <c r="O121" s="6">
        <f t="shared" si="69"/>
        <v>5.5158141352152796</v>
      </c>
      <c r="P121" s="6">
        <f t="shared" si="60"/>
        <v>0.483418788778812</v>
      </c>
      <c r="Q121" s="6">
        <f t="shared" si="61"/>
        <v>0</v>
      </c>
      <c r="R121" s="11">
        <f t="shared" si="62"/>
        <v>6.8411741733401992E-3</v>
      </c>
      <c r="S121" s="11">
        <f t="shared" si="63"/>
        <v>0</v>
      </c>
      <c r="T121" s="11">
        <f t="shared" si="64"/>
        <v>0</v>
      </c>
      <c r="U121" s="11">
        <f t="shared" si="65"/>
        <v>0.20874709088009599</v>
      </c>
      <c r="V121" s="11">
        <f t="shared" si="66"/>
        <v>7.1124041603884693</v>
      </c>
      <c r="W121" s="11">
        <f t="shared" si="67"/>
        <v>30.8976316152477</v>
      </c>
      <c r="X121" s="6">
        <f t="shared" si="68"/>
        <v>65.923158848636604</v>
      </c>
      <c r="Y121" s="6">
        <f t="shared" si="70"/>
        <v>79.710865749092108</v>
      </c>
      <c r="Z121" s="6">
        <f t="shared" si="71"/>
        <v>54.008239583263396</v>
      </c>
      <c r="AA121" s="6">
        <f t="shared" si="72"/>
        <v>20.931065009073297</v>
      </c>
      <c r="AB121" s="12">
        <f t="shared" si="73"/>
        <v>4.0237320965495096</v>
      </c>
      <c r="AC121" s="6">
        <f t="shared" si="74"/>
        <v>0.133095679215819</v>
      </c>
      <c r="AD121" s="140">
        <f t="shared" ref="AD121:AD134" si="75">IF(ISNUMBER(VLOOKUP(CONCATENATE($H121,"_",AD$105,"_a"),$B$6:$C$1151,2,FALSE)),VLOOKUP(CONCATENATE($H121,"_",AD$105,"_a"),$B$6:$C$1151,2,FALSE)/1000000,"N/A")</f>
        <v>2.1285829675170599E-2</v>
      </c>
      <c r="AE121" s="6"/>
      <c r="AF121" s="6"/>
      <c r="AG121" s="6"/>
      <c r="AH121" s="6"/>
      <c r="AI121" s="6"/>
    </row>
    <row r="122" spans="1:35" ht="15.75" x14ac:dyDescent="0.3">
      <c r="A122" s="150">
        <v>117</v>
      </c>
      <c r="B122" s="10" t="s">
        <v>93</v>
      </c>
      <c r="C122">
        <v>256936323.23352101</v>
      </c>
      <c r="E122" s="10" t="s">
        <v>408</v>
      </c>
      <c r="F122" s="151">
        <f>IF(ISNUMBER(J53),J53/SUM($I$43:$AI$71),0)</f>
        <v>3.0684116840583097E-4</v>
      </c>
      <c r="H122" s="160" t="s">
        <v>23</v>
      </c>
      <c r="I122" s="11">
        <f t="shared" si="69"/>
        <v>6.8839080789055798</v>
      </c>
      <c r="J122" s="11">
        <f t="shared" si="69"/>
        <v>32.274876338031795</v>
      </c>
      <c r="K122" s="6">
        <f t="shared" si="69"/>
        <v>81.621367846939108</v>
      </c>
      <c r="L122" s="6">
        <f t="shared" si="69"/>
        <v>130.69298222039001</v>
      </c>
      <c r="M122" s="6">
        <f t="shared" si="69"/>
        <v>104.33440190338101</v>
      </c>
      <c r="N122" s="6">
        <f t="shared" si="69"/>
        <v>43.127527168338801</v>
      </c>
      <c r="O122" s="6">
        <f t="shared" si="69"/>
        <v>10.3128312863288</v>
      </c>
      <c r="P122" s="6">
        <f t="shared" si="60"/>
        <v>1.3214640722127</v>
      </c>
      <c r="Q122" s="6">
        <f t="shared" si="61"/>
        <v>5.81249543803707E-2</v>
      </c>
      <c r="R122" s="11">
        <f t="shared" si="62"/>
        <v>1.07958245595694E-2</v>
      </c>
      <c r="S122" s="11">
        <f t="shared" si="63"/>
        <v>4.8994063374027605E-3</v>
      </c>
      <c r="T122" s="11">
        <f t="shared" si="64"/>
        <v>0</v>
      </c>
      <c r="U122" s="11">
        <f t="shared" si="65"/>
        <v>8.8521396093750402E-3</v>
      </c>
      <c r="V122" s="11">
        <f t="shared" si="66"/>
        <v>0.94509145962095298</v>
      </c>
      <c r="W122" s="11">
        <f t="shared" si="67"/>
        <v>12.277449004905701</v>
      </c>
      <c r="X122" s="6">
        <f t="shared" si="68"/>
        <v>43.706762543930097</v>
      </c>
      <c r="Y122" s="6">
        <f t="shared" si="70"/>
        <v>83.939334532020595</v>
      </c>
      <c r="Z122" s="6">
        <f t="shared" si="71"/>
        <v>88.649829251770001</v>
      </c>
      <c r="AA122" s="6">
        <f t="shared" si="72"/>
        <v>53.5697883208504</v>
      </c>
      <c r="AB122" s="6">
        <f t="shared" si="73"/>
        <v>19.8520916119957</v>
      </c>
      <c r="AC122" s="12">
        <f t="shared" si="74"/>
        <v>4.2777201306362196</v>
      </c>
      <c r="AD122" s="6">
        <f t="shared" si="75"/>
        <v>0.241808877833501</v>
      </c>
      <c r="AE122" s="140">
        <f t="shared" ref="AE122:AE134" si="76">IF(ISNUMBER(VLOOKUP(CONCATENATE($H122,"_",AE$105,"_a"),$B$6:$C$1151,2,FALSE)),VLOOKUP(CONCATENATE($H122,"_",AE$105,"_a"),$B$6:$C$1151,2,FALSE)/1000000,"N/A")</f>
        <v>8.7647429727176207E-3</v>
      </c>
      <c r="AF122" s="6"/>
      <c r="AG122" s="6"/>
      <c r="AH122" s="6"/>
      <c r="AI122" s="6"/>
    </row>
    <row r="123" spans="1:35" ht="15.75" x14ac:dyDescent="0.3">
      <c r="A123" s="150">
        <v>118</v>
      </c>
      <c r="B123" s="10" t="s">
        <v>94</v>
      </c>
      <c r="C123">
        <v>205457499.25708801</v>
      </c>
      <c r="E123" s="10" t="s">
        <v>409</v>
      </c>
      <c r="F123" s="151">
        <f>IF(ISNUMBER(K53),K53/SUM($I$43:$AI$71),0)</f>
        <v>9.3546820056078224E-4</v>
      </c>
      <c r="H123" s="160" t="s">
        <v>24</v>
      </c>
      <c r="I123" s="11">
        <f t="shared" si="69"/>
        <v>4.5244978790898305</v>
      </c>
      <c r="J123" s="11">
        <f t="shared" si="69"/>
        <v>19.75176828092</v>
      </c>
      <c r="K123" s="6">
        <f t="shared" si="69"/>
        <v>65.378901312511402</v>
      </c>
      <c r="L123" s="6">
        <f t="shared" si="69"/>
        <v>118.04079763131</v>
      </c>
      <c r="M123" s="6">
        <f t="shared" si="69"/>
        <v>101.86911999176</v>
      </c>
      <c r="N123" s="6">
        <f t="shared" si="69"/>
        <v>49.767398683708201</v>
      </c>
      <c r="O123" s="6">
        <f t="shared" si="69"/>
        <v>14.420898189609499</v>
      </c>
      <c r="P123" s="6">
        <f t="shared" si="60"/>
        <v>2.4633023172583597</v>
      </c>
      <c r="Q123" s="6">
        <f t="shared" si="61"/>
        <v>0.12752558055420199</v>
      </c>
      <c r="R123" s="11">
        <f t="shared" si="62"/>
        <v>0</v>
      </c>
      <c r="S123" s="11">
        <f t="shared" si="63"/>
        <v>4.43065291967773E-3</v>
      </c>
      <c r="T123" s="11">
        <f t="shared" si="64"/>
        <v>0</v>
      </c>
      <c r="U123" s="11">
        <f t="shared" si="65"/>
        <v>0</v>
      </c>
      <c r="V123" s="11">
        <f t="shared" si="66"/>
        <v>0.93563930969381293</v>
      </c>
      <c r="W123" s="11">
        <f t="shared" si="67"/>
        <v>1.66101621024215</v>
      </c>
      <c r="X123" s="6">
        <f t="shared" si="68"/>
        <v>15.5095574765759</v>
      </c>
      <c r="Y123" s="6">
        <f t="shared" si="70"/>
        <v>47.154190666984604</v>
      </c>
      <c r="Z123" s="6">
        <f t="shared" si="71"/>
        <v>76.112935802009602</v>
      </c>
      <c r="AA123" s="6">
        <f t="shared" si="72"/>
        <v>74.241735470031699</v>
      </c>
      <c r="AB123" s="6">
        <f t="shared" si="73"/>
        <v>43.413464978839897</v>
      </c>
      <c r="AC123" s="6">
        <f t="shared" si="74"/>
        <v>16.436025406713501</v>
      </c>
      <c r="AD123" s="12">
        <f t="shared" si="75"/>
        <v>3.2728497122917197</v>
      </c>
      <c r="AE123" s="6">
        <f t="shared" si="76"/>
        <v>0.143165256493166</v>
      </c>
      <c r="AF123" s="140">
        <f t="shared" ref="AF123:AF134" si="77">IF(ISNUMBER(VLOOKUP(CONCATENATE($H123,"_",AF$105,"_a"),$B$6:$C$1151,2,FALSE)),VLOOKUP(CONCATENATE($H123,"_",AF$105,"_a"),$B$6:$C$1151,2,FALSE)/1000000,"N/A")</f>
        <v>5.0097211184632E-2</v>
      </c>
      <c r="AG123" s="6"/>
      <c r="AH123" s="6"/>
      <c r="AI123" s="6"/>
    </row>
    <row r="124" spans="1:35" ht="15.75" x14ac:dyDescent="0.3">
      <c r="A124" s="150">
        <v>119</v>
      </c>
      <c r="B124" s="10" t="s">
        <v>95</v>
      </c>
      <c r="C124">
        <v>342093096.477844</v>
      </c>
      <c r="E124" s="10" t="s">
        <v>410</v>
      </c>
      <c r="F124" s="151">
        <f>IF(ISNUMBER(L53),L53/SUM($I$43:$AI$71),0)</f>
        <v>1.2208925891202169E-3</v>
      </c>
      <c r="H124" s="160" t="s">
        <v>330</v>
      </c>
      <c r="I124" s="11">
        <f t="shared" si="69"/>
        <v>3.24307000798798</v>
      </c>
      <c r="J124" s="11">
        <f t="shared" si="69"/>
        <v>12.856898124750099</v>
      </c>
      <c r="K124" s="6">
        <f t="shared" si="69"/>
        <v>45.604760692886394</v>
      </c>
      <c r="L124" s="6">
        <f t="shared" si="69"/>
        <v>96.154006137176495</v>
      </c>
      <c r="M124" s="6">
        <f t="shared" si="69"/>
        <v>91.585706282325702</v>
      </c>
      <c r="N124" s="6">
        <f t="shared" si="69"/>
        <v>50.509600965988199</v>
      </c>
      <c r="O124" s="6">
        <f t="shared" si="69"/>
        <v>17.6850519141483</v>
      </c>
      <c r="P124" s="6">
        <f t="shared" si="60"/>
        <v>3.7293332425723098</v>
      </c>
      <c r="Q124" s="6">
        <f t="shared" si="61"/>
        <v>0.185615931306645</v>
      </c>
      <c r="R124" s="11">
        <f t="shared" si="62"/>
        <v>4.68453361523431E-3</v>
      </c>
      <c r="S124" s="11">
        <f t="shared" si="63"/>
        <v>0</v>
      </c>
      <c r="T124" s="11">
        <f t="shared" si="64"/>
        <v>0</v>
      </c>
      <c r="U124" s="11">
        <f t="shared" si="65"/>
        <v>4.4582369525142699E-4</v>
      </c>
      <c r="V124" s="11">
        <f t="shared" si="66"/>
        <v>4.2454293627407401E-2</v>
      </c>
      <c r="W124" s="11">
        <f t="shared" si="67"/>
        <v>5.3491934475585798E-2</v>
      </c>
      <c r="X124" s="6">
        <f t="shared" si="68"/>
        <v>4.6821361898064602</v>
      </c>
      <c r="Y124" s="6">
        <f t="shared" si="70"/>
        <v>26.275183302753401</v>
      </c>
      <c r="Z124" s="6">
        <f t="shared" si="71"/>
        <v>68.979226653240204</v>
      </c>
      <c r="AA124" s="6">
        <f t="shared" si="72"/>
        <v>103.400873714935</v>
      </c>
      <c r="AB124" s="6">
        <f t="shared" si="73"/>
        <v>96.469546833122294</v>
      </c>
      <c r="AC124" s="6">
        <f t="shared" si="74"/>
        <v>57.107229617416394</v>
      </c>
      <c r="AD124" s="6">
        <f t="shared" si="75"/>
        <v>21.3645535789394</v>
      </c>
      <c r="AE124" s="12">
        <f t="shared" si="76"/>
        <v>4.2764452391037899</v>
      </c>
      <c r="AF124" s="6">
        <f t="shared" si="77"/>
        <v>0.37538689513629697</v>
      </c>
      <c r="AG124" s="140">
        <f t="shared" ref="AG124:AG134" si="78">IF(ISNUMBER(VLOOKUP(CONCATENATE($H124,"_",AG$105,"_a"),$B$6:$C$1151,2,FALSE)),VLOOKUP(CONCATENATE($H124,"_",AG$105,"_a"),$B$6:$C$1151,2,FALSE)/1000000,"N/A")</f>
        <v>1.0575607434080401E-3</v>
      </c>
      <c r="AH124" s="6"/>
      <c r="AI124" s="6"/>
    </row>
    <row r="125" spans="1:35" ht="15.75" x14ac:dyDescent="0.3">
      <c r="A125" s="150">
        <v>120</v>
      </c>
      <c r="B125" s="10" t="s">
        <v>96</v>
      </c>
      <c r="C125">
        <v>323278668.73623699</v>
      </c>
      <c r="E125" s="10" t="s">
        <v>411</v>
      </c>
      <c r="F125" s="151">
        <f>IF(ISNUMBER(M53),M53/SUM($I$43:$AI$71),0)</f>
        <v>1.0267570924687882E-3</v>
      </c>
      <c r="H125" s="160" t="s">
        <v>331</v>
      </c>
      <c r="I125" s="11">
        <f t="shared" si="69"/>
        <v>3.0692852474720502</v>
      </c>
      <c r="J125" s="11">
        <f t="shared" si="69"/>
        <v>8.4734753860092198</v>
      </c>
      <c r="K125" s="6">
        <f t="shared" si="69"/>
        <v>28.741508665058099</v>
      </c>
      <c r="L125" s="6">
        <f t="shared" si="69"/>
        <v>68.279893924263007</v>
      </c>
      <c r="M125" s="6">
        <f t="shared" si="69"/>
        <v>74.641403613700902</v>
      </c>
      <c r="N125" s="6">
        <f t="shared" si="69"/>
        <v>45.898403902942704</v>
      </c>
      <c r="O125" s="6">
        <f t="shared" si="69"/>
        <v>17.634065936737102</v>
      </c>
      <c r="P125" s="6">
        <f t="shared" si="60"/>
        <v>4.3319873227739301</v>
      </c>
      <c r="Q125" s="6">
        <f t="shared" si="61"/>
        <v>0.40132378027927901</v>
      </c>
      <c r="R125" s="11">
        <f t="shared" si="62"/>
        <v>4.5766609189452105E-3</v>
      </c>
      <c r="S125" s="11">
        <f t="shared" si="63"/>
        <v>0</v>
      </c>
      <c r="T125" s="11">
        <f t="shared" si="64"/>
        <v>2.47799939172361E-2</v>
      </c>
      <c r="U125" s="11">
        <f t="shared" si="65"/>
        <v>1.0614704806640701E-2</v>
      </c>
      <c r="V125" s="11">
        <f t="shared" si="66"/>
        <v>0.55828951538115701</v>
      </c>
      <c r="W125" s="11">
        <f t="shared" si="67"/>
        <v>1.2612918365478999E-3</v>
      </c>
      <c r="X125" s="6">
        <f t="shared" si="68"/>
        <v>3.1729365673828901E-3</v>
      </c>
      <c r="Y125" s="6">
        <f t="shared" si="70"/>
        <v>3.6844153392612902</v>
      </c>
      <c r="Z125" s="6">
        <f t="shared" si="71"/>
        <v>16.862279922420502</v>
      </c>
      <c r="AA125" s="6">
        <f t="shared" si="72"/>
        <v>37.1406179695473</v>
      </c>
      <c r="AB125" s="6">
        <f t="shared" si="73"/>
        <v>50.804678480571702</v>
      </c>
      <c r="AC125" s="6">
        <f t="shared" si="74"/>
        <v>44.849522123805997</v>
      </c>
      <c r="AD125" s="6">
        <f t="shared" si="75"/>
        <v>24.988719634494799</v>
      </c>
      <c r="AE125" s="6">
        <f t="shared" si="76"/>
        <v>8.4286992139759107</v>
      </c>
      <c r="AF125" s="12">
        <f t="shared" si="77"/>
        <v>11.526857834383</v>
      </c>
      <c r="AG125" s="6">
        <f t="shared" si="78"/>
        <v>6.3250521362364295E-2</v>
      </c>
      <c r="AH125" s="140">
        <f t="shared" ref="AH125:AH134" si="79">IF(ISNUMBER(VLOOKUP(CONCATENATE($H125,"_",AH$105,"_a"),$B$6:$C$1151,2,FALSE)),VLOOKUP(CONCATENATE($H125,"_",AH$105,"_a"),$B$6:$C$1151,2,FALSE)/1000000,"N/A")</f>
        <v>2.00439264794928E-3</v>
      </c>
      <c r="AI125" s="6"/>
    </row>
    <row r="126" spans="1:35" ht="15.75" x14ac:dyDescent="0.3">
      <c r="A126" s="150">
        <v>121</v>
      </c>
      <c r="B126" s="10" t="s">
        <v>97</v>
      </c>
      <c r="C126">
        <v>201383814.935211</v>
      </c>
      <c r="E126" s="10" t="s">
        <v>412</v>
      </c>
      <c r="F126" s="151">
        <f>IF(ISNUMBER(N53),N53/SUM($I$43:$AI$71),0)</f>
        <v>5.4763913384952407E-4</v>
      </c>
      <c r="H126" s="160" t="s">
        <v>332</v>
      </c>
      <c r="I126" s="11">
        <f t="shared" ref="I126:O134" si="80">IF(ISNUMBER(VLOOKUP(CONCATENATE($H126,"_",I$105,"_a"),$B$6:$C$1151,2,FALSE)),VLOOKUP(CONCATENATE($H126,"_",I$105,"_a"),$B$6:$C$1151,2,FALSE)/1000000,"N/A")</f>
        <v>2.3870762597825501</v>
      </c>
      <c r="J126" s="11">
        <f t="shared" si="80"/>
        <v>6.6243158041768098</v>
      </c>
      <c r="K126" s="6">
        <f t="shared" si="80"/>
        <v>18.351359640493399</v>
      </c>
      <c r="L126" s="6">
        <f t="shared" si="80"/>
        <v>41.005557184936499</v>
      </c>
      <c r="M126" s="6">
        <f t="shared" si="80"/>
        <v>53.614010967536899</v>
      </c>
      <c r="N126" s="6">
        <f t="shared" si="80"/>
        <v>39.169393297794301</v>
      </c>
      <c r="O126" s="6">
        <f t="shared" si="80"/>
        <v>17.121160437882402</v>
      </c>
      <c r="P126" s="6">
        <f t="shared" si="60"/>
        <v>4.7776469432265793</v>
      </c>
      <c r="Q126" s="6">
        <f t="shared" si="61"/>
        <v>0.44144784479978699</v>
      </c>
      <c r="R126" s="11">
        <f t="shared" si="62"/>
        <v>4.8009091086909199E-2</v>
      </c>
      <c r="S126" s="11">
        <f t="shared" si="63"/>
        <v>6.2362801479492304E-3</v>
      </c>
      <c r="T126" s="11">
        <f t="shared" si="64"/>
        <v>2.06923783652345E-2</v>
      </c>
      <c r="U126" s="11">
        <f t="shared" si="65"/>
        <v>1.8851937941894901E-3</v>
      </c>
      <c r="V126" s="11">
        <f t="shared" si="66"/>
        <v>1.6168787557587001E-2</v>
      </c>
      <c r="W126" s="11">
        <f t="shared" si="67"/>
        <v>0</v>
      </c>
      <c r="X126" s="6">
        <f t="shared" si="68"/>
        <v>0</v>
      </c>
      <c r="Y126" s="6">
        <f t="shared" si="70"/>
        <v>0.28172532828125396</v>
      </c>
      <c r="Z126" s="6">
        <f t="shared" si="71"/>
        <v>5.3023357399134596</v>
      </c>
      <c r="AA126" s="6">
        <f t="shared" si="72"/>
        <v>21.641996116950999</v>
      </c>
      <c r="AB126" s="6">
        <f t="shared" si="73"/>
        <v>46.366872932750702</v>
      </c>
      <c r="AC126" s="6">
        <f t="shared" si="74"/>
        <v>60.646310214546205</v>
      </c>
      <c r="AD126" s="6">
        <f t="shared" si="75"/>
        <v>50.971301386070301</v>
      </c>
      <c r="AE126" s="6">
        <f t="shared" si="76"/>
        <v>27.4066026084766</v>
      </c>
      <c r="AF126" s="6">
        <f t="shared" si="77"/>
        <v>9.9364245816926999</v>
      </c>
      <c r="AG126" s="12">
        <f t="shared" si="78"/>
        <v>2.0242097824435201</v>
      </c>
      <c r="AH126" s="6">
        <f t="shared" si="79"/>
        <v>6.2637314841851602E-2</v>
      </c>
      <c r="AI126" s="140">
        <f t="shared" ref="AI126:AI134" si="81">IF(ISNUMBER(VLOOKUP(CONCATENATE($H126,"_",AI$105,"_a"),$B$6:$C$1151,2,FALSE)),VLOOKUP(CONCATENATE($H126,"_",AI$105,"_a"),$B$6:$C$1151,2,FALSE)/1000000,"N/A")</f>
        <v>0</v>
      </c>
    </row>
    <row r="127" spans="1:35" ht="15.75" x14ac:dyDescent="0.3">
      <c r="A127" s="150">
        <v>122</v>
      </c>
      <c r="B127" s="10" t="s">
        <v>98</v>
      </c>
      <c r="C127">
        <v>179053956.17109701</v>
      </c>
      <c r="E127" s="10" t="s">
        <v>413</v>
      </c>
      <c r="F127" s="151">
        <f>IF(ISNUMBER(O53),O53/SUM($I$43:$AI$71),0)</f>
        <v>2.5422022683004589E-4</v>
      </c>
      <c r="H127" s="160" t="s">
        <v>333</v>
      </c>
      <c r="I127" s="11">
        <f t="shared" si="80"/>
        <v>2.5525059580991303</v>
      </c>
      <c r="J127" s="11">
        <f t="shared" si="80"/>
        <v>6.1209733271861104</v>
      </c>
      <c r="K127" s="6">
        <f t="shared" si="80"/>
        <v>13.4096893134575</v>
      </c>
      <c r="L127" s="6">
        <f t="shared" si="80"/>
        <v>26.650357033716201</v>
      </c>
      <c r="M127" s="6">
        <f t="shared" si="80"/>
        <v>36.382707741577093</v>
      </c>
      <c r="N127" s="6">
        <f t="shared" si="80"/>
        <v>30.4393157041569</v>
      </c>
      <c r="O127" s="6">
        <f t="shared" si="80"/>
        <v>16.286206792275401</v>
      </c>
      <c r="P127" s="6">
        <f t="shared" si="60"/>
        <v>5.22388398531628</v>
      </c>
      <c r="Q127" s="6">
        <f t="shared" si="61"/>
        <v>0.72124614333593795</v>
      </c>
      <c r="R127" s="11">
        <f t="shared" si="62"/>
        <v>4.4991864999998396E-2</v>
      </c>
      <c r="S127" s="11">
        <f t="shared" si="63"/>
        <v>5.9056706756835803E-2</v>
      </c>
      <c r="T127" s="11">
        <f t="shared" si="64"/>
        <v>0</v>
      </c>
      <c r="U127" s="11">
        <f t="shared" si="65"/>
        <v>1.4418877699586999E-3</v>
      </c>
      <c r="V127" s="11">
        <f t="shared" si="66"/>
        <v>1.4752575564025899E-2</v>
      </c>
      <c r="W127" s="11">
        <f t="shared" si="67"/>
        <v>0</v>
      </c>
      <c r="X127" s="6">
        <f t="shared" si="68"/>
        <v>9.0471893701176195E-3</v>
      </c>
      <c r="Y127" s="6">
        <f t="shared" si="70"/>
        <v>4.8848193984375099E-3</v>
      </c>
      <c r="Z127" s="6">
        <f t="shared" si="71"/>
        <v>0.23044003955419398</v>
      </c>
      <c r="AA127" s="6">
        <f t="shared" si="72"/>
        <v>3.3799497398023601</v>
      </c>
      <c r="AB127" s="6">
        <f t="shared" si="73"/>
        <v>12.934012125411</v>
      </c>
      <c r="AC127" s="6">
        <f t="shared" si="74"/>
        <v>25.289622408573198</v>
      </c>
      <c r="AD127" s="6">
        <f t="shared" si="75"/>
        <v>29.361255123487499</v>
      </c>
      <c r="AE127" s="6">
        <f t="shared" si="76"/>
        <v>22.736743614471397</v>
      </c>
      <c r="AF127" s="6">
        <f t="shared" si="77"/>
        <v>11.9405937724609</v>
      </c>
      <c r="AG127" s="6">
        <f t="shared" si="78"/>
        <v>3.9131298625955599</v>
      </c>
      <c r="AH127" s="12">
        <f t="shared" si="79"/>
        <v>0.61694209878492401</v>
      </c>
      <c r="AI127" s="141">
        <f t="shared" si="81"/>
        <v>9.7741922034295294E-3</v>
      </c>
    </row>
    <row r="128" spans="1:35" ht="15.75" x14ac:dyDescent="0.3">
      <c r="A128" s="150">
        <v>123</v>
      </c>
      <c r="B128" s="10" t="s">
        <v>99</v>
      </c>
      <c r="C128">
        <v>96378526.587284103</v>
      </c>
      <c r="E128" s="10" t="s">
        <v>414</v>
      </c>
      <c r="F128" s="151">
        <f>IF(ISNUMBER(P53),P53/SUM($I$43:$AI$71),0)</f>
        <v>0</v>
      </c>
      <c r="H128" s="160" t="s">
        <v>334</v>
      </c>
      <c r="I128" s="11">
        <f t="shared" si="80"/>
        <v>2.4266511730365798</v>
      </c>
      <c r="J128" s="11">
        <f t="shared" si="80"/>
        <v>5.7223616794233303</v>
      </c>
      <c r="K128" s="6">
        <f t="shared" si="80"/>
        <v>9.7616347871246294</v>
      </c>
      <c r="L128" s="6">
        <f t="shared" si="80"/>
        <v>17.523281980251301</v>
      </c>
      <c r="M128" s="6">
        <f t="shared" si="80"/>
        <v>22.3111425992508</v>
      </c>
      <c r="N128" s="6">
        <f t="shared" si="80"/>
        <v>20.7726859491539</v>
      </c>
      <c r="O128" s="6">
        <f t="shared" si="80"/>
        <v>11.4871471009874</v>
      </c>
      <c r="P128" s="6">
        <f t="shared" si="60"/>
        <v>4.6147075668067901</v>
      </c>
      <c r="Q128" s="6">
        <f t="shared" si="61"/>
        <v>0.65384239627635499</v>
      </c>
      <c r="R128" s="11">
        <f t="shared" si="62"/>
        <v>3.5365959647461802E-2</v>
      </c>
      <c r="S128" s="11">
        <f t="shared" si="63"/>
        <v>6.1902601767578197E-3</v>
      </c>
      <c r="T128" s="11">
        <f t="shared" si="64"/>
        <v>2.2322822878906499E-2</v>
      </c>
      <c r="U128" s="11">
        <f t="shared" si="65"/>
        <v>0</v>
      </c>
      <c r="V128" s="11">
        <f t="shared" si="66"/>
        <v>0</v>
      </c>
      <c r="W128" s="11">
        <f t="shared" si="67"/>
        <v>5.4177680877689289E-4</v>
      </c>
      <c r="X128" s="6">
        <f t="shared" si="68"/>
        <v>0</v>
      </c>
      <c r="Y128" s="6">
        <f t="shared" si="70"/>
        <v>5.1859663520507698E-3</v>
      </c>
      <c r="Z128" s="6">
        <f t="shared" si="71"/>
        <v>0</v>
      </c>
      <c r="AA128" s="6">
        <f t="shared" si="72"/>
        <v>0.381367102438956</v>
      </c>
      <c r="AB128" s="6">
        <f t="shared" si="73"/>
        <v>3.18487674677396</v>
      </c>
      <c r="AC128" s="6">
        <f t="shared" si="74"/>
        <v>12.2089888696032</v>
      </c>
      <c r="AD128" s="6">
        <f t="shared" si="75"/>
        <v>22.056165213575401</v>
      </c>
      <c r="AE128" s="6">
        <f t="shared" si="76"/>
        <v>24.2811088187275</v>
      </c>
      <c r="AF128" s="6">
        <f t="shared" si="77"/>
        <v>17.163255399499899</v>
      </c>
      <c r="AG128" s="6">
        <f t="shared" si="78"/>
        <v>8.1824802836704293</v>
      </c>
      <c r="AH128" s="6">
        <f t="shared" si="79"/>
        <v>2.5262833922083403</v>
      </c>
      <c r="AI128" s="12">
        <f t="shared" si="81"/>
        <v>0.29151377682414698</v>
      </c>
    </row>
    <row r="129" spans="1:35" ht="15.75" x14ac:dyDescent="0.3">
      <c r="A129" s="150">
        <v>124</v>
      </c>
      <c r="B129" s="10" t="s">
        <v>100</v>
      </c>
      <c r="C129">
        <v>74039703.032791093</v>
      </c>
      <c r="E129" s="10" t="s">
        <v>415</v>
      </c>
      <c r="F129" s="151">
        <f>IF(ISNUMBER(Q53),Q53/SUM($I$43:$AI$71),0)</f>
        <v>0</v>
      </c>
      <c r="H129" s="160" t="s">
        <v>335</v>
      </c>
      <c r="I129" s="11">
        <f t="shared" si="80"/>
        <v>1.29115375790811</v>
      </c>
      <c r="J129" s="11">
        <f t="shared" si="80"/>
        <v>5.2037736769623804</v>
      </c>
      <c r="K129" s="6">
        <f t="shared" si="80"/>
        <v>8.6370357764129597</v>
      </c>
      <c r="L129" s="6">
        <f t="shared" si="80"/>
        <v>12.221559867742499</v>
      </c>
      <c r="M129" s="6">
        <f t="shared" si="80"/>
        <v>15.0098942786503</v>
      </c>
      <c r="N129" s="6">
        <f t="shared" si="80"/>
        <v>14.302566308979999</v>
      </c>
      <c r="O129" s="6">
        <f t="shared" si="80"/>
        <v>9.1125687872686409</v>
      </c>
      <c r="P129" s="6">
        <f t="shared" si="60"/>
        <v>3.7553572788276699</v>
      </c>
      <c r="Q129" s="6">
        <f t="shared" si="61"/>
        <v>0.54010190758985299</v>
      </c>
      <c r="R129" s="11">
        <f t="shared" si="62"/>
        <v>3.07855621450208E-2</v>
      </c>
      <c r="S129" s="11">
        <f t="shared" si="63"/>
        <v>0</v>
      </c>
      <c r="T129" s="11">
        <f t="shared" si="64"/>
        <v>2.16739045359194E-2</v>
      </c>
      <c r="U129" s="11">
        <f t="shared" si="65"/>
        <v>2.95602570703113E-3</v>
      </c>
      <c r="V129" s="11">
        <f t="shared" si="66"/>
        <v>0</v>
      </c>
      <c r="W129" s="11">
        <f t="shared" si="67"/>
        <v>2.79601273157969E-2</v>
      </c>
      <c r="X129" s="11">
        <f t="shared" si="68"/>
        <v>2.72723855244126E-2</v>
      </c>
      <c r="Y129" s="11">
        <f t="shared" si="70"/>
        <v>2.8496551237792701E-2</v>
      </c>
      <c r="Z129" s="11">
        <f t="shared" si="71"/>
        <v>0</v>
      </c>
      <c r="AA129" s="11">
        <f t="shared" si="72"/>
        <v>1.13906350751957E-2</v>
      </c>
      <c r="AB129" s="11">
        <f t="shared" si="73"/>
        <v>0.22151150568407801</v>
      </c>
      <c r="AC129" s="11">
        <f t="shared" si="74"/>
        <v>2.39310922347331</v>
      </c>
      <c r="AD129" s="11">
        <f t="shared" si="75"/>
        <v>7.9864813366975804</v>
      </c>
      <c r="AE129" s="11">
        <f t="shared" si="76"/>
        <v>13.725234699443801</v>
      </c>
      <c r="AF129" s="11">
        <f t="shared" si="77"/>
        <v>13.790697762952801</v>
      </c>
      <c r="AG129" s="11">
        <f t="shared" si="78"/>
        <v>9.6022124350509603</v>
      </c>
      <c r="AH129" s="11">
        <f t="shared" si="79"/>
        <v>4.6881460054721806</v>
      </c>
      <c r="AI129" s="14">
        <f t="shared" si="81"/>
        <v>0</v>
      </c>
    </row>
    <row r="130" spans="1:35" ht="15.75" x14ac:dyDescent="0.3">
      <c r="A130" s="150">
        <v>125</v>
      </c>
      <c r="B130" s="10" t="s">
        <v>101</v>
      </c>
      <c r="C130">
        <v>41256924.836080603</v>
      </c>
      <c r="E130" s="10" t="s">
        <v>416</v>
      </c>
      <c r="F130" s="151">
        <f>IF(ISNUMBER(R53),R53/SUM($I$43:$AI$71),0)</f>
        <v>0</v>
      </c>
      <c r="H130" s="160" t="s">
        <v>336</v>
      </c>
      <c r="I130" s="11">
        <f t="shared" si="80"/>
        <v>1.84463517132306</v>
      </c>
      <c r="J130" s="11">
        <f t="shared" si="80"/>
        <v>4.5815059012355803</v>
      </c>
      <c r="K130" s="6">
        <f t="shared" si="80"/>
        <v>6.6184740505385395</v>
      </c>
      <c r="L130" s="6">
        <f t="shared" si="80"/>
        <v>9.1654519193143802</v>
      </c>
      <c r="M130" s="6">
        <f t="shared" si="80"/>
        <v>9.893231173889161</v>
      </c>
      <c r="N130" s="6">
        <f t="shared" si="80"/>
        <v>8.5831296926021601</v>
      </c>
      <c r="O130" s="6">
        <f t="shared" si="80"/>
        <v>5.6445690705666491</v>
      </c>
      <c r="P130" s="6">
        <f t="shared" si="60"/>
        <v>2.3949789454326602</v>
      </c>
      <c r="Q130" s="6">
        <f t="shared" si="61"/>
        <v>0.44894603500783403</v>
      </c>
      <c r="R130" s="11">
        <f t="shared" si="62"/>
        <v>5.2160671738278097E-2</v>
      </c>
      <c r="S130" s="11">
        <f t="shared" si="63"/>
        <v>0</v>
      </c>
      <c r="T130" s="11">
        <f t="shared" si="64"/>
        <v>2.20277348437505E-2</v>
      </c>
      <c r="U130" s="11">
        <f t="shared" si="65"/>
        <v>4.1864053312787997</v>
      </c>
      <c r="V130" s="11">
        <f t="shared" si="66"/>
        <v>1.6629801283995597E-2</v>
      </c>
      <c r="W130" s="11">
        <f t="shared" si="67"/>
        <v>1.8337881902343599E-2</v>
      </c>
      <c r="X130" s="11">
        <f t="shared" si="68"/>
        <v>9.0163187885743106E-3</v>
      </c>
      <c r="Y130" s="11">
        <f t="shared" si="70"/>
        <v>0</v>
      </c>
      <c r="Z130" s="11">
        <f t="shared" si="71"/>
        <v>2.8949716149903803E-3</v>
      </c>
      <c r="AA130" s="11">
        <f t="shared" si="72"/>
        <v>0</v>
      </c>
      <c r="AB130" s="11">
        <f t="shared" si="73"/>
        <v>6.2344958258053502E-4</v>
      </c>
      <c r="AC130" s="11">
        <f t="shared" si="74"/>
        <v>0.20893708971533201</v>
      </c>
      <c r="AD130" s="11">
        <f t="shared" si="75"/>
        <v>1.8746567395006399</v>
      </c>
      <c r="AE130" s="11">
        <f t="shared" si="76"/>
        <v>3.6487920182456999</v>
      </c>
      <c r="AF130" s="11">
        <f t="shared" si="77"/>
        <v>8.3437864054832502</v>
      </c>
      <c r="AG130" s="11">
        <f t="shared" si="78"/>
        <v>8.72634307052898</v>
      </c>
      <c r="AH130" s="11">
        <f t="shared" si="79"/>
        <v>5.7178341039080598</v>
      </c>
      <c r="AI130" s="14">
        <f t="shared" si="81"/>
        <v>0</v>
      </c>
    </row>
    <row r="131" spans="1:35" ht="15.75" x14ac:dyDescent="0.3">
      <c r="A131" s="150">
        <v>126</v>
      </c>
      <c r="B131" s="10" t="s">
        <v>102</v>
      </c>
      <c r="C131">
        <v>36857831.686004601</v>
      </c>
      <c r="E131" s="10" t="s">
        <v>516</v>
      </c>
      <c r="F131" s="151">
        <f>IF(ISNUMBER(S53),S53/SUM($I$43:$AI$71),0)</f>
        <v>0</v>
      </c>
      <c r="H131" s="160" t="s">
        <v>337</v>
      </c>
      <c r="I131" s="11">
        <f t="shared" si="80"/>
        <v>0.73678602962684592</v>
      </c>
      <c r="J131" s="11">
        <f t="shared" si="80"/>
        <v>3.1858128999047297</v>
      </c>
      <c r="K131" s="6">
        <f t="shared" si="80"/>
        <v>5.1973773926396394</v>
      </c>
      <c r="L131" s="6">
        <f t="shared" si="80"/>
        <v>7.1595462531981493</v>
      </c>
      <c r="M131" s="6">
        <f t="shared" si="80"/>
        <v>6.1515475544629101</v>
      </c>
      <c r="N131" s="6">
        <f t="shared" si="80"/>
        <v>5.7916468509917296</v>
      </c>
      <c r="O131" s="6">
        <f t="shared" si="80"/>
        <v>3.6004718176164601</v>
      </c>
      <c r="P131" s="6">
        <f t="shared" si="60"/>
        <v>1.0621648506777301</v>
      </c>
      <c r="Q131" s="6">
        <f t="shared" si="61"/>
        <v>0.215314822141111</v>
      </c>
      <c r="R131" s="11">
        <f t="shared" si="62"/>
        <v>0</v>
      </c>
      <c r="S131" s="11">
        <f t="shared" si="63"/>
        <v>1.8477725929688698E-2</v>
      </c>
      <c r="T131" s="11">
        <f t="shared" si="64"/>
        <v>1.50526627646484E-2</v>
      </c>
      <c r="U131" s="11">
        <f t="shared" si="65"/>
        <v>0.34167360915759198</v>
      </c>
      <c r="V131" s="11">
        <f t="shared" si="66"/>
        <v>8.0541919226083001E-4</v>
      </c>
      <c r="W131" s="11">
        <f t="shared" si="67"/>
        <v>1.2701931187133299E-3</v>
      </c>
      <c r="X131" s="11">
        <f t="shared" si="68"/>
        <v>0</v>
      </c>
      <c r="Y131" s="11">
        <f t="shared" si="70"/>
        <v>0</v>
      </c>
      <c r="Z131" s="11">
        <f t="shared" si="71"/>
        <v>6.4361380312503297E-3</v>
      </c>
      <c r="AA131" s="11">
        <f t="shared" si="72"/>
        <v>0</v>
      </c>
      <c r="AB131" s="11">
        <f t="shared" si="73"/>
        <v>0</v>
      </c>
      <c r="AC131" s="11">
        <f t="shared" si="74"/>
        <v>0</v>
      </c>
      <c r="AD131" s="11">
        <f t="shared" si="75"/>
        <v>8.7160387580320201E-2</v>
      </c>
      <c r="AE131" s="11">
        <f t="shared" si="76"/>
        <v>0.83631215918576707</v>
      </c>
      <c r="AF131" s="11">
        <f t="shared" si="77"/>
        <v>2.4372534430041299</v>
      </c>
      <c r="AG131" s="11">
        <f t="shared" si="78"/>
        <v>4.76108837053442</v>
      </c>
      <c r="AH131" s="11">
        <f t="shared" si="79"/>
        <v>3.1079178659586901</v>
      </c>
      <c r="AI131" s="14">
        <f t="shared" si="81"/>
        <v>0</v>
      </c>
    </row>
    <row r="132" spans="1:35" ht="15.75" x14ac:dyDescent="0.3">
      <c r="A132" s="150">
        <v>127</v>
      </c>
      <c r="B132" s="10" t="s">
        <v>103</v>
      </c>
      <c r="C132">
        <v>28383521.2168913</v>
      </c>
      <c r="E132" s="10" t="s">
        <v>517</v>
      </c>
      <c r="F132" s="151">
        <f>IF(ISNUMBER(T53),T53/SUM($I$43:$AI$71),0)</f>
        <v>2.2743410904966114E-4</v>
      </c>
      <c r="H132" s="160" t="s">
        <v>338</v>
      </c>
      <c r="I132" s="11">
        <f t="shared" si="80"/>
        <v>2.1463702242156501E-2</v>
      </c>
      <c r="J132" s="11">
        <f t="shared" si="80"/>
        <v>1.68915028647733</v>
      </c>
      <c r="K132" s="6">
        <f t="shared" si="80"/>
        <v>3.4193133082051301</v>
      </c>
      <c r="L132" s="6">
        <f t="shared" si="80"/>
        <v>5.2112065435581201</v>
      </c>
      <c r="M132" s="6">
        <f t="shared" si="80"/>
        <v>4.5174558217644698</v>
      </c>
      <c r="N132" s="6">
        <f t="shared" si="80"/>
        <v>3.64089269155216</v>
      </c>
      <c r="O132" s="6">
        <f t="shared" si="80"/>
        <v>1.7958579327199502</v>
      </c>
      <c r="P132" s="6">
        <f t="shared" si="60"/>
        <v>0.70626975401461101</v>
      </c>
      <c r="Q132" s="6">
        <f t="shared" si="61"/>
        <v>9.31434301049784E-2</v>
      </c>
      <c r="R132" s="11">
        <f t="shared" si="62"/>
        <v>0</v>
      </c>
      <c r="S132" s="11">
        <f t="shared" si="63"/>
        <v>0</v>
      </c>
      <c r="T132" s="11">
        <f t="shared" si="64"/>
        <v>0</v>
      </c>
      <c r="U132" s="11">
        <f t="shared" si="65"/>
        <v>2.6739599772799001</v>
      </c>
      <c r="V132" s="11">
        <f t="shared" si="66"/>
        <v>7.9640307871094006E-3</v>
      </c>
      <c r="W132" s="11">
        <f t="shared" si="67"/>
        <v>0</v>
      </c>
      <c r="X132" s="11">
        <f t="shared" si="68"/>
        <v>0</v>
      </c>
      <c r="Y132" s="11">
        <f t="shared" si="70"/>
        <v>2.5700574750975699E-2</v>
      </c>
      <c r="Z132" s="11">
        <f t="shared" si="71"/>
        <v>0</v>
      </c>
      <c r="AA132" s="11">
        <f t="shared" si="72"/>
        <v>0</v>
      </c>
      <c r="AB132" s="11">
        <f t="shared" si="73"/>
        <v>1.6270341146483999E-2</v>
      </c>
      <c r="AC132" s="11">
        <f t="shared" si="74"/>
        <v>0</v>
      </c>
      <c r="AD132" s="11">
        <f t="shared" si="75"/>
        <v>1.4872707083497199E-2</v>
      </c>
      <c r="AE132" s="11">
        <f t="shared" si="76"/>
        <v>9.6593580437012008E-2</v>
      </c>
      <c r="AF132" s="11">
        <f t="shared" si="77"/>
        <v>0.78759129033654907</v>
      </c>
      <c r="AG132" s="11">
        <f t="shared" si="78"/>
        <v>1.30489389295673</v>
      </c>
      <c r="AH132" s="11">
        <f t="shared" si="79"/>
        <v>0</v>
      </c>
      <c r="AI132" s="14">
        <f t="shared" si="81"/>
        <v>0</v>
      </c>
    </row>
    <row r="133" spans="1:35" ht="15.75" x14ac:dyDescent="0.3">
      <c r="A133" s="150">
        <v>128</v>
      </c>
      <c r="B133" s="10" t="s">
        <v>104</v>
      </c>
      <c r="C133">
        <v>28146417.589575801</v>
      </c>
      <c r="E133" s="10" t="s">
        <v>518</v>
      </c>
      <c r="F133" s="151">
        <f>IF(ISNUMBER(U53),U53/SUM($I$43:$AI$71),0)</f>
        <v>3.4311786260678319E-4</v>
      </c>
      <c r="H133" s="160" t="s">
        <v>339</v>
      </c>
      <c r="I133" s="11">
        <f t="shared" si="80"/>
        <v>0.22198828461202999</v>
      </c>
      <c r="J133" s="11">
        <f t="shared" si="80"/>
        <v>1.0275060444041499</v>
      </c>
      <c r="K133" s="6">
        <f t="shared" si="80"/>
        <v>1.9373347509562999</v>
      </c>
      <c r="L133" s="6">
        <f t="shared" si="80"/>
        <v>3.4192517485051201</v>
      </c>
      <c r="M133" s="6">
        <f t="shared" si="80"/>
        <v>3.3265842148087001</v>
      </c>
      <c r="N133" s="6">
        <f t="shared" si="80"/>
        <v>2.50131380394554</v>
      </c>
      <c r="O133" s="6">
        <f t="shared" si="80"/>
        <v>0.904000596823335</v>
      </c>
      <c r="P133" s="6">
        <f t="shared" si="60"/>
        <v>0.24041540627001201</v>
      </c>
      <c r="Q133" s="6">
        <f t="shared" si="61"/>
        <v>5.3729056449707595E-2</v>
      </c>
      <c r="R133" s="11">
        <f t="shared" si="62"/>
        <v>0</v>
      </c>
      <c r="S133" s="11">
        <f t="shared" si="63"/>
        <v>0</v>
      </c>
      <c r="T133" s="11">
        <f t="shared" si="64"/>
        <v>0</v>
      </c>
      <c r="U133" s="11">
        <f t="shared" si="65"/>
        <v>0</v>
      </c>
      <c r="V133" s="11">
        <f t="shared" si="66"/>
        <v>1.7064702232085203E-2</v>
      </c>
      <c r="W133" s="11">
        <f t="shared" si="67"/>
        <v>0</v>
      </c>
      <c r="X133" s="11">
        <f t="shared" si="68"/>
        <v>1.6724499890624498E-2</v>
      </c>
      <c r="Y133" s="11">
        <f t="shared" si="70"/>
        <v>0</v>
      </c>
      <c r="Z133" s="11">
        <f t="shared" si="71"/>
        <v>2.5428346366698901E-2</v>
      </c>
      <c r="AA133" s="11">
        <f t="shared" si="72"/>
        <v>0</v>
      </c>
      <c r="AB133" s="11">
        <f t="shared" si="73"/>
        <v>0</v>
      </c>
      <c r="AC133" s="11">
        <f t="shared" si="74"/>
        <v>0</v>
      </c>
      <c r="AD133" s="11">
        <f t="shared" si="75"/>
        <v>1.1034937274414101E-2</v>
      </c>
      <c r="AE133" s="11">
        <f t="shared" si="76"/>
        <v>5.4633508022460201E-3</v>
      </c>
      <c r="AF133" s="11">
        <f t="shared" si="77"/>
        <v>0.11407305844628801</v>
      </c>
      <c r="AG133" s="11">
        <f t="shared" si="78"/>
        <v>0.20818952545173502</v>
      </c>
      <c r="AH133" s="11">
        <f t="shared" si="79"/>
        <v>0</v>
      </c>
      <c r="AI133" s="14">
        <f t="shared" si="81"/>
        <v>0</v>
      </c>
    </row>
    <row r="134" spans="1:35" ht="15.75" x14ac:dyDescent="0.3">
      <c r="A134" s="150">
        <v>129</v>
      </c>
      <c r="B134" s="10" t="s">
        <v>105</v>
      </c>
      <c r="C134">
        <v>132213515.910133</v>
      </c>
      <c r="E134" s="10" t="s">
        <v>1055</v>
      </c>
      <c r="F134" s="151">
        <f>IF(ISNUMBER(V53),V53/SUM($I$43:$AI$71),0)</f>
        <v>0</v>
      </c>
      <c r="H134" s="161" t="s">
        <v>340</v>
      </c>
      <c r="I134" s="47">
        <f t="shared" si="80"/>
        <v>1.8690525713285399E-2</v>
      </c>
      <c r="J134" s="47">
        <f t="shared" si="80"/>
        <v>0.23578774548703399</v>
      </c>
      <c r="K134" s="47">
        <f t="shared" si="80"/>
        <v>1.0136505004051901</v>
      </c>
      <c r="L134" s="47">
        <f t="shared" si="80"/>
        <v>2.41593622630239</v>
      </c>
      <c r="M134" s="47">
        <f t="shared" si="80"/>
        <v>2.2585556214623499</v>
      </c>
      <c r="N134" s="47">
        <f t="shared" si="80"/>
        <v>1.8181724360481502</v>
      </c>
      <c r="O134" s="47">
        <f t="shared" si="80"/>
        <v>0.752600673318923</v>
      </c>
      <c r="P134" s="47">
        <f t="shared" si="60"/>
        <v>0.18032893424889399</v>
      </c>
      <c r="Q134" s="47">
        <f t="shared" si="61"/>
        <v>2.45079853110351E-2</v>
      </c>
      <c r="R134" s="47">
        <f t="shared" si="62"/>
        <v>3.0523305515626403E-2</v>
      </c>
      <c r="S134" s="47">
        <f t="shared" si="63"/>
        <v>2.06256362050781E-2</v>
      </c>
      <c r="T134" s="47">
        <f t="shared" si="64"/>
        <v>0</v>
      </c>
      <c r="U134" s="47">
        <f t="shared" si="65"/>
        <v>0</v>
      </c>
      <c r="V134" s="47">
        <f t="shared" si="66"/>
        <v>1.01283978131721E-2</v>
      </c>
      <c r="W134" s="47">
        <f t="shared" si="67"/>
        <v>3.5247516319822501E-2</v>
      </c>
      <c r="X134" s="47">
        <f t="shared" si="68"/>
        <v>6.5030326019902707E-3</v>
      </c>
      <c r="Y134" s="47">
        <f t="shared" si="70"/>
        <v>0</v>
      </c>
      <c r="Z134" s="47">
        <f t="shared" si="71"/>
        <v>5.8834825576171293E-3</v>
      </c>
      <c r="AA134" s="47">
        <f t="shared" si="72"/>
        <v>0</v>
      </c>
      <c r="AB134" s="47">
        <f t="shared" si="73"/>
        <v>3.7647723351562405E-2</v>
      </c>
      <c r="AC134" s="47">
        <f t="shared" si="74"/>
        <v>1.3290051556640299E-2</v>
      </c>
      <c r="AD134" s="47">
        <f t="shared" si="75"/>
        <v>0</v>
      </c>
      <c r="AE134" s="47">
        <f t="shared" si="76"/>
        <v>2.2978342594482001E-2</v>
      </c>
      <c r="AF134" s="47">
        <f t="shared" si="77"/>
        <v>7.7206651647947699E-4</v>
      </c>
      <c r="AG134" s="47">
        <f t="shared" si="78"/>
        <v>0</v>
      </c>
      <c r="AH134" s="47">
        <f t="shared" si="79"/>
        <v>0</v>
      </c>
      <c r="AI134" s="46">
        <f t="shared" si="81"/>
        <v>0</v>
      </c>
    </row>
    <row r="135" spans="1:35" x14ac:dyDescent="0.25">
      <c r="A135" s="150">
        <v>130</v>
      </c>
      <c r="B135" s="10" t="s">
        <v>106</v>
      </c>
      <c r="C135">
        <v>124423109.508965</v>
      </c>
      <c r="E135" s="10" t="s">
        <v>1056</v>
      </c>
      <c r="F135" s="151">
        <f>IF(ISNUMBER(W53),W53/SUM($I$43:$AI$71),0)</f>
        <v>0</v>
      </c>
    </row>
    <row r="136" spans="1:35" x14ac:dyDescent="0.25">
      <c r="A136" s="150">
        <v>131</v>
      </c>
      <c r="B136" s="10" t="s">
        <v>107</v>
      </c>
      <c r="C136">
        <v>341891466.27473402</v>
      </c>
      <c r="E136" s="10" t="s">
        <v>1578</v>
      </c>
      <c r="F136" s="151">
        <f>IF(ISNUMBER(X53),X53/SUM($I$43:$AI$71),0)</f>
        <v>0</v>
      </c>
      <c r="H136" s="244" t="s">
        <v>1087</v>
      </c>
      <c r="AD136" s="237" t="s">
        <v>1818</v>
      </c>
      <c r="AE136" s="153">
        <f>C3</f>
        <v>95439396.7489243</v>
      </c>
      <c r="AG136" s="237" t="s">
        <v>1819</v>
      </c>
      <c r="AH136" s="153">
        <f>C5</f>
        <v>6043232.8919487</v>
      </c>
    </row>
    <row r="137" spans="1:35" ht="15.75" x14ac:dyDescent="0.3">
      <c r="A137" s="150">
        <v>132</v>
      </c>
      <c r="B137" s="10" t="s">
        <v>108</v>
      </c>
      <c r="C137">
        <v>291376443.01857001</v>
      </c>
      <c r="E137" s="10" t="s">
        <v>1579</v>
      </c>
      <c r="F137" s="151">
        <f>IF(ISNUMBER(Y53),Y53/SUM($I$43:$AI$71),0)</f>
        <v>0</v>
      </c>
      <c r="H137" s="245"/>
      <c r="I137" s="154" t="s">
        <v>1012</v>
      </c>
      <c r="J137" s="155" t="s">
        <v>322</v>
      </c>
      <c r="K137" s="155" t="s">
        <v>323</v>
      </c>
      <c r="L137" s="155" t="s">
        <v>324</v>
      </c>
      <c r="M137" s="155" t="s">
        <v>325</v>
      </c>
      <c r="N137" s="155" t="s">
        <v>326</v>
      </c>
      <c r="O137" s="155" t="s">
        <v>2</v>
      </c>
      <c r="P137" s="155" t="s">
        <v>3</v>
      </c>
      <c r="Q137" s="155" t="s">
        <v>4</v>
      </c>
      <c r="R137" s="155" t="s">
        <v>5</v>
      </c>
      <c r="S137" s="155" t="s">
        <v>6</v>
      </c>
      <c r="T137" s="155" t="s">
        <v>7</v>
      </c>
      <c r="U137" s="155" t="s">
        <v>8</v>
      </c>
      <c r="V137" s="155" t="s">
        <v>1016</v>
      </c>
      <c r="W137" s="155" t="s">
        <v>1017</v>
      </c>
      <c r="X137" s="155" t="s">
        <v>1018</v>
      </c>
      <c r="Y137" s="155" t="s">
        <v>1074</v>
      </c>
      <c r="Z137" s="155" t="s">
        <v>1075</v>
      </c>
      <c r="AA137" s="155" t="s">
        <v>1076</v>
      </c>
      <c r="AB137" s="155" t="s">
        <v>1077</v>
      </c>
      <c r="AC137" s="155" t="s">
        <v>1078</v>
      </c>
      <c r="AD137" s="155" t="s">
        <v>1079</v>
      </c>
      <c r="AE137" s="155" t="s">
        <v>1080</v>
      </c>
      <c r="AF137" s="155" t="s">
        <v>1081</v>
      </c>
      <c r="AG137" s="155" t="s">
        <v>1082</v>
      </c>
      <c r="AH137" s="155" t="s">
        <v>1083</v>
      </c>
      <c r="AI137" s="157" t="s">
        <v>1084</v>
      </c>
    </row>
    <row r="138" spans="1:35" ht="15.75" x14ac:dyDescent="0.3">
      <c r="A138" s="150">
        <v>133</v>
      </c>
      <c r="B138" s="10" t="s">
        <v>687</v>
      </c>
      <c r="C138">
        <v>332031509.960114</v>
      </c>
      <c r="E138" s="10" t="s">
        <v>519</v>
      </c>
      <c r="F138" s="151">
        <f>IF(ISNUMBER(I54),I54/SUM($I$43:$AI$71),0)</f>
        <v>0</v>
      </c>
      <c r="H138" s="158" t="s">
        <v>1011</v>
      </c>
      <c r="I138" s="11">
        <f t="shared" ref="I138:O147" si="82">IF(ISNUMBER(VLOOKUP(CONCATENATE($H138,"_",I$137,"_b"),$B$6:$C$1151,2,FALSE)),VLOOKUP(CONCATENATE($H138,"_",I$137,"_b"),$B$6:$C$1151,2,FALSE)/1000000,"N/A")</f>
        <v>0</v>
      </c>
      <c r="J138" s="11">
        <f t="shared" si="82"/>
        <v>0</v>
      </c>
      <c r="K138" s="6">
        <f t="shared" si="82"/>
        <v>0</v>
      </c>
      <c r="L138" s="6">
        <f t="shared" si="82"/>
        <v>0</v>
      </c>
      <c r="M138" s="12">
        <f t="shared" si="82"/>
        <v>3.4860209569334999E-2</v>
      </c>
      <c r="N138" s="6">
        <f t="shared" si="82"/>
        <v>4.6422977988281097E-3</v>
      </c>
      <c r="O138" s="141">
        <f t="shared" si="82"/>
        <v>0</v>
      </c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</row>
    <row r="139" spans="1:35" ht="15.75" x14ac:dyDescent="0.3">
      <c r="A139" s="150">
        <v>134</v>
      </c>
      <c r="B139" s="10" t="s">
        <v>688</v>
      </c>
      <c r="C139">
        <v>289022906.948502</v>
      </c>
      <c r="E139" s="10" t="s">
        <v>417</v>
      </c>
      <c r="F139" s="151">
        <f>IF(ISNUMBER(J54),J54/SUM($I$43:$AI$71),0)</f>
        <v>6.4544740069549586E-5</v>
      </c>
      <c r="H139" s="159" t="s">
        <v>321</v>
      </c>
      <c r="I139" s="9">
        <f t="shared" si="82"/>
        <v>4.2920865234376401E-3</v>
      </c>
      <c r="J139" s="9">
        <f t="shared" si="82"/>
        <v>1.29876883857423E-2</v>
      </c>
      <c r="K139" s="9">
        <f t="shared" si="82"/>
        <v>1.8848402879058403E-2</v>
      </c>
      <c r="L139" s="9">
        <f t="shared" si="82"/>
        <v>1.4508452900390599E-2</v>
      </c>
      <c r="M139" s="9">
        <f t="shared" si="82"/>
        <v>0.22595247639551</v>
      </c>
      <c r="N139" s="13">
        <f t="shared" si="82"/>
        <v>0.14223567202343398</v>
      </c>
      <c r="O139" s="6">
        <f t="shared" si="82"/>
        <v>0</v>
      </c>
      <c r="P139" s="140">
        <f t="shared" ref="P139:P166" si="83">IF(ISNUMBER(VLOOKUP(CONCATENATE($H139,"_",P$137,"_b"),$B$6:$C$1151,2,FALSE)),VLOOKUP(CONCATENATE($H139,"_",P$137,"_b"),$B$6:$C$1151,2,FALSE)/1000000,"N/A")</f>
        <v>0</v>
      </c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</row>
    <row r="140" spans="1:35" ht="15.75" x14ac:dyDescent="0.3">
      <c r="A140" s="150">
        <v>135</v>
      </c>
      <c r="B140" s="10" t="s">
        <v>689</v>
      </c>
      <c r="C140">
        <v>130693766.86821701</v>
      </c>
      <c r="E140" s="10" t="s">
        <v>418</v>
      </c>
      <c r="F140" s="151">
        <f>IF(ISNUMBER(K54),K54/SUM($I$43:$AI$71),0)</f>
        <v>5.3444864377546663E-5</v>
      </c>
      <c r="H140" s="160" t="s">
        <v>10</v>
      </c>
      <c r="I140" s="11">
        <f t="shared" si="82"/>
        <v>0</v>
      </c>
      <c r="J140" s="11">
        <f t="shared" si="82"/>
        <v>11.9757997884626</v>
      </c>
      <c r="K140" s="6">
        <f t="shared" si="82"/>
        <v>78.669658477741194</v>
      </c>
      <c r="L140" s="6">
        <f t="shared" si="82"/>
        <v>58.880665252796206</v>
      </c>
      <c r="M140" s="6">
        <f t="shared" si="82"/>
        <v>57.732620238941202</v>
      </c>
      <c r="N140" s="6">
        <f t="shared" si="82"/>
        <v>122.396287438087</v>
      </c>
      <c r="O140" s="12">
        <f t="shared" si="82"/>
        <v>95.387423573257408</v>
      </c>
      <c r="P140" s="6">
        <f t="shared" si="83"/>
        <v>22.269343797118204</v>
      </c>
      <c r="Q140" s="140">
        <f t="shared" ref="Q140:Q166" si="84">IF(ISNUMBER(VLOOKUP(CONCATENATE($H140,"_",Q$137,"_b"),$B$6:$C$1151,2,FALSE)),VLOOKUP(CONCATENATE($H140,"_",Q$137,"_b"),$B$6:$C$1151,2,FALSE)/1000000,"N/A")</f>
        <v>0.34786746525293599</v>
      </c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</row>
    <row r="141" spans="1:35" ht="15.75" x14ac:dyDescent="0.3">
      <c r="A141" s="150">
        <v>136</v>
      </c>
      <c r="B141" s="10" t="s">
        <v>690</v>
      </c>
      <c r="C141">
        <v>123310281.796562</v>
      </c>
      <c r="E141" s="10" t="s">
        <v>419</v>
      </c>
      <c r="F141" s="151">
        <f>IF(ISNUMBER(L54),L54/SUM($I$43:$AI$71),0)</f>
        <v>0</v>
      </c>
      <c r="H141" s="160" t="s">
        <v>11</v>
      </c>
      <c r="I141" s="11">
        <f t="shared" si="82"/>
        <v>1.189049191214E-2</v>
      </c>
      <c r="J141" s="11">
        <f t="shared" si="82"/>
        <v>71.653536289220796</v>
      </c>
      <c r="K141" s="6">
        <f t="shared" si="82"/>
        <v>491.79163384986902</v>
      </c>
      <c r="L141" s="6">
        <f t="shared" si="82"/>
        <v>489.398756688324</v>
      </c>
      <c r="M141" s="6">
        <f t="shared" si="82"/>
        <v>179.74060063102701</v>
      </c>
      <c r="N141" s="6">
        <f t="shared" si="82"/>
        <v>201.34990832098401</v>
      </c>
      <c r="O141" s="6">
        <f t="shared" si="82"/>
        <v>322.19237552034002</v>
      </c>
      <c r="P141" s="12">
        <f t="shared" si="83"/>
        <v>200.57694671731599</v>
      </c>
      <c r="Q141" s="6">
        <f t="shared" si="84"/>
        <v>46.3942574024544</v>
      </c>
      <c r="R141" s="140">
        <f t="shared" ref="R141:R166" si="85">IF(ISNUMBER(VLOOKUP(CONCATENATE($H141,"_",R$137,"_b"),$B$6:$C$1151,2,FALSE)),VLOOKUP(CONCATENATE($H141,"_",R$137,"_b"),$B$6:$C$1151,2,FALSE)/1000000,"N/A")</f>
        <v>2.8776117332462099</v>
      </c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</row>
    <row r="142" spans="1:35" ht="15.75" x14ac:dyDescent="0.3">
      <c r="A142" s="150">
        <v>137</v>
      </c>
      <c r="B142" s="10" t="s">
        <v>1113</v>
      </c>
      <c r="C142">
        <v>21615315.461972199</v>
      </c>
      <c r="E142" s="10" t="s">
        <v>420</v>
      </c>
      <c r="F142" s="151">
        <f>IF(ISNUMBER(M54),M54/SUM($I$43:$AI$71),0)</f>
        <v>0</v>
      </c>
      <c r="H142" s="160" t="s">
        <v>12</v>
      </c>
      <c r="I142" s="11">
        <f t="shared" si="82"/>
        <v>0</v>
      </c>
      <c r="J142" s="11">
        <f t="shared" si="82"/>
        <v>66.337924939849898</v>
      </c>
      <c r="K142" s="6">
        <f t="shared" si="82"/>
        <v>592.17223035693394</v>
      </c>
      <c r="L142" s="6">
        <f t="shared" si="82"/>
        <v>911.21994230841096</v>
      </c>
      <c r="M142" s="6">
        <f t="shared" si="82"/>
        <v>463.73802099423199</v>
      </c>
      <c r="N142" s="6">
        <f t="shared" si="82"/>
        <v>184.389733572968</v>
      </c>
      <c r="O142" s="6">
        <f t="shared" si="82"/>
        <v>305.26552840515103</v>
      </c>
      <c r="P142" s="6">
        <f t="shared" si="83"/>
        <v>428.26321374267604</v>
      </c>
      <c r="Q142" s="12">
        <f t="shared" si="84"/>
        <v>240.89114520405599</v>
      </c>
      <c r="R142" s="6">
        <f t="shared" si="85"/>
        <v>59.466270047183997</v>
      </c>
      <c r="S142" s="140">
        <f t="shared" ref="S142:S166" si="86">IF(ISNUMBER(VLOOKUP(CONCATENATE($H142,"_",S$137,"_b"),$B$6:$C$1151,2,FALSE)),VLOOKUP(CONCATENATE($H142,"_",S$137,"_b"),$B$6:$C$1151,2,FALSE)/1000000,"N/A")</f>
        <v>4.4851976949360397</v>
      </c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</row>
    <row r="143" spans="1:35" ht="15.75" x14ac:dyDescent="0.3">
      <c r="A143" s="150">
        <v>138</v>
      </c>
      <c r="B143" s="10" t="s">
        <v>1114</v>
      </c>
      <c r="C143">
        <v>21122176.539282799</v>
      </c>
      <c r="E143" s="10" t="s">
        <v>421</v>
      </c>
      <c r="F143" s="151">
        <f>IF(ISNUMBER(N54),N54/SUM($I$43:$AI$71),0)</f>
        <v>0</v>
      </c>
      <c r="H143" s="159" t="s">
        <v>13</v>
      </c>
      <c r="I143" s="9">
        <f t="shared" si="82"/>
        <v>7.07640957685262E-2</v>
      </c>
      <c r="J143" s="9">
        <f t="shared" si="82"/>
        <v>19.466261223271399</v>
      </c>
      <c r="K143" s="9">
        <f t="shared" si="82"/>
        <v>100.46246007774401</v>
      </c>
      <c r="L143" s="9">
        <f t="shared" si="82"/>
        <v>206.22397926486201</v>
      </c>
      <c r="M143" s="9">
        <f t="shared" si="82"/>
        <v>163.87121024202</v>
      </c>
      <c r="N143" s="9">
        <f t="shared" si="82"/>
        <v>78.353093601890592</v>
      </c>
      <c r="O143" s="9">
        <f t="shared" si="82"/>
        <v>125.329168392746</v>
      </c>
      <c r="P143" s="9">
        <f t="shared" si="83"/>
        <v>369.890427990494</v>
      </c>
      <c r="Q143" s="9">
        <f t="shared" si="84"/>
        <v>443.06435425741603</v>
      </c>
      <c r="R143" s="13">
        <f t="shared" si="85"/>
        <v>233.68904241514599</v>
      </c>
      <c r="S143" s="6">
        <f t="shared" si="86"/>
        <v>47.874121760952001</v>
      </c>
      <c r="T143" s="140">
        <f t="shared" ref="T143:T166" si="87">IF(ISNUMBER(VLOOKUP(CONCATENATE($H143,"_",T$137,"_b"),$B$6:$C$1151,2,FALSE)),VLOOKUP(CONCATENATE($H143,"_",T$137,"_b"),$B$6:$C$1151,2,FALSE)/1000000,"N/A")</f>
        <v>2.9110407724811997</v>
      </c>
      <c r="U143" s="6"/>
      <c r="V143" s="11"/>
      <c r="W143" s="11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</row>
    <row r="144" spans="1:35" ht="15.75" x14ac:dyDescent="0.3">
      <c r="A144" s="150">
        <v>139</v>
      </c>
      <c r="B144" s="10" t="s">
        <v>1115</v>
      </c>
      <c r="C144">
        <v>793346.86528462195</v>
      </c>
      <c r="E144" s="10" t="s">
        <v>422</v>
      </c>
      <c r="F144" s="151">
        <f>IF(ISNUMBER(O54),O54/SUM($I$43:$AI$71),0)</f>
        <v>0</v>
      </c>
      <c r="H144" s="160" t="s">
        <v>14</v>
      </c>
      <c r="I144" s="11">
        <f t="shared" si="82"/>
        <v>13.110588642343</v>
      </c>
      <c r="J144" s="11">
        <f t="shared" si="82"/>
        <v>205.45749925708802</v>
      </c>
      <c r="K144" s="6">
        <f t="shared" si="82"/>
        <v>323.27866873623697</v>
      </c>
      <c r="L144" s="6">
        <f t="shared" si="82"/>
        <v>179.05395617109701</v>
      </c>
      <c r="M144" s="6">
        <f t="shared" si="82"/>
        <v>74.039703032791095</v>
      </c>
      <c r="N144" s="6">
        <f t="shared" si="82"/>
        <v>36.857831686004602</v>
      </c>
      <c r="O144" s="6">
        <f t="shared" si="82"/>
        <v>28.146417589575801</v>
      </c>
      <c r="P144" s="6">
        <f t="shared" si="83"/>
        <v>124.423109508965</v>
      </c>
      <c r="Q144" s="6">
        <f t="shared" si="84"/>
        <v>291.37644301857</v>
      </c>
      <c r="R144" s="6">
        <f t="shared" si="85"/>
        <v>289.022906948502</v>
      </c>
      <c r="S144" s="12">
        <f t="shared" si="86"/>
        <v>123.31028179656199</v>
      </c>
      <c r="T144" s="6">
        <f t="shared" si="87"/>
        <v>21.122176539282798</v>
      </c>
      <c r="U144" s="140">
        <f t="shared" ref="U144:U166" si="88">IF(ISNUMBER(VLOOKUP(CONCATENATE($H144,"_",U$137,"_b"),$B$6:$C$1151,2,FALSE)),VLOOKUP(CONCATENATE($H144,"_",U$137,"_b"),$B$6:$C$1151,2,FALSE)/1000000,"N/A")</f>
        <v>0.57252459004882006</v>
      </c>
      <c r="V144" s="11"/>
      <c r="W144" s="11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</row>
    <row r="145" spans="1:35" ht="15.75" x14ac:dyDescent="0.3">
      <c r="A145" s="150">
        <v>140</v>
      </c>
      <c r="B145" s="10" t="s">
        <v>1116</v>
      </c>
      <c r="C145">
        <v>572524.59004882001</v>
      </c>
      <c r="E145" s="10" t="s">
        <v>423</v>
      </c>
      <c r="F145" s="151">
        <f>IF(ISNUMBER(P54),P54/SUM($I$43:$AI$71),0)</f>
        <v>0</v>
      </c>
      <c r="H145" s="160" t="s">
        <v>15</v>
      </c>
      <c r="I145" s="11">
        <f t="shared" si="82"/>
        <v>15.8483878640165</v>
      </c>
      <c r="J145" s="11">
        <f t="shared" si="82"/>
        <v>179.13363065094001</v>
      </c>
      <c r="K145" s="6">
        <f t="shared" si="82"/>
        <v>326.26778557139602</v>
      </c>
      <c r="L145" s="6">
        <f t="shared" si="82"/>
        <v>214.47494856827501</v>
      </c>
      <c r="M145" s="6">
        <f t="shared" si="82"/>
        <v>82.160333569168102</v>
      </c>
      <c r="N145" s="6">
        <f t="shared" si="82"/>
        <v>40.036592270166395</v>
      </c>
      <c r="O145" s="6">
        <f t="shared" si="82"/>
        <v>16.095090770650902</v>
      </c>
      <c r="P145" s="6">
        <f t="shared" si="83"/>
        <v>3.2121563881069397</v>
      </c>
      <c r="Q145" s="6">
        <f t="shared" si="84"/>
        <v>5.7372857485258599</v>
      </c>
      <c r="R145" s="6">
        <f t="shared" si="85"/>
        <v>11.576385451151401</v>
      </c>
      <c r="S145" s="6">
        <f t="shared" si="86"/>
        <v>10.139129122600099</v>
      </c>
      <c r="T145" s="12">
        <f t="shared" si="87"/>
        <v>4.5061490736653793</v>
      </c>
      <c r="U145" s="6">
        <f t="shared" si="88"/>
        <v>0.451318125522435</v>
      </c>
      <c r="V145" s="140">
        <f t="shared" ref="V145:V166" si="89">IF(ISNUMBER(VLOOKUP(CONCATENATE($H145,"_",V$137,"_b"),$B$6:$C$1151,2,FALSE)),VLOOKUP(CONCATENATE($H145,"_",V$137,"_b"),$B$6:$C$1151,2,FALSE)/1000000,"N/A")</f>
        <v>0</v>
      </c>
      <c r="W145" s="11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</row>
    <row r="146" spans="1:35" ht="15.75" x14ac:dyDescent="0.3">
      <c r="A146" s="150">
        <v>141</v>
      </c>
      <c r="B146" s="10" t="s">
        <v>691</v>
      </c>
      <c r="C146">
        <v>25283818.641176201</v>
      </c>
      <c r="E146" s="10" t="s">
        <v>424</v>
      </c>
      <c r="F146" s="151">
        <f>IF(ISNUMBER(Q54),Q54/SUM($I$43:$AI$71),0)</f>
        <v>0</v>
      </c>
      <c r="H146" s="160" t="s">
        <v>16</v>
      </c>
      <c r="I146" s="11">
        <f t="shared" si="82"/>
        <v>14.7943854303122</v>
      </c>
      <c r="J146" s="11">
        <f t="shared" si="82"/>
        <v>148.445900117706</v>
      </c>
      <c r="K146" s="6">
        <f t="shared" si="82"/>
        <v>303.25041664595</v>
      </c>
      <c r="L146" s="6">
        <f t="shared" si="82"/>
        <v>237.92912005750998</v>
      </c>
      <c r="M146" s="6">
        <f t="shared" si="82"/>
        <v>110.163937386097</v>
      </c>
      <c r="N146" s="6">
        <f t="shared" si="82"/>
        <v>58.917984469032305</v>
      </c>
      <c r="O146" s="6">
        <f t="shared" si="82"/>
        <v>30.525778982885402</v>
      </c>
      <c r="P146" s="6">
        <f t="shared" si="83"/>
        <v>8.4827881514511105</v>
      </c>
      <c r="Q146" s="6">
        <f t="shared" si="84"/>
        <v>0.32861207054980102</v>
      </c>
      <c r="R146" s="6">
        <f t="shared" si="85"/>
        <v>2.4273817274902E-2</v>
      </c>
      <c r="S146" s="6">
        <f t="shared" si="86"/>
        <v>7.692412104003879E-2</v>
      </c>
      <c r="T146" s="6">
        <f t="shared" si="87"/>
        <v>9.3207330150388193E-2</v>
      </c>
      <c r="U146" s="12">
        <f t="shared" si="88"/>
        <v>1.44325284477547E-2</v>
      </c>
      <c r="V146" s="11">
        <f t="shared" si="89"/>
        <v>2.898203818506E-2</v>
      </c>
      <c r="W146" s="140">
        <f t="shared" ref="W146:W166" si="90">IF(ISNUMBER(VLOOKUP(CONCATENATE($H146,"_",W$137,"_b"),$B$6:$C$1151,2,FALSE)),VLOOKUP(CONCATENATE($H146,"_",W$137,"_b"),$B$6:$C$1151,2,FALSE)/1000000,"N/A")</f>
        <v>0</v>
      </c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</row>
    <row r="147" spans="1:35" ht="15.75" x14ac:dyDescent="0.3">
      <c r="A147" s="150">
        <v>142</v>
      </c>
      <c r="B147" s="10" t="s">
        <v>692</v>
      </c>
      <c r="C147">
        <v>15848387.864016499</v>
      </c>
      <c r="E147" s="10" t="s">
        <v>425</v>
      </c>
      <c r="F147" s="151">
        <f>IF(ISNUMBER(R54),R54/SUM($I$43:$AI$71),0)</f>
        <v>0</v>
      </c>
      <c r="H147" s="159" t="s">
        <v>17</v>
      </c>
      <c r="I147" s="9">
        <f t="shared" si="82"/>
        <v>5.6999778618535997</v>
      </c>
      <c r="J147" s="9">
        <f t="shared" si="82"/>
        <v>67.948054372997305</v>
      </c>
      <c r="K147" s="9">
        <f t="shared" si="82"/>
        <v>167.994751643608</v>
      </c>
      <c r="L147" s="9">
        <f t="shared" si="82"/>
        <v>161.355248699463</v>
      </c>
      <c r="M147" s="9">
        <f t="shared" si="82"/>
        <v>90.897191692184407</v>
      </c>
      <c r="N147" s="9">
        <f t="shared" si="82"/>
        <v>51.220309753402702</v>
      </c>
      <c r="O147" s="9">
        <f t="shared" si="82"/>
        <v>26.937611472106902</v>
      </c>
      <c r="P147" s="9">
        <f t="shared" si="83"/>
        <v>10.4741821853323</v>
      </c>
      <c r="Q147" s="9">
        <f t="shared" si="84"/>
        <v>1.4183280062654</v>
      </c>
      <c r="R147" s="9">
        <f t="shared" si="85"/>
        <v>3.7240865695314498E-2</v>
      </c>
      <c r="S147" s="9">
        <f t="shared" si="86"/>
        <v>0</v>
      </c>
      <c r="T147" s="9">
        <f t="shared" si="87"/>
        <v>2.1210970267090901E-2</v>
      </c>
      <c r="U147" s="9">
        <f t="shared" si="88"/>
        <v>0</v>
      </c>
      <c r="V147" s="13">
        <f t="shared" si="89"/>
        <v>0</v>
      </c>
      <c r="W147" s="11">
        <f t="shared" si="90"/>
        <v>0</v>
      </c>
      <c r="X147" s="140">
        <f t="shared" ref="X147:X166" si="91">IF(ISNUMBER(VLOOKUP(CONCATENATE($H147,"_",X$137,"_b"),$B$6:$C$1151,2,FALSE)),VLOOKUP(CONCATENATE($H147,"_",X$137,"_b"),$B$6:$C$1151,2,FALSE)/1000000,"N/A")</f>
        <v>0</v>
      </c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</row>
    <row r="148" spans="1:35" ht="15.75" x14ac:dyDescent="0.3">
      <c r="A148" s="150">
        <v>143</v>
      </c>
      <c r="B148" s="10" t="s">
        <v>109</v>
      </c>
      <c r="C148">
        <v>222064274.11525699</v>
      </c>
      <c r="E148" s="10" t="s">
        <v>426</v>
      </c>
      <c r="F148" s="151">
        <f>IF(ISNUMBER(S54),S54/SUM($I$43:$AI$71),0)</f>
        <v>0</v>
      </c>
      <c r="H148" s="160" t="s">
        <v>9</v>
      </c>
      <c r="I148" s="11">
        <f t="shared" ref="I148:O157" si="92">IF(ISNUMBER(VLOOKUP(CONCATENATE($H148,"_",I$137,"_b"),$B$6:$C$1151,2,FALSE)),VLOOKUP(CONCATENATE($H148,"_",I$137,"_b"),$B$6:$C$1151,2,FALSE)/1000000,"N/A")</f>
        <v>0.335398160512209</v>
      </c>
      <c r="J148" s="11">
        <f t="shared" si="92"/>
        <v>5.6162280349628899</v>
      </c>
      <c r="K148" s="6">
        <f t="shared" si="92"/>
        <v>18.796415884945898</v>
      </c>
      <c r="L148" s="6">
        <f t="shared" si="92"/>
        <v>22.072341964837999</v>
      </c>
      <c r="M148" s="6">
        <f t="shared" si="92"/>
        <v>15.6899227298012</v>
      </c>
      <c r="N148" s="6">
        <f t="shared" si="92"/>
        <v>8.4539963747491793</v>
      </c>
      <c r="O148" s="6">
        <f t="shared" si="92"/>
        <v>4.0764338655552903</v>
      </c>
      <c r="P148" s="6">
        <f t="shared" si="83"/>
        <v>0.95621896038818399</v>
      </c>
      <c r="Q148" s="6">
        <f t="shared" si="84"/>
        <v>6.8042251363769207E-2</v>
      </c>
      <c r="R148" s="6">
        <f t="shared" si="85"/>
        <v>1.9245055768066101E-2</v>
      </c>
      <c r="S148" s="6">
        <f t="shared" si="86"/>
        <v>0.82874823788726293</v>
      </c>
      <c r="T148" s="6">
        <f t="shared" si="87"/>
        <v>3.5451459418315903</v>
      </c>
      <c r="U148" s="11">
        <f t="shared" si="88"/>
        <v>4.1761703857347996</v>
      </c>
      <c r="V148" s="6">
        <f t="shared" si="89"/>
        <v>1.8928661072258901</v>
      </c>
      <c r="W148" s="12">
        <f t="shared" si="90"/>
        <v>0.19720507925488101</v>
      </c>
      <c r="X148" s="6">
        <f t="shared" si="91"/>
        <v>0</v>
      </c>
      <c r="Y148" s="140">
        <f t="shared" ref="Y148:Y166" si="93">IF(ISNUMBER(VLOOKUP(CONCATENATE($H148,"_",Y$137,"_b"),$B$6:$C$1151,2,FALSE)),VLOOKUP(CONCATENATE($H148,"_",Y$137,"_b"),$B$6:$C$1151,2,FALSE)/1000000,"N/A")</f>
        <v>0</v>
      </c>
      <c r="Z148" s="6"/>
      <c r="AA148" s="6"/>
      <c r="AB148" s="6"/>
      <c r="AC148" s="6"/>
      <c r="AD148" s="6"/>
      <c r="AE148" s="6"/>
      <c r="AF148" s="6"/>
      <c r="AG148" s="6"/>
      <c r="AH148" s="6"/>
      <c r="AI148" s="6"/>
    </row>
    <row r="149" spans="1:35" ht="15.75" x14ac:dyDescent="0.3">
      <c r="A149" s="150">
        <v>144</v>
      </c>
      <c r="B149" s="10" t="s">
        <v>110</v>
      </c>
      <c r="C149">
        <v>179133630.65094</v>
      </c>
      <c r="E149" s="10" t="s">
        <v>520</v>
      </c>
      <c r="F149" s="151">
        <f>IF(ISNUMBER(T54),T54/SUM($I$43:$AI$71),0)</f>
        <v>5.0812291650088534E-4</v>
      </c>
      <c r="H149" s="160" t="s">
        <v>18</v>
      </c>
      <c r="I149" s="11">
        <f t="shared" si="92"/>
        <v>0.19847105436915199</v>
      </c>
      <c r="J149" s="11">
        <f t="shared" si="92"/>
        <v>1.0215358347238899</v>
      </c>
      <c r="K149" s="6">
        <f t="shared" si="92"/>
        <v>1.01607828813648</v>
      </c>
      <c r="L149" s="6">
        <f t="shared" si="92"/>
        <v>0.28334896878100901</v>
      </c>
      <c r="M149" s="6">
        <f t="shared" si="92"/>
        <v>9.0932665722649516E-3</v>
      </c>
      <c r="N149" s="6">
        <f t="shared" si="92"/>
        <v>6.1062108471677604E-3</v>
      </c>
      <c r="O149" s="6">
        <f t="shared" si="92"/>
        <v>0</v>
      </c>
      <c r="P149" s="6">
        <f t="shared" si="83"/>
        <v>0</v>
      </c>
      <c r="Q149" s="6">
        <f t="shared" si="84"/>
        <v>0</v>
      </c>
      <c r="R149" s="6">
        <f t="shared" si="85"/>
        <v>6.3752515048831702E-3</v>
      </c>
      <c r="S149" s="6">
        <f t="shared" si="86"/>
        <v>0.98410337810200499</v>
      </c>
      <c r="T149" s="6">
        <f t="shared" si="87"/>
        <v>7.3490867386384</v>
      </c>
      <c r="U149" s="11">
        <f t="shared" si="88"/>
        <v>16.189654120379398</v>
      </c>
      <c r="V149" s="6">
        <f t="shared" si="89"/>
        <v>17.240991649394999</v>
      </c>
      <c r="W149" s="6">
        <f t="shared" si="90"/>
        <v>8.7891394551992406</v>
      </c>
      <c r="X149" s="12">
        <f t="shared" si="91"/>
        <v>1.6140227613047402</v>
      </c>
      <c r="Y149" s="6">
        <f t="shared" si="93"/>
        <v>1.1104574021484698E-2</v>
      </c>
      <c r="Z149" s="140">
        <f t="shared" ref="Z149:Z166" si="94">IF(ISNUMBER(VLOOKUP(CONCATENATE($H149,"_",Z$137,"_b"),$B$6:$C$1151,2,FALSE)),VLOOKUP(CONCATENATE($H149,"_",Z$137,"_b"),$B$6:$C$1151,2,FALSE)/1000000,"N/A")</f>
        <v>0</v>
      </c>
      <c r="AA149" s="6"/>
      <c r="AB149" s="6"/>
      <c r="AC149" s="6"/>
      <c r="AD149" s="6"/>
      <c r="AE149" s="6"/>
      <c r="AF149" s="6"/>
      <c r="AG149" s="6"/>
      <c r="AH149" s="6"/>
      <c r="AI149" s="6"/>
    </row>
    <row r="150" spans="1:35" ht="15.75" x14ac:dyDescent="0.3">
      <c r="A150" s="150">
        <v>145</v>
      </c>
      <c r="B150" s="10" t="s">
        <v>111</v>
      </c>
      <c r="C150">
        <v>340978786.858612</v>
      </c>
      <c r="E150" s="10" t="s">
        <v>521</v>
      </c>
      <c r="F150" s="151">
        <f>IF(ISNUMBER(U54),U54/SUM($I$43:$AI$71),0)</f>
        <v>1.211079693644618E-3</v>
      </c>
      <c r="H150" s="160" t="s">
        <v>19</v>
      </c>
      <c r="I150" s="11">
        <f t="shared" si="92"/>
        <v>2.6417485985536597</v>
      </c>
      <c r="J150" s="11">
        <f t="shared" si="92"/>
        <v>10.6712874515762</v>
      </c>
      <c r="K150" s="6">
        <f t="shared" si="92"/>
        <v>12.290171678927399</v>
      </c>
      <c r="L150" s="6">
        <f t="shared" si="92"/>
        <v>7.4765228249769198</v>
      </c>
      <c r="M150" s="6">
        <f t="shared" si="92"/>
        <v>2.4132142578700799</v>
      </c>
      <c r="N150" s="6">
        <f t="shared" si="92"/>
        <v>0.11895780607715199</v>
      </c>
      <c r="O150" s="6">
        <f t="shared" si="92"/>
        <v>0</v>
      </c>
      <c r="P150" s="6">
        <f t="shared" si="83"/>
        <v>1.54582065585935E-2</v>
      </c>
      <c r="Q150" s="6">
        <f t="shared" si="84"/>
        <v>0</v>
      </c>
      <c r="R150" s="11">
        <f t="shared" si="85"/>
        <v>0</v>
      </c>
      <c r="S150" s="11">
        <f t="shared" si="86"/>
        <v>5.6711391297850799E-2</v>
      </c>
      <c r="T150" s="11">
        <f t="shared" si="87"/>
        <v>3.8149448652329396</v>
      </c>
      <c r="U150" s="11">
        <f t="shared" si="88"/>
        <v>15.433377757129701</v>
      </c>
      <c r="V150" s="11">
        <f t="shared" si="89"/>
        <v>28.823481824493399</v>
      </c>
      <c r="W150" s="11">
        <f t="shared" si="90"/>
        <v>28.160765277286501</v>
      </c>
      <c r="X150" s="6">
        <f t="shared" si="91"/>
        <v>13.3980188723955</v>
      </c>
      <c r="Y150" s="12">
        <f t="shared" si="93"/>
        <v>2.2559521691952904</v>
      </c>
      <c r="Z150" s="6">
        <f t="shared" si="94"/>
        <v>0</v>
      </c>
      <c r="AA150" s="140">
        <f t="shared" ref="AA150:AA166" si="95">IF(ISNUMBER(VLOOKUP(CONCATENATE($H150,"_",AA$137,"_b"),$B$6:$C$1151,2,FALSE)),VLOOKUP(CONCATENATE($H150,"_",AA$137,"_b"),$B$6:$C$1151,2,FALSE)/1000000,"N/A")</f>
        <v>8.1169043085938305E-3</v>
      </c>
      <c r="AB150" s="6"/>
      <c r="AC150" s="6"/>
      <c r="AD150" s="6"/>
      <c r="AE150" s="6"/>
      <c r="AF150" s="6"/>
      <c r="AG150" s="6"/>
      <c r="AH150" s="6"/>
      <c r="AI150" s="6"/>
    </row>
    <row r="151" spans="1:35" ht="15.75" x14ac:dyDescent="0.3">
      <c r="A151" s="150">
        <v>146</v>
      </c>
      <c r="B151" s="10" t="s">
        <v>112</v>
      </c>
      <c r="C151">
        <v>326267785.57139599</v>
      </c>
      <c r="E151" s="10" t="s">
        <v>1057</v>
      </c>
      <c r="F151" s="151">
        <f>IF(ISNUMBER(V54),V54/SUM($I$43:$AI$71),0)</f>
        <v>1.3611884399662496E-3</v>
      </c>
      <c r="H151" s="160" t="s">
        <v>20</v>
      </c>
      <c r="I151" s="11">
        <f t="shared" si="92"/>
        <v>7.8043146155715002</v>
      </c>
      <c r="J151" s="11">
        <f t="shared" si="92"/>
        <v>30.6221180304222</v>
      </c>
      <c r="K151" s="6">
        <f t="shared" si="92"/>
        <v>50.177464516616801</v>
      </c>
      <c r="L151" s="6">
        <f t="shared" si="92"/>
        <v>37.169585712684601</v>
      </c>
      <c r="M151" s="6">
        <f t="shared" si="92"/>
        <v>14.8547929114046</v>
      </c>
      <c r="N151" s="6">
        <f t="shared" si="92"/>
        <v>3.7755346055152401</v>
      </c>
      <c r="O151" s="6">
        <f t="shared" si="92"/>
        <v>0.293507946339846</v>
      </c>
      <c r="P151" s="6">
        <f t="shared" si="83"/>
        <v>5.8416290917969304E-3</v>
      </c>
      <c r="Q151" s="6">
        <f t="shared" si="84"/>
        <v>0</v>
      </c>
      <c r="R151" s="11">
        <f t="shared" si="85"/>
        <v>0</v>
      </c>
      <c r="S151" s="11">
        <f t="shared" si="86"/>
        <v>0</v>
      </c>
      <c r="T151" s="11">
        <f t="shared" si="87"/>
        <v>0.37133967054346195</v>
      </c>
      <c r="U151" s="11">
        <f t="shared" si="88"/>
        <v>6.8729958350830094</v>
      </c>
      <c r="V151" s="11">
        <f t="shared" si="89"/>
        <v>22.745665288505599</v>
      </c>
      <c r="W151" s="11">
        <f t="shared" si="90"/>
        <v>36.552644163183196</v>
      </c>
      <c r="X151" s="6">
        <f t="shared" si="91"/>
        <v>29.792529231502499</v>
      </c>
      <c r="Y151" s="6">
        <f t="shared" si="93"/>
        <v>12.226413448148699</v>
      </c>
      <c r="Z151" s="12">
        <f t="shared" si="94"/>
        <v>1.6765930554062101</v>
      </c>
      <c r="AA151" s="6">
        <f t="shared" si="95"/>
        <v>3.1557077938474704E-2</v>
      </c>
      <c r="AB151" s="140">
        <f t="shared" ref="AB151:AB166" si="96">IF(ISNUMBER(VLOOKUP(CONCATENATE($H151,"_",AB$137,"_b"),$B$6:$C$1151,2,FALSE)),VLOOKUP(CONCATENATE($H151,"_",AB$137,"_b"),$B$6:$C$1151,2,FALSE)/1000000,"N/A")</f>
        <v>0</v>
      </c>
      <c r="AC151" s="6"/>
      <c r="AD151" s="6"/>
      <c r="AE151" s="6"/>
      <c r="AF151" s="6"/>
      <c r="AG151" s="6"/>
      <c r="AH151" s="6"/>
      <c r="AI151" s="6"/>
    </row>
    <row r="152" spans="1:35" ht="15.75" x14ac:dyDescent="0.3">
      <c r="A152" s="150">
        <v>147</v>
      </c>
      <c r="B152" s="10" t="s">
        <v>113</v>
      </c>
      <c r="C152">
        <v>238588800.374504</v>
      </c>
      <c r="E152" s="10" t="s">
        <v>1058</v>
      </c>
      <c r="F152" s="151">
        <f>IF(ISNUMBER(W54),W54/SUM($I$43:$AI$71),0)</f>
        <v>7.2612334593509845E-4</v>
      </c>
      <c r="H152" s="160" t="s">
        <v>21</v>
      </c>
      <c r="I152" s="11">
        <f t="shared" si="92"/>
        <v>8.3192961731557791</v>
      </c>
      <c r="J152" s="11">
        <f t="shared" si="92"/>
        <v>39.791587233783702</v>
      </c>
      <c r="K152" s="6">
        <f t="shared" si="92"/>
        <v>82.609991902107197</v>
      </c>
      <c r="L152" s="6">
        <f t="shared" si="92"/>
        <v>85.613342720520009</v>
      </c>
      <c r="M152" s="6">
        <f t="shared" si="92"/>
        <v>40.5277494394321</v>
      </c>
      <c r="N152" s="6">
        <f t="shared" si="92"/>
        <v>12.579861978114101</v>
      </c>
      <c r="O152" s="6">
        <f t="shared" si="92"/>
        <v>1.9845109793496098</v>
      </c>
      <c r="P152" s="6">
        <f t="shared" si="83"/>
        <v>3.6715802424317198E-2</v>
      </c>
      <c r="Q152" s="6">
        <f t="shared" si="84"/>
        <v>1.5372206857909399E-2</v>
      </c>
      <c r="R152" s="11">
        <f t="shared" si="85"/>
        <v>0</v>
      </c>
      <c r="S152" s="11">
        <f t="shared" si="86"/>
        <v>0</v>
      </c>
      <c r="T152" s="11">
        <f t="shared" si="87"/>
        <v>4.93417583730444E-2</v>
      </c>
      <c r="U152" s="11">
        <f t="shared" si="88"/>
        <v>2.2876028662621999</v>
      </c>
      <c r="V152" s="11">
        <f t="shared" si="89"/>
        <v>16.2180964637442</v>
      </c>
      <c r="W152" s="11">
        <f t="shared" si="90"/>
        <v>42.897068887359595</v>
      </c>
      <c r="X152" s="6">
        <f t="shared" si="91"/>
        <v>58.413321836090105</v>
      </c>
      <c r="Y152" s="6">
        <f t="shared" si="93"/>
        <v>41.0835294054909</v>
      </c>
      <c r="Z152" s="6">
        <f t="shared" si="94"/>
        <v>17.0408734346952</v>
      </c>
      <c r="AA152" s="12">
        <f t="shared" si="95"/>
        <v>3.35667079722095</v>
      </c>
      <c r="AB152" s="6">
        <f t="shared" si="96"/>
        <v>3.4327463137209399E-2</v>
      </c>
      <c r="AC152" s="140">
        <f t="shared" ref="AC152:AC166" si="97">IF(ISNUMBER(VLOOKUP(CONCATENATE($H152,"_",AC$137,"_b"),$B$6:$C$1151,2,FALSE)),VLOOKUP(CONCATENATE($H152,"_",AC$137,"_b"),$B$6:$C$1151,2,FALSE)/1000000,"N/A")</f>
        <v>0</v>
      </c>
      <c r="AD152" s="6"/>
      <c r="AE152" s="6"/>
      <c r="AF152" s="6"/>
      <c r="AG152" s="6"/>
      <c r="AH152" s="6"/>
      <c r="AI152" s="6"/>
    </row>
    <row r="153" spans="1:35" ht="15.75" x14ac:dyDescent="0.3">
      <c r="A153" s="150">
        <v>148</v>
      </c>
      <c r="B153" s="10" t="s">
        <v>114</v>
      </c>
      <c r="C153">
        <v>214474948.568275</v>
      </c>
      <c r="E153" s="10" t="s">
        <v>1059</v>
      </c>
      <c r="F153" s="151">
        <f>IF(ISNUMBER(X54),X54/SUM($I$43:$AI$71),0)</f>
        <v>1.1612600916662374E-4</v>
      </c>
      <c r="H153" s="160" t="s">
        <v>22</v>
      </c>
      <c r="I153" s="11">
        <f t="shared" si="92"/>
        <v>6.7904780466914199</v>
      </c>
      <c r="J153" s="11">
        <f t="shared" si="92"/>
        <v>34.439228462793402</v>
      </c>
      <c r="K153" s="6">
        <f t="shared" si="92"/>
        <v>86.6765141302795</v>
      </c>
      <c r="L153" s="6">
        <f t="shared" si="92"/>
        <v>116.698718173141</v>
      </c>
      <c r="M153" s="6">
        <f t="shared" si="92"/>
        <v>67.6289491766167</v>
      </c>
      <c r="N153" s="6">
        <f t="shared" si="92"/>
        <v>24.647312177084</v>
      </c>
      <c r="O153" s="6">
        <f t="shared" si="92"/>
        <v>5.2352514286358405</v>
      </c>
      <c r="P153" s="6">
        <f t="shared" si="83"/>
        <v>0.37726598356786401</v>
      </c>
      <c r="Q153" s="6">
        <f t="shared" si="84"/>
        <v>4.8379278061522601E-3</v>
      </c>
      <c r="R153" s="11">
        <f t="shared" si="85"/>
        <v>6.5629083618167798E-3</v>
      </c>
      <c r="S153" s="11">
        <f t="shared" si="86"/>
        <v>0</v>
      </c>
      <c r="T153" s="11">
        <f t="shared" si="87"/>
        <v>0</v>
      </c>
      <c r="U153" s="11">
        <f t="shared" si="88"/>
        <v>9.2587057081058605E-2</v>
      </c>
      <c r="V153" s="11">
        <f t="shared" si="89"/>
        <v>6.2882720672316594</v>
      </c>
      <c r="W153" s="11">
        <f t="shared" si="90"/>
        <v>29.708350643918997</v>
      </c>
      <c r="X153" s="6">
        <f t="shared" si="91"/>
        <v>63.629347786888097</v>
      </c>
      <c r="Y153" s="6">
        <f t="shared" si="93"/>
        <v>72.351506657970404</v>
      </c>
      <c r="Z153" s="6">
        <f t="shared" si="94"/>
        <v>49.091740358158098</v>
      </c>
      <c r="AA153" s="6">
        <f t="shared" si="95"/>
        <v>19.761260716163601</v>
      </c>
      <c r="AB153" s="12">
        <f t="shared" si="96"/>
        <v>3.9076301945710199</v>
      </c>
      <c r="AC153" s="6">
        <f t="shared" si="97"/>
        <v>4.7706095439694798E-2</v>
      </c>
      <c r="AD153" s="140">
        <f t="shared" ref="AD153:AD166" si="98">IF(ISNUMBER(VLOOKUP(CONCATENATE($H153,"_",AD$137,"_b"),$B$6:$C$1151,2,FALSE)),VLOOKUP(CONCATENATE($H153,"_",AD$137,"_b"),$B$6:$C$1151,2,FALSE)/1000000,"N/A")</f>
        <v>0</v>
      </c>
      <c r="AE153" s="6"/>
      <c r="AF153" s="6"/>
      <c r="AG153" s="6"/>
      <c r="AH153" s="6"/>
      <c r="AI153" s="6"/>
    </row>
    <row r="154" spans="1:35" ht="15.75" x14ac:dyDescent="0.3">
      <c r="A154" s="150">
        <v>149</v>
      </c>
      <c r="B154" s="10" t="s">
        <v>115</v>
      </c>
      <c r="C154">
        <v>106449718.67690299</v>
      </c>
      <c r="E154" s="10" t="s">
        <v>1580</v>
      </c>
      <c r="F154" s="151">
        <f>IF(ISNUMBER(Y54),Y54/SUM($I$43:$AI$71),0)</f>
        <v>0</v>
      </c>
      <c r="H154" s="160" t="s">
        <v>23</v>
      </c>
      <c r="I154" s="11">
        <f t="shared" si="92"/>
        <v>4.3714317479620002</v>
      </c>
      <c r="J154" s="11">
        <f t="shared" si="92"/>
        <v>25.078386275619501</v>
      </c>
      <c r="K154" s="6">
        <f t="shared" si="92"/>
        <v>78.346209369018595</v>
      </c>
      <c r="L154" s="6">
        <f t="shared" si="92"/>
        <v>118.647243569206</v>
      </c>
      <c r="M154" s="6">
        <f t="shared" si="92"/>
        <v>82.402381275749207</v>
      </c>
      <c r="N154" s="6">
        <f t="shared" si="92"/>
        <v>36.418907207588205</v>
      </c>
      <c r="O154" s="6">
        <f t="shared" si="92"/>
        <v>9.4596269439492211</v>
      </c>
      <c r="P154" s="6">
        <f t="shared" si="83"/>
        <v>1.2089391920200601</v>
      </c>
      <c r="Q154" s="6">
        <f t="shared" si="84"/>
        <v>9.1584014238282104E-3</v>
      </c>
      <c r="R154" s="11">
        <f t="shared" si="85"/>
        <v>6.1001072666011799E-3</v>
      </c>
      <c r="S154" s="11">
        <f t="shared" si="86"/>
        <v>0</v>
      </c>
      <c r="T154" s="11">
        <f t="shared" si="87"/>
        <v>6.9559315283202992E-3</v>
      </c>
      <c r="U154" s="11">
        <f t="shared" si="88"/>
        <v>0</v>
      </c>
      <c r="V154" s="11">
        <f t="shared" si="89"/>
        <v>0.72383018049365311</v>
      </c>
      <c r="W154" s="11">
        <f t="shared" si="90"/>
        <v>11.2877077351274</v>
      </c>
      <c r="X154" s="6">
        <f t="shared" si="91"/>
        <v>41.742984777236899</v>
      </c>
      <c r="Y154" s="6">
        <f t="shared" si="93"/>
        <v>74.349123345405587</v>
      </c>
      <c r="Z154" s="6">
        <f t="shared" si="94"/>
        <v>80.517306269187898</v>
      </c>
      <c r="AA154" s="6">
        <f t="shared" si="95"/>
        <v>52.443564842216496</v>
      </c>
      <c r="AB154" s="6">
        <f t="shared" si="96"/>
        <v>19.213467294817001</v>
      </c>
      <c r="AC154" s="12">
        <f t="shared" si="97"/>
        <v>3.5788827107300802</v>
      </c>
      <c r="AD154" s="6">
        <f t="shared" si="98"/>
        <v>0.13862109293811001</v>
      </c>
      <c r="AE154" s="140">
        <f t="shared" ref="AE154:AE166" si="99">IF(ISNUMBER(VLOOKUP(CONCATENATE($H154,"_",AE$137,"_b"),$B$6:$C$1151,2,FALSE)),VLOOKUP(CONCATENATE($H154,"_",AE$137,"_b"),$B$6:$C$1151,2,FALSE)/1000000,"N/A")</f>
        <v>1.88668684124737E-3</v>
      </c>
      <c r="AF154" s="6"/>
      <c r="AG154" s="6"/>
      <c r="AH154" s="6"/>
      <c r="AI154" s="6"/>
    </row>
    <row r="155" spans="1:35" ht="15.75" x14ac:dyDescent="0.3">
      <c r="A155" s="150">
        <v>150</v>
      </c>
      <c r="B155" s="10" t="s">
        <v>116</v>
      </c>
      <c r="C155">
        <v>82160333.569168106</v>
      </c>
      <c r="E155" s="10" t="s">
        <v>1581</v>
      </c>
      <c r="F155" s="151">
        <f>IF(ISNUMBER(Z54),Z54/SUM($I$43:$AI$71),0)</f>
        <v>0</v>
      </c>
      <c r="H155" s="160" t="s">
        <v>24</v>
      </c>
      <c r="I155" s="11">
        <f t="shared" si="92"/>
        <v>2.8875072408087301</v>
      </c>
      <c r="J155" s="11">
        <f t="shared" si="92"/>
        <v>15.5872637763767</v>
      </c>
      <c r="K155" s="6">
        <f t="shared" si="92"/>
        <v>63.814187598041499</v>
      </c>
      <c r="L155" s="6">
        <f t="shared" si="92"/>
        <v>105.807399611885</v>
      </c>
      <c r="M155" s="6">
        <f t="shared" si="92"/>
        <v>79.742989231086696</v>
      </c>
      <c r="N155" s="6">
        <f t="shared" si="92"/>
        <v>42.146241442279802</v>
      </c>
      <c r="O155" s="6">
        <f t="shared" si="92"/>
        <v>13.672676874736801</v>
      </c>
      <c r="P155" s="6">
        <f t="shared" si="83"/>
        <v>2.2374631938857998</v>
      </c>
      <c r="Q155" s="6">
        <f t="shared" si="84"/>
        <v>6.0103886060059099E-2</v>
      </c>
      <c r="R155" s="11">
        <f t="shared" si="85"/>
        <v>1.9271321255859501E-2</v>
      </c>
      <c r="S155" s="11">
        <f t="shared" si="86"/>
        <v>0</v>
      </c>
      <c r="T155" s="11">
        <f t="shared" si="87"/>
        <v>1.3328899959959999E-2</v>
      </c>
      <c r="U155" s="11">
        <f t="shared" si="88"/>
        <v>3.4343740138555899E-3</v>
      </c>
      <c r="V155" s="11">
        <f t="shared" si="89"/>
        <v>0.17264213519854799</v>
      </c>
      <c r="W155" s="11">
        <f t="shared" si="90"/>
        <v>1.50846128947556</v>
      </c>
      <c r="X155" s="6">
        <f t="shared" si="91"/>
        <v>14.5873863343868</v>
      </c>
      <c r="Y155" s="6">
        <f t="shared" si="93"/>
        <v>42.227708532814006</v>
      </c>
      <c r="Z155" s="6">
        <f t="shared" si="94"/>
        <v>71.137040495281198</v>
      </c>
      <c r="AA155" s="6">
        <f t="shared" si="95"/>
        <v>71.791752031738298</v>
      </c>
      <c r="AB155" s="6">
        <f t="shared" si="96"/>
        <v>41.618972147903399</v>
      </c>
      <c r="AC155" s="6">
        <f t="shared" si="97"/>
        <v>14.51321840522</v>
      </c>
      <c r="AD155" s="12">
        <f t="shared" si="98"/>
        <v>3.0393553159463402</v>
      </c>
      <c r="AE155" s="6">
        <f t="shared" si="99"/>
        <v>0.16588367003937102</v>
      </c>
      <c r="AF155" s="140">
        <f t="shared" ref="AF155:AF166" si="100">IF(ISNUMBER(VLOOKUP(CONCATENATE($H155,"_",AF$137,"_b"),$B$6:$C$1151,2,FALSE)),VLOOKUP(CONCATENATE($H155,"_",AF$137,"_b"),$B$6:$C$1151,2,FALSE)/1000000,"N/A")</f>
        <v>0.57187388928157101</v>
      </c>
      <c r="AG155" s="6"/>
      <c r="AH155" s="6"/>
      <c r="AI155" s="6"/>
    </row>
    <row r="156" spans="1:35" ht="15.75" x14ac:dyDescent="0.3">
      <c r="A156" s="150">
        <v>151</v>
      </c>
      <c r="B156" s="10" t="s">
        <v>117</v>
      </c>
      <c r="C156">
        <v>46751372.6897659</v>
      </c>
      <c r="E156" s="10" t="s">
        <v>522</v>
      </c>
      <c r="F156" s="151">
        <f>IF(ISNUMBER(I55),I55/SUM($I$43:$AI$71),0)</f>
        <v>1.6576437747860045E-4</v>
      </c>
      <c r="H156" s="160" t="s">
        <v>330</v>
      </c>
      <c r="I156" s="11">
        <f t="shared" si="92"/>
        <v>1.98465359496212</v>
      </c>
      <c r="J156" s="11">
        <f t="shared" si="92"/>
        <v>9.9023463347558991</v>
      </c>
      <c r="K156" s="6">
        <f t="shared" si="92"/>
        <v>43.816181854995698</v>
      </c>
      <c r="L156" s="6">
        <f t="shared" si="92"/>
        <v>85.535531554084798</v>
      </c>
      <c r="M156" s="6">
        <f t="shared" si="92"/>
        <v>71.639511007068606</v>
      </c>
      <c r="N156" s="6">
        <f t="shared" si="92"/>
        <v>42.404544144180299</v>
      </c>
      <c r="O156" s="6">
        <f t="shared" si="92"/>
        <v>15.990524048204399</v>
      </c>
      <c r="P156" s="6">
        <f t="shared" si="83"/>
        <v>3.6809136794075998</v>
      </c>
      <c r="Q156" s="6">
        <f t="shared" si="84"/>
        <v>0.101466884655274</v>
      </c>
      <c r="R156" s="11">
        <f t="shared" si="85"/>
        <v>0</v>
      </c>
      <c r="S156" s="11">
        <f t="shared" si="86"/>
        <v>0</v>
      </c>
      <c r="T156" s="11">
        <f t="shared" si="87"/>
        <v>0</v>
      </c>
      <c r="U156" s="11">
        <f t="shared" si="88"/>
        <v>0</v>
      </c>
      <c r="V156" s="11">
        <f t="shared" si="89"/>
        <v>2.0237702449951298E-2</v>
      </c>
      <c r="W156" s="11">
        <f t="shared" si="90"/>
        <v>2.6591095590820499E-2</v>
      </c>
      <c r="X156" s="6">
        <f t="shared" si="91"/>
        <v>3.9570719429707499</v>
      </c>
      <c r="Y156" s="6">
        <f t="shared" si="93"/>
        <v>23.1195047415085</v>
      </c>
      <c r="Z156" s="6">
        <f t="shared" si="94"/>
        <v>62.767483574806199</v>
      </c>
      <c r="AA156" s="6">
        <f t="shared" si="95"/>
        <v>101.263579138474</v>
      </c>
      <c r="AB156" s="6">
        <f t="shared" si="96"/>
        <v>94.523655102027888</v>
      </c>
      <c r="AC156" s="6">
        <f t="shared" si="97"/>
        <v>52.363901100688899</v>
      </c>
      <c r="AD156" s="6">
        <f t="shared" si="98"/>
        <v>20.463534110580401</v>
      </c>
      <c r="AE156" s="12">
        <f t="shared" si="99"/>
        <v>4.9040478029785204</v>
      </c>
      <c r="AF156" s="6">
        <f t="shared" si="100"/>
        <v>0.30725691930034799</v>
      </c>
      <c r="AG156" s="140">
        <f t="shared" ref="AG156:AG166" si="101">IF(ISNUMBER(VLOOKUP(CONCATENATE($H156,"_",AG$137,"_b"),$B$6:$C$1151,2,FALSE)),VLOOKUP(CONCATENATE($H156,"_",AG$137,"_b"),$B$6:$C$1151,2,FALSE)/1000000,"N/A")</f>
        <v>1.71082892944315E-3</v>
      </c>
      <c r="AH156" s="6"/>
      <c r="AI156" s="6"/>
    </row>
    <row r="157" spans="1:35" ht="15.75" x14ac:dyDescent="0.3">
      <c r="A157" s="150">
        <v>152</v>
      </c>
      <c r="B157" s="10" t="s">
        <v>118</v>
      </c>
      <c r="C157">
        <v>40036592.270166397</v>
      </c>
      <c r="E157" s="10" t="s">
        <v>427</v>
      </c>
      <c r="F157" s="151">
        <f>IF(ISNUMBER(J55),J55/SUM($I$43:$AI$71),0)</f>
        <v>5.9164992532041087E-4</v>
      </c>
      <c r="H157" s="160" t="s">
        <v>331</v>
      </c>
      <c r="I157" s="11">
        <f t="shared" si="92"/>
        <v>1.63518556236446</v>
      </c>
      <c r="J157" s="11">
        <f t="shared" si="92"/>
        <v>6.7641277885999695</v>
      </c>
      <c r="K157" s="6">
        <f t="shared" si="92"/>
        <v>27.684248480371501</v>
      </c>
      <c r="L157" s="6">
        <f t="shared" si="92"/>
        <v>59.213011571216597</v>
      </c>
      <c r="M157" s="6">
        <f t="shared" si="92"/>
        <v>58.650002551654801</v>
      </c>
      <c r="N157" s="6">
        <f t="shared" si="92"/>
        <v>38.716082559856403</v>
      </c>
      <c r="O157" s="6">
        <f t="shared" si="92"/>
        <v>16.952716466868402</v>
      </c>
      <c r="P157" s="6">
        <f t="shared" si="83"/>
        <v>4.3408586497845603</v>
      </c>
      <c r="Q157" s="6">
        <f t="shared" si="84"/>
        <v>0.22194906471143699</v>
      </c>
      <c r="R157" s="11">
        <f t="shared" si="85"/>
        <v>3.3521598086425998E-2</v>
      </c>
      <c r="S157" s="11">
        <f t="shared" si="86"/>
        <v>0</v>
      </c>
      <c r="T157" s="11">
        <f t="shared" si="87"/>
        <v>1.3186747727051799E-3</v>
      </c>
      <c r="U157" s="11">
        <f t="shared" si="88"/>
        <v>6.8126642559818E-4</v>
      </c>
      <c r="V157" s="11">
        <f t="shared" si="89"/>
        <v>8.3832972664825603E-2</v>
      </c>
      <c r="W157" s="11">
        <f t="shared" si="90"/>
        <v>4.2071247681304796E-2</v>
      </c>
      <c r="X157" s="6">
        <f t="shared" si="91"/>
        <v>1.53334028691407E-2</v>
      </c>
      <c r="Y157" s="6">
        <f t="shared" si="93"/>
        <v>2.3866831117706298</v>
      </c>
      <c r="Z157" s="6">
        <f t="shared" si="94"/>
        <v>14.981447890406599</v>
      </c>
      <c r="AA157" s="6">
        <f t="shared" si="95"/>
        <v>36.868754937183404</v>
      </c>
      <c r="AB157" s="6">
        <f t="shared" si="96"/>
        <v>49.515598263824501</v>
      </c>
      <c r="AC157" s="6">
        <f t="shared" si="97"/>
        <v>40.474694045700105</v>
      </c>
      <c r="AD157" s="6">
        <f t="shared" si="98"/>
        <v>23.270237651659002</v>
      </c>
      <c r="AE157" s="6">
        <f t="shared" si="99"/>
        <v>8.8282146726322193</v>
      </c>
      <c r="AF157" s="12">
        <f t="shared" si="100"/>
        <v>16.6044596804762</v>
      </c>
      <c r="AG157" s="6">
        <f t="shared" si="101"/>
        <v>2.16503898880612E-2</v>
      </c>
      <c r="AH157" s="140">
        <f t="shared" ref="AH157:AH166" si="102">IF(ISNUMBER(VLOOKUP(CONCATENATE($H157,"_",AH$137,"_b"),$B$6:$C$1151,2,FALSE)),VLOOKUP(CONCATENATE($H157,"_",AH$137,"_b"),$B$6:$C$1151,2,FALSE)/1000000,"N/A")</f>
        <v>2.2678206087890101E-2</v>
      </c>
      <c r="AI157" s="6"/>
    </row>
    <row r="158" spans="1:35" ht="15.75" x14ac:dyDescent="0.3">
      <c r="A158" s="150">
        <v>153</v>
      </c>
      <c r="B158" s="10" t="s">
        <v>119</v>
      </c>
      <c r="C158">
        <v>17513918.612635601</v>
      </c>
      <c r="E158" s="10" t="s">
        <v>428</v>
      </c>
      <c r="F158" s="151">
        <f>IF(ISNUMBER(K55),K55/SUM($I$43:$AI$71),0)</f>
        <v>6.4138633011498274E-4</v>
      </c>
      <c r="H158" s="160" t="s">
        <v>332</v>
      </c>
      <c r="I158" s="11">
        <f t="shared" ref="I158:O166" si="103">IF(ISNUMBER(VLOOKUP(CONCATENATE($H158,"_",I$137,"_b"),$B$6:$C$1151,2,FALSE)),VLOOKUP(CONCATENATE($H158,"_",I$137,"_b"),$B$6:$C$1151,2,FALSE)/1000000,"N/A")</f>
        <v>1.53016914549553</v>
      </c>
      <c r="J158" s="11">
        <f t="shared" si="103"/>
        <v>5.1906622004976297</v>
      </c>
      <c r="K158" s="6">
        <f t="shared" si="103"/>
        <v>17.664559126386603</v>
      </c>
      <c r="L158" s="6">
        <f t="shared" si="103"/>
        <v>35.937852700431804</v>
      </c>
      <c r="M158" s="6">
        <f t="shared" si="103"/>
        <v>41.611177964504201</v>
      </c>
      <c r="N158" s="6">
        <f t="shared" si="103"/>
        <v>32.037252605491602</v>
      </c>
      <c r="O158" s="6">
        <f t="shared" si="103"/>
        <v>16.338936021643601</v>
      </c>
      <c r="P158" s="6">
        <f t="shared" si="83"/>
        <v>4.77378010551858</v>
      </c>
      <c r="Q158" s="6">
        <f t="shared" si="84"/>
        <v>0.32885575668457201</v>
      </c>
      <c r="R158" s="11">
        <f t="shared" si="85"/>
        <v>1.5668931667968601E-2</v>
      </c>
      <c r="S158" s="11">
        <f t="shared" si="86"/>
        <v>0</v>
      </c>
      <c r="T158" s="11">
        <f t="shared" si="87"/>
        <v>7.6639238739007896E-4</v>
      </c>
      <c r="U158" s="11">
        <f t="shared" si="88"/>
        <v>0</v>
      </c>
      <c r="V158" s="11">
        <f t="shared" si="89"/>
        <v>5.9678514331055303E-3</v>
      </c>
      <c r="W158" s="11">
        <f t="shared" si="90"/>
        <v>1.51043799433587E-2</v>
      </c>
      <c r="X158" s="6">
        <f t="shared" si="91"/>
        <v>0</v>
      </c>
      <c r="Y158" s="6">
        <f t="shared" si="93"/>
        <v>0.17640552883008098</v>
      </c>
      <c r="Z158" s="6">
        <f t="shared" si="94"/>
        <v>4.5899203417649295</v>
      </c>
      <c r="AA158" s="6">
        <f t="shared" si="95"/>
        <v>20.097545062624</v>
      </c>
      <c r="AB158" s="6">
        <f t="shared" si="96"/>
        <v>44.739077310051002</v>
      </c>
      <c r="AC158" s="6">
        <f t="shared" si="97"/>
        <v>56.018430903022804</v>
      </c>
      <c r="AD158" s="6">
        <f t="shared" si="98"/>
        <v>46.692139876079594</v>
      </c>
      <c r="AE158" s="6">
        <f t="shared" si="99"/>
        <v>27.3723781669846</v>
      </c>
      <c r="AF158" s="6">
        <f t="shared" si="100"/>
        <v>9.4199329408597912</v>
      </c>
      <c r="AG158" s="12">
        <f t="shared" si="101"/>
        <v>1.8313811534526299</v>
      </c>
      <c r="AH158" s="6">
        <f t="shared" si="102"/>
        <v>0.10116845569855</v>
      </c>
      <c r="AI158" s="140">
        <f t="shared" ref="AI158:AI166" si="104">IF(ISNUMBER(VLOOKUP(CONCATENATE($H158,"_",AI$137,"_b"),$B$6:$C$1151,2,FALSE)),VLOOKUP(CONCATENATE($H158,"_",AI$137,"_b"),$B$6:$C$1151,2,FALSE)/1000000,"N/A")</f>
        <v>0</v>
      </c>
    </row>
    <row r="159" spans="1:35" ht="15.75" x14ac:dyDescent="0.3">
      <c r="A159" s="150">
        <v>154</v>
      </c>
      <c r="B159" s="10" t="s">
        <v>120</v>
      </c>
      <c r="C159">
        <v>16095090.770650901</v>
      </c>
      <c r="E159" s="10" t="s">
        <v>429</v>
      </c>
      <c r="F159" s="151">
        <f>IF(ISNUMBER(L55),L55/SUM($I$43:$AI$71),0)</f>
        <v>4.1487399792169413E-4</v>
      </c>
      <c r="H159" s="160" t="s">
        <v>333</v>
      </c>
      <c r="I159" s="11">
        <f t="shared" si="103"/>
        <v>1.3171436956791902</v>
      </c>
      <c r="J159" s="11">
        <f t="shared" si="103"/>
        <v>4.8642717005658103</v>
      </c>
      <c r="K159" s="6">
        <f t="shared" si="103"/>
        <v>13.421670346847501</v>
      </c>
      <c r="L159" s="6">
        <f t="shared" si="103"/>
        <v>23.088008436857201</v>
      </c>
      <c r="M159" s="6">
        <f t="shared" si="103"/>
        <v>27.462828442035701</v>
      </c>
      <c r="N159" s="6">
        <f t="shared" si="103"/>
        <v>26.095744398586298</v>
      </c>
      <c r="O159" s="6">
        <f t="shared" si="103"/>
        <v>14.8724287188129</v>
      </c>
      <c r="P159" s="6">
        <f t="shared" si="83"/>
        <v>5.1090104390349396</v>
      </c>
      <c r="Q159" s="6">
        <f t="shared" si="84"/>
        <v>0.47056794492578502</v>
      </c>
      <c r="R159" s="11">
        <f t="shared" si="85"/>
        <v>0</v>
      </c>
      <c r="S159" s="11">
        <f t="shared" si="86"/>
        <v>4.1729826910645702E-2</v>
      </c>
      <c r="T159" s="11">
        <f t="shared" si="87"/>
        <v>3.57896819179691E-2</v>
      </c>
      <c r="U159" s="11">
        <f t="shared" si="88"/>
        <v>0</v>
      </c>
      <c r="V159" s="11">
        <f t="shared" si="89"/>
        <v>0</v>
      </c>
      <c r="W159" s="11">
        <f t="shared" si="90"/>
        <v>6.0742134228511705E-4</v>
      </c>
      <c r="X159" s="6">
        <f t="shared" si="91"/>
        <v>0</v>
      </c>
      <c r="Y159" s="6">
        <f t="shared" si="93"/>
        <v>1.9024486916016797E-2</v>
      </c>
      <c r="Z159" s="6">
        <f t="shared" si="94"/>
        <v>0.10681839278954999</v>
      </c>
      <c r="AA159" s="6">
        <f t="shared" si="95"/>
        <v>2.84831804689312</v>
      </c>
      <c r="AB159" s="6">
        <f t="shared" si="96"/>
        <v>12.5383949407511</v>
      </c>
      <c r="AC159" s="6">
        <f t="shared" si="97"/>
        <v>23.254742657382998</v>
      </c>
      <c r="AD159" s="6">
        <f t="shared" si="98"/>
        <v>27.391677042682598</v>
      </c>
      <c r="AE159" s="6">
        <f t="shared" si="99"/>
        <v>22.279219027107203</v>
      </c>
      <c r="AF159" s="6">
        <f t="shared" si="100"/>
        <v>11.279456575890499</v>
      </c>
      <c r="AG159" s="6">
        <f t="shared" si="101"/>
        <v>3.0650340319824201</v>
      </c>
      <c r="AH159" s="12">
        <f t="shared" si="102"/>
        <v>0.577976899623454</v>
      </c>
      <c r="AI159" s="141">
        <f t="shared" si="104"/>
        <v>1.1800797577697799E-2</v>
      </c>
    </row>
    <row r="160" spans="1:35" ht="15.75" x14ac:dyDescent="0.3">
      <c r="A160" s="150">
        <v>155</v>
      </c>
      <c r="B160" s="10" t="s">
        <v>121</v>
      </c>
      <c r="C160">
        <v>4679947.6796064395</v>
      </c>
      <c r="E160" s="10" t="s">
        <v>430</v>
      </c>
      <c r="F160" s="151">
        <f>IF(ISNUMBER(M55),M55/SUM($I$43:$AI$71),0)</f>
        <v>1.6176585332605296E-4</v>
      </c>
      <c r="H160" s="160" t="s">
        <v>334</v>
      </c>
      <c r="I160" s="11">
        <f t="shared" si="103"/>
        <v>1.0150666505268799</v>
      </c>
      <c r="J160" s="11">
        <f t="shared" si="103"/>
        <v>4.4329483537373493</v>
      </c>
      <c r="K160" s="6">
        <f t="shared" si="103"/>
        <v>9.9662211289825411</v>
      </c>
      <c r="L160" s="6">
        <f t="shared" si="103"/>
        <v>14.2466260371876</v>
      </c>
      <c r="M160" s="6">
        <f t="shared" si="103"/>
        <v>15.918817079459199</v>
      </c>
      <c r="N160" s="6">
        <f t="shared" si="103"/>
        <v>17.247131702745399</v>
      </c>
      <c r="O160" s="6">
        <f t="shared" si="103"/>
        <v>11.370863553607899</v>
      </c>
      <c r="P160" s="6">
        <f t="shared" si="83"/>
        <v>4.2674162210362008</v>
      </c>
      <c r="Q160" s="6">
        <f t="shared" si="84"/>
        <v>0.54882480340769901</v>
      </c>
      <c r="R160" s="11">
        <f t="shared" si="85"/>
        <v>1.4714707272461599E-2</v>
      </c>
      <c r="S160" s="11">
        <f t="shared" si="86"/>
        <v>1.0630186910156401E-2</v>
      </c>
      <c r="T160" s="11">
        <f t="shared" si="87"/>
        <v>1.0674721218750799E-2</v>
      </c>
      <c r="U160" s="11">
        <f t="shared" si="88"/>
        <v>0</v>
      </c>
      <c r="V160" s="11">
        <f t="shared" si="89"/>
        <v>1.9362245384033798E-2</v>
      </c>
      <c r="W160" s="11">
        <f t="shared" si="90"/>
        <v>0</v>
      </c>
      <c r="X160" s="6">
        <f t="shared" si="91"/>
        <v>6.3942503627929803E-3</v>
      </c>
      <c r="Y160" s="6">
        <f t="shared" si="93"/>
        <v>1.8806326470702902E-2</v>
      </c>
      <c r="Z160" s="6">
        <f t="shared" si="94"/>
        <v>0</v>
      </c>
      <c r="AA160" s="6">
        <f t="shared" si="95"/>
        <v>0.22563053599768901</v>
      </c>
      <c r="AB160" s="6">
        <f t="shared" si="96"/>
        <v>3.0048077571601901</v>
      </c>
      <c r="AC160" s="6">
        <f t="shared" si="97"/>
        <v>11.1775285113125</v>
      </c>
      <c r="AD160" s="6">
        <f t="shared" si="98"/>
        <v>19.444931853528999</v>
      </c>
      <c r="AE160" s="6">
        <f t="shared" si="99"/>
        <v>22.2534331558475</v>
      </c>
      <c r="AF160" s="6">
        <f t="shared" si="100"/>
        <v>16.534960214880002</v>
      </c>
      <c r="AG160" s="6">
        <f t="shared" si="101"/>
        <v>7.5456206600542099</v>
      </c>
      <c r="AH160" s="6">
        <f t="shared" si="102"/>
        <v>2.49807754183507</v>
      </c>
      <c r="AI160" s="12">
        <f t="shared" si="104"/>
        <v>0.27949453960132598</v>
      </c>
    </row>
    <row r="161" spans="1:35" ht="15.75" x14ac:dyDescent="0.3">
      <c r="A161" s="150">
        <v>156</v>
      </c>
      <c r="B161" s="10" t="s">
        <v>122</v>
      </c>
      <c r="C161">
        <v>3212156.3881069398</v>
      </c>
      <c r="E161" s="10" t="s">
        <v>431</v>
      </c>
      <c r="F161" s="151">
        <f>IF(ISNUMBER(N55),N55/SUM($I$43:$AI$71),0)</f>
        <v>0</v>
      </c>
      <c r="H161" s="160" t="s">
        <v>335</v>
      </c>
      <c r="I161" s="11">
        <f t="shared" si="103"/>
        <v>0.74251425485199707</v>
      </c>
      <c r="J161" s="11">
        <f t="shared" si="103"/>
        <v>3.9058187573976499</v>
      </c>
      <c r="K161" s="6">
        <f t="shared" si="103"/>
        <v>8.7740838862056698</v>
      </c>
      <c r="L161" s="6">
        <f t="shared" si="103"/>
        <v>8.7257651022825211</v>
      </c>
      <c r="M161" s="6">
        <f t="shared" si="103"/>
        <v>10.2485013401947</v>
      </c>
      <c r="N161" s="6">
        <f t="shared" si="103"/>
        <v>11.5417697723818</v>
      </c>
      <c r="O161" s="6">
        <f t="shared" si="103"/>
        <v>8.6409451023945802</v>
      </c>
      <c r="P161" s="6">
        <f t="shared" si="83"/>
        <v>3.5172504872181403</v>
      </c>
      <c r="Q161" s="6">
        <f t="shared" si="84"/>
        <v>0.39349493738278701</v>
      </c>
      <c r="R161" s="11">
        <f t="shared" si="85"/>
        <v>0</v>
      </c>
      <c r="S161" s="11">
        <f t="shared" si="86"/>
        <v>0</v>
      </c>
      <c r="T161" s="11">
        <f t="shared" si="87"/>
        <v>9.6656841708985201E-3</v>
      </c>
      <c r="U161" s="11">
        <f t="shared" si="88"/>
        <v>1.2798242733397499E-2</v>
      </c>
      <c r="V161" s="11">
        <f t="shared" si="89"/>
        <v>5.4598289355467997E-3</v>
      </c>
      <c r="W161" s="11">
        <f t="shared" si="90"/>
        <v>6.0111536762695794E-3</v>
      </c>
      <c r="X161" s="11">
        <f t="shared" si="91"/>
        <v>0</v>
      </c>
      <c r="Y161" s="11">
        <f t="shared" si="93"/>
        <v>0</v>
      </c>
      <c r="Z161" s="11">
        <f t="shared" si="94"/>
        <v>0</v>
      </c>
      <c r="AA161" s="11">
        <f t="shared" si="95"/>
        <v>1.1730066562499902E-3</v>
      </c>
      <c r="AB161" s="11">
        <f t="shared" si="96"/>
        <v>0.181087017215326</v>
      </c>
      <c r="AC161" s="11">
        <f t="shared" si="97"/>
        <v>1.9162222911989701</v>
      </c>
      <c r="AD161" s="11">
        <f t="shared" si="98"/>
        <v>7.0262714437894802</v>
      </c>
      <c r="AE161" s="11">
        <f t="shared" si="99"/>
        <v>12.8500486474094</v>
      </c>
      <c r="AF161" s="11">
        <f t="shared" si="100"/>
        <v>13.712369890944499</v>
      </c>
      <c r="AG161" s="11">
        <f t="shared" si="101"/>
        <v>9.0653247233009306</v>
      </c>
      <c r="AH161" s="11">
        <f t="shared" si="102"/>
        <v>4.27694482865477</v>
      </c>
      <c r="AI161" s="14">
        <f t="shared" si="104"/>
        <v>0</v>
      </c>
    </row>
    <row r="162" spans="1:35" ht="15.75" x14ac:dyDescent="0.3">
      <c r="A162" s="150">
        <v>157</v>
      </c>
      <c r="B162" s="10" t="s">
        <v>123</v>
      </c>
      <c r="C162">
        <v>6589036.4358987799</v>
      </c>
      <c r="E162" s="10" t="s">
        <v>432</v>
      </c>
      <c r="F162" s="151">
        <f>IF(ISNUMBER(O55),O55/SUM($I$43:$AI$71),0)</f>
        <v>0</v>
      </c>
      <c r="H162" s="160" t="s">
        <v>336</v>
      </c>
      <c r="I162" s="11">
        <f t="shared" si="103"/>
        <v>0.48320887161964199</v>
      </c>
      <c r="J162" s="11">
        <f t="shared" si="103"/>
        <v>3.2518313732259303</v>
      </c>
      <c r="K162" s="6">
        <f t="shared" si="103"/>
        <v>7.1183600320949605</v>
      </c>
      <c r="L162" s="6">
        <f t="shared" si="103"/>
        <v>6.3961926994638398</v>
      </c>
      <c r="M162" s="6">
        <f t="shared" si="103"/>
        <v>5.8255205044236202</v>
      </c>
      <c r="N162" s="6">
        <f t="shared" si="103"/>
        <v>7.7314254588546802</v>
      </c>
      <c r="O162" s="6">
        <f t="shared" si="103"/>
        <v>5.5064298445930495</v>
      </c>
      <c r="P162" s="6">
        <f t="shared" si="83"/>
        <v>2.1815815062183099</v>
      </c>
      <c r="Q162" s="6">
        <f t="shared" si="84"/>
        <v>0.20181716087500801</v>
      </c>
      <c r="R162" s="11">
        <f t="shared" si="85"/>
        <v>2.35345600664057E-2</v>
      </c>
      <c r="S162" s="11">
        <f t="shared" si="86"/>
        <v>0</v>
      </c>
      <c r="T162" s="11">
        <f t="shared" si="87"/>
        <v>0</v>
      </c>
      <c r="U162" s="11">
        <f t="shared" si="88"/>
        <v>0</v>
      </c>
      <c r="V162" s="11">
        <f t="shared" si="89"/>
        <v>5.6801608210356902E-2</v>
      </c>
      <c r="W162" s="11">
        <f t="shared" si="90"/>
        <v>0</v>
      </c>
      <c r="X162" s="11">
        <f t="shared" si="91"/>
        <v>0</v>
      </c>
      <c r="Y162" s="11">
        <f t="shared" si="93"/>
        <v>0</v>
      </c>
      <c r="Z162" s="11">
        <f t="shared" si="94"/>
        <v>0</v>
      </c>
      <c r="AA162" s="11">
        <f t="shared" si="95"/>
        <v>0</v>
      </c>
      <c r="AB162" s="11">
        <f t="shared" si="96"/>
        <v>2.9596014091918203E-2</v>
      </c>
      <c r="AC162" s="11">
        <f t="shared" si="97"/>
        <v>0.18125151019042701</v>
      </c>
      <c r="AD162" s="11">
        <f t="shared" si="98"/>
        <v>1.43845277579653</v>
      </c>
      <c r="AE162" s="11">
        <f t="shared" si="99"/>
        <v>4.0881357990393603</v>
      </c>
      <c r="AF162" s="11">
        <f t="shared" si="100"/>
        <v>8.80406865310764</v>
      </c>
      <c r="AG162" s="11">
        <f t="shared" si="101"/>
        <v>8.0678141780424095</v>
      </c>
      <c r="AH162" s="11">
        <f t="shared" si="102"/>
        <v>5.2668465882868807</v>
      </c>
      <c r="AI162" s="14">
        <f t="shared" si="104"/>
        <v>0</v>
      </c>
    </row>
    <row r="163" spans="1:35" ht="15.75" x14ac:dyDescent="0.3">
      <c r="A163" s="150">
        <v>158</v>
      </c>
      <c r="B163" s="10" t="s">
        <v>124</v>
      </c>
      <c r="C163">
        <v>5737285.7485258598</v>
      </c>
      <c r="E163" s="10" t="s">
        <v>433</v>
      </c>
      <c r="F163" s="151">
        <f>IF(ISNUMBER(P55),P55/SUM($I$43:$AI$71),0)</f>
        <v>0</v>
      </c>
      <c r="H163" s="160" t="s">
        <v>337</v>
      </c>
      <c r="I163" s="11">
        <f t="shared" si="103"/>
        <v>0.230240505085826</v>
      </c>
      <c r="J163" s="11">
        <f t="shared" si="103"/>
        <v>2.3295877856972198</v>
      </c>
      <c r="K163" s="6">
        <f t="shared" si="103"/>
        <v>5.5170908553543097</v>
      </c>
      <c r="L163" s="6">
        <f t="shared" si="103"/>
        <v>4.8113587439026801</v>
      </c>
      <c r="M163" s="6">
        <f t="shared" si="103"/>
        <v>3.6862282636046402</v>
      </c>
      <c r="N163" s="6">
        <f t="shared" si="103"/>
        <v>5.2681081429710401</v>
      </c>
      <c r="O163" s="6">
        <f t="shared" si="103"/>
        <v>3.39248604817677</v>
      </c>
      <c r="P163" s="6">
        <f t="shared" si="83"/>
        <v>1.2058838979428999</v>
      </c>
      <c r="Q163" s="6">
        <f t="shared" si="84"/>
        <v>0.15016406724219</v>
      </c>
      <c r="R163" s="11">
        <f t="shared" si="85"/>
        <v>4.0937085445314603E-2</v>
      </c>
      <c r="S163" s="11">
        <f t="shared" si="86"/>
        <v>3.3937695348633494E-2</v>
      </c>
      <c r="T163" s="11">
        <f t="shared" si="87"/>
        <v>0</v>
      </c>
      <c r="U163" s="11">
        <f t="shared" si="88"/>
        <v>2.1902845330077202E-2</v>
      </c>
      <c r="V163" s="11">
        <f t="shared" si="89"/>
        <v>2.4078924404294199E-3</v>
      </c>
      <c r="W163" s="11">
        <f t="shared" si="90"/>
        <v>2.62047433886714E-2</v>
      </c>
      <c r="X163" s="11">
        <f t="shared" si="91"/>
        <v>4.8079017070313005E-3</v>
      </c>
      <c r="Y163" s="11">
        <f t="shared" si="93"/>
        <v>0</v>
      </c>
      <c r="Z163" s="11">
        <f t="shared" si="94"/>
        <v>0</v>
      </c>
      <c r="AA163" s="11">
        <f t="shared" si="95"/>
        <v>0</v>
      </c>
      <c r="AB163" s="11">
        <f t="shared" si="96"/>
        <v>2.0934660941159802E-3</v>
      </c>
      <c r="AC163" s="11">
        <f t="shared" si="97"/>
        <v>1.94507125385758E-2</v>
      </c>
      <c r="AD163" s="11">
        <f t="shared" si="98"/>
        <v>9.1458839202389106E-2</v>
      </c>
      <c r="AE163" s="11">
        <f t="shared" si="99"/>
        <v>0.79426322726619192</v>
      </c>
      <c r="AF163" s="11">
        <f t="shared" si="100"/>
        <v>2.94278887799716</v>
      </c>
      <c r="AG163" s="11">
        <f t="shared" si="101"/>
        <v>5.0580911477899599</v>
      </c>
      <c r="AH163" s="11">
        <f t="shared" si="102"/>
        <v>0</v>
      </c>
      <c r="AI163" s="14">
        <f t="shared" si="104"/>
        <v>0</v>
      </c>
    </row>
    <row r="164" spans="1:35" ht="15.75" x14ac:dyDescent="0.3">
      <c r="A164" s="150">
        <v>159</v>
      </c>
      <c r="B164" s="10" t="s">
        <v>693</v>
      </c>
      <c r="C164">
        <v>13236187.645768199</v>
      </c>
      <c r="E164" s="10" t="s">
        <v>434</v>
      </c>
      <c r="F164" s="151">
        <f>IF(ISNUMBER(Q55),Q55/SUM($I$43:$AI$71),0)</f>
        <v>0</v>
      </c>
      <c r="H164" s="160" t="s">
        <v>338</v>
      </c>
      <c r="I164" s="11">
        <f t="shared" si="103"/>
        <v>9.0234198096310701E-3</v>
      </c>
      <c r="J164" s="11">
        <f t="shared" si="103"/>
        <v>1.3384217132881902</v>
      </c>
      <c r="K164" s="6">
        <f t="shared" si="103"/>
        <v>3.5916771140232102</v>
      </c>
      <c r="L164" s="6">
        <f t="shared" si="103"/>
        <v>3.6783453459000603</v>
      </c>
      <c r="M164" s="6">
        <f t="shared" si="103"/>
        <v>2.5028744297773802</v>
      </c>
      <c r="N164" s="6">
        <f t="shared" si="103"/>
        <v>3.4500958890511999</v>
      </c>
      <c r="O164" s="6">
        <f t="shared" si="103"/>
        <v>2.0060988068647401</v>
      </c>
      <c r="P164" s="6">
        <f t="shared" si="83"/>
        <v>0.61886359456104001</v>
      </c>
      <c r="Q164" s="6">
        <f t="shared" si="84"/>
        <v>0.10076815395507201</v>
      </c>
      <c r="R164" s="11">
        <f t="shared" si="85"/>
        <v>0</v>
      </c>
      <c r="S164" s="11">
        <f t="shared" si="86"/>
        <v>0</v>
      </c>
      <c r="T164" s="11">
        <f t="shared" si="87"/>
        <v>6.8590074257812205E-3</v>
      </c>
      <c r="U164" s="11">
        <f t="shared" si="88"/>
        <v>0</v>
      </c>
      <c r="V164" s="11">
        <f t="shared" si="89"/>
        <v>2.0977180435607198E-2</v>
      </c>
      <c r="W164" s="11">
        <f t="shared" si="90"/>
        <v>1.09974687373955E-2</v>
      </c>
      <c r="X164" s="11">
        <f t="shared" si="91"/>
        <v>0</v>
      </c>
      <c r="Y164" s="11">
        <f t="shared" si="93"/>
        <v>0</v>
      </c>
      <c r="Z164" s="11">
        <f t="shared" si="94"/>
        <v>0</v>
      </c>
      <c r="AA164" s="11">
        <f t="shared" si="95"/>
        <v>0</v>
      </c>
      <c r="AB164" s="11">
        <f t="shared" si="96"/>
        <v>0</v>
      </c>
      <c r="AC164" s="11">
        <f t="shared" si="97"/>
        <v>4.5888476586425697E-2</v>
      </c>
      <c r="AD164" s="11">
        <f t="shared" si="98"/>
        <v>0</v>
      </c>
      <c r="AE164" s="11">
        <f t="shared" si="99"/>
        <v>7.8185045355953303E-2</v>
      </c>
      <c r="AF164" s="11">
        <f t="shared" si="100"/>
        <v>0.81832792314535407</v>
      </c>
      <c r="AG164" s="11">
        <f t="shared" si="101"/>
        <v>1.7524151985915899</v>
      </c>
      <c r="AH164" s="11">
        <f t="shared" si="102"/>
        <v>0</v>
      </c>
      <c r="AI164" s="14">
        <f t="shared" si="104"/>
        <v>0</v>
      </c>
    </row>
    <row r="165" spans="1:35" ht="15.75" x14ac:dyDescent="0.3">
      <c r="A165" s="150">
        <v>160</v>
      </c>
      <c r="B165" s="10" t="s">
        <v>694</v>
      </c>
      <c r="C165">
        <v>11576385.451151401</v>
      </c>
      <c r="E165" s="10" t="s">
        <v>435</v>
      </c>
      <c r="F165" s="151">
        <f>IF(ISNUMBER(R55),R55/SUM($I$43:$AI$71),0)</f>
        <v>0</v>
      </c>
      <c r="H165" s="160" t="s">
        <v>339</v>
      </c>
      <c r="I165" s="11">
        <f t="shared" si="103"/>
        <v>5.5318357470701403E-4</v>
      </c>
      <c r="J165" s="11">
        <f t="shared" si="103"/>
        <v>0.63642582994264396</v>
      </c>
      <c r="K165" s="6">
        <f t="shared" si="103"/>
        <v>2.3264579758973096</v>
      </c>
      <c r="L165" s="6">
        <f t="shared" si="103"/>
        <v>2.5507747298548198</v>
      </c>
      <c r="M165" s="6">
        <f t="shared" si="103"/>
        <v>1.7816197450811899</v>
      </c>
      <c r="N165" s="6">
        <f t="shared" si="103"/>
        <v>2.4515151944150904</v>
      </c>
      <c r="O165" s="6">
        <f t="shared" si="103"/>
        <v>1.32622341968</v>
      </c>
      <c r="P165" s="6">
        <f t="shared" si="83"/>
        <v>0.26690567558240902</v>
      </c>
      <c r="Q165" s="6">
        <f t="shared" si="84"/>
        <v>1.8428266426757E-2</v>
      </c>
      <c r="R165" s="11">
        <f t="shared" si="85"/>
        <v>0</v>
      </c>
      <c r="S165" s="11">
        <f t="shared" si="86"/>
        <v>8.9211966210939013E-3</v>
      </c>
      <c r="T165" s="11">
        <f t="shared" si="87"/>
        <v>0</v>
      </c>
      <c r="U165" s="11">
        <f t="shared" si="88"/>
        <v>7.9484891638177202E-4</v>
      </c>
      <c r="V165" s="11">
        <f t="shared" si="89"/>
        <v>2.2606490229431498E-2</v>
      </c>
      <c r="W165" s="11">
        <f t="shared" si="90"/>
        <v>0</v>
      </c>
      <c r="X165" s="11">
        <f t="shared" si="91"/>
        <v>2.16621089472659E-2</v>
      </c>
      <c r="Y165" s="11">
        <f t="shared" si="93"/>
        <v>2.0329621494140502E-2</v>
      </c>
      <c r="Z165" s="11">
        <f t="shared" si="94"/>
        <v>2.1389179359374601E-2</v>
      </c>
      <c r="AA165" s="11">
        <f t="shared" si="95"/>
        <v>0</v>
      </c>
      <c r="AB165" s="11">
        <f t="shared" si="96"/>
        <v>0</v>
      </c>
      <c r="AC165" s="11">
        <f t="shared" si="97"/>
        <v>0</v>
      </c>
      <c r="AD165" s="11">
        <f t="shared" si="98"/>
        <v>0</v>
      </c>
      <c r="AE165" s="11">
        <f t="shared" si="99"/>
        <v>9.4464552539065497E-3</v>
      </c>
      <c r="AF165" s="11">
        <f t="shared" si="100"/>
        <v>6.0328540507808295E-2</v>
      </c>
      <c r="AG165" s="11">
        <f t="shared" si="101"/>
        <v>0.229616859976321</v>
      </c>
      <c r="AH165" s="11">
        <f t="shared" si="102"/>
        <v>0</v>
      </c>
      <c r="AI165" s="14">
        <f t="shared" si="104"/>
        <v>0</v>
      </c>
    </row>
    <row r="166" spans="1:35" ht="15.75" x14ac:dyDescent="0.3">
      <c r="A166" s="150">
        <v>161</v>
      </c>
      <c r="B166" s="10" t="s">
        <v>695</v>
      </c>
      <c r="C166">
        <v>11628451.2113562</v>
      </c>
      <c r="E166" s="10" t="s">
        <v>436</v>
      </c>
      <c r="F166" s="151">
        <f>IF(ISNUMBER(S55),S55/SUM($I$43:$AI$71),0)</f>
        <v>0</v>
      </c>
      <c r="H166" s="161" t="s">
        <v>340</v>
      </c>
      <c r="I166" s="47">
        <f t="shared" si="103"/>
        <v>2.58152937689191E-3</v>
      </c>
      <c r="J166" s="47">
        <f t="shared" si="103"/>
        <v>0.16632150693039599</v>
      </c>
      <c r="K166" s="47">
        <f t="shared" si="103"/>
        <v>1.30651466292965</v>
      </c>
      <c r="L166" s="47">
        <f t="shared" si="103"/>
        <v>1.6682739958353001</v>
      </c>
      <c r="M166" s="47">
        <f t="shared" si="103"/>
        <v>1.2538187783100601</v>
      </c>
      <c r="N166" s="47">
        <f t="shared" si="103"/>
        <v>1.7244141835359299</v>
      </c>
      <c r="O166" s="47">
        <f t="shared" si="103"/>
        <v>0.780191667295694</v>
      </c>
      <c r="P166" s="47">
        <f t="shared" si="83"/>
        <v>0.100126248222657</v>
      </c>
      <c r="Q166" s="47">
        <f t="shared" si="84"/>
        <v>1.8055428029298801E-2</v>
      </c>
      <c r="R166" s="47">
        <f t="shared" si="85"/>
        <v>2.60451321240258E-3</v>
      </c>
      <c r="S166" s="47">
        <f t="shared" si="86"/>
        <v>0</v>
      </c>
      <c r="T166" s="47">
        <f t="shared" si="87"/>
        <v>6.5010055092773397E-3</v>
      </c>
      <c r="U166" s="47">
        <f t="shared" si="88"/>
        <v>8.1128695704350204E-3</v>
      </c>
      <c r="V166" s="47">
        <f t="shared" si="89"/>
        <v>5.8987148925168402E-3</v>
      </c>
      <c r="W166" s="47">
        <f t="shared" si="90"/>
        <v>3.4333315903930903E-3</v>
      </c>
      <c r="X166" s="47">
        <f t="shared" si="91"/>
        <v>8.2722259661858002E-4</v>
      </c>
      <c r="Y166" s="47">
        <f t="shared" si="93"/>
        <v>4.2266101699218198E-2</v>
      </c>
      <c r="Z166" s="47">
        <f t="shared" si="94"/>
        <v>0</v>
      </c>
      <c r="AA166" s="47">
        <f t="shared" si="95"/>
        <v>1.8287869248046498E-2</v>
      </c>
      <c r="AB166" s="47">
        <f t="shared" si="96"/>
        <v>0</v>
      </c>
      <c r="AC166" s="47">
        <f t="shared" si="97"/>
        <v>0</v>
      </c>
      <c r="AD166" s="47">
        <f t="shared" si="98"/>
        <v>0</v>
      </c>
      <c r="AE166" s="47">
        <f t="shared" si="99"/>
        <v>1.30724626669926E-2</v>
      </c>
      <c r="AF166" s="47">
        <f t="shared" si="100"/>
        <v>0</v>
      </c>
      <c r="AG166" s="47">
        <f t="shared" si="101"/>
        <v>0</v>
      </c>
      <c r="AH166" s="47">
        <f t="shared" si="102"/>
        <v>0</v>
      </c>
      <c r="AI166" s="46">
        <f t="shared" si="104"/>
        <v>0</v>
      </c>
    </row>
    <row r="167" spans="1:35" ht="15.75" x14ac:dyDescent="0.3">
      <c r="A167" s="150">
        <v>162</v>
      </c>
      <c r="B167" s="10" t="s">
        <v>696</v>
      </c>
      <c r="C167">
        <v>10139129.122600099</v>
      </c>
      <c r="E167" s="10" t="s">
        <v>523</v>
      </c>
      <c r="F167" s="151">
        <f>IF(ISNUMBER(T55),T55/SUM($I$43:$AI$71),0)</f>
        <v>2.6278672667416142E-4</v>
      </c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</row>
    <row r="168" spans="1:35" ht="15.75" x14ac:dyDescent="0.3">
      <c r="A168" s="150">
        <v>163</v>
      </c>
      <c r="B168" s="10" t="s">
        <v>697</v>
      </c>
      <c r="C168">
        <v>4481408.7369983196</v>
      </c>
      <c r="E168" s="10" t="s">
        <v>524</v>
      </c>
      <c r="F168" s="151">
        <f>IF(ISNUMBER(U55),U55/SUM($I$43:$AI$71),0)</f>
        <v>1.1802408140375042E-3</v>
      </c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</row>
    <row r="169" spans="1:35" x14ac:dyDescent="0.25">
      <c r="A169" s="150">
        <v>164</v>
      </c>
      <c r="B169" s="10" t="s">
        <v>698</v>
      </c>
      <c r="C169">
        <v>4506149.0736653795</v>
      </c>
      <c r="E169" s="10" t="s">
        <v>1060</v>
      </c>
      <c r="F169" s="151">
        <f>IF(ISNUMBER(V55),V55/SUM($I$43:$AI$71),0)</f>
        <v>2.2966571936443676E-3</v>
      </c>
    </row>
    <row r="170" spans="1:35" x14ac:dyDescent="0.25">
      <c r="A170" s="150">
        <v>165</v>
      </c>
      <c r="B170" s="10" t="s">
        <v>1117</v>
      </c>
      <c r="C170">
        <v>309434.06339110399</v>
      </c>
      <c r="E170" s="10" t="s">
        <v>1061</v>
      </c>
      <c r="F170" s="151">
        <f>IF(ISNUMBER(W55),W55/SUM($I$43:$AI$71),0)</f>
        <v>2.1629777818916751E-3</v>
      </c>
    </row>
    <row r="171" spans="1:35" x14ac:dyDescent="0.25">
      <c r="A171" s="150">
        <v>166</v>
      </c>
      <c r="B171" s="10" t="s">
        <v>1118</v>
      </c>
      <c r="C171">
        <v>451318.125522435</v>
      </c>
      <c r="E171" s="10" t="s">
        <v>1062</v>
      </c>
      <c r="F171" s="151">
        <f>IF(ISNUMBER(X55),X55/SUM($I$43:$AI$71),0)</f>
        <v>1.0459675445219879E-3</v>
      </c>
    </row>
    <row r="172" spans="1:35" x14ac:dyDescent="0.25">
      <c r="A172" s="150">
        <v>167</v>
      </c>
      <c r="B172" s="10" t="s">
        <v>1119</v>
      </c>
      <c r="C172">
        <v>0</v>
      </c>
      <c r="E172" s="10" t="s">
        <v>1582</v>
      </c>
      <c r="F172" s="151">
        <f>IF(ISNUMBER(Y55),Y55/SUM($I$43:$AI$71),0)</f>
        <v>1.7901576183729898E-4</v>
      </c>
    </row>
    <row r="173" spans="1:35" x14ac:dyDescent="0.25">
      <c r="A173" s="150">
        <v>168</v>
      </c>
      <c r="B173" s="10" t="s">
        <v>1120</v>
      </c>
      <c r="C173">
        <v>0</v>
      </c>
      <c r="E173" s="10" t="s">
        <v>1583</v>
      </c>
      <c r="F173" s="151">
        <f>IF(ISNUMBER(Z55),Z55/SUM($I$43:$AI$71),0)</f>
        <v>0</v>
      </c>
    </row>
    <row r="174" spans="1:35" x14ac:dyDescent="0.25">
      <c r="A174" s="150">
        <v>169</v>
      </c>
      <c r="B174" s="10" t="s">
        <v>699</v>
      </c>
      <c r="C174">
        <v>22821339.890651699</v>
      </c>
      <c r="E174" s="10" t="s">
        <v>1584</v>
      </c>
      <c r="F174" s="151">
        <f>IF(ISNUMBER(AA55),AA55/SUM($I$43:$AI$71),0)</f>
        <v>0</v>
      </c>
    </row>
    <row r="175" spans="1:35" x14ac:dyDescent="0.25">
      <c r="A175" s="150">
        <v>170</v>
      </c>
      <c r="B175" s="10" t="s">
        <v>700</v>
      </c>
      <c r="C175">
        <v>14794385.4303122</v>
      </c>
      <c r="E175" s="10" t="s">
        <v>525</v>
      </c>
      <c r="F175" s="151">
        <f>IF(ISNUMBER(I56),I56/SUM($I$43:$AI$71),0)</f>
        <v>4.6541440520927438E-4</v>
      </c>
    </row>
    <row r="176" spans="1:35" x14ac:dyDescent="0.25">
      <c r="A176" s="150">
        <v>171</v>
      </c>
      <c r="B176" s="10" t="s">
        <v>125</v>
      </c>
      <c r="C176">
        <v>183161099.51668501</v>
      </c>
      <c r="E176" s="10" t="s">
        <v>437</v>
      </c>
      <c r="F176" s="151">
        <f>IF(ISNUMBER(J56),J56/SUM($I$43:$AI$71),0)</f>
        <v>1.6754909204717533E-3</v>
      </c>
    </row>
    <row r="177" spans="1:6" x14ac:dyDescent="0.25">
      <c r="A177" s="150">
        <v>172</v>
      </c>
      <c r="B177" s="10" t="s">
        <v>126</v>
      </c>
      <c r="C177">
        <v>148445900.117706</v>
      </c>
      <c r="E177" s="10" t="s">
        <v>438</v>
      </c>
      <c r="F177" s="151">
        <f>IF(ISNUMBER(K56),K56/SUM($I$43:$AI$71),0)</f>
        <v>2.5890839033400441E-3</v>
      </c>
    </row>
    <row r="178" spans="1:6" x14ac:dyDescent="0.25">
      <c r="A178" s="150">
        <v>173</v>
      </c>
      <c r="B178" s="10" t="s">
        <v>127</v>
      </c>
      <c r="C178">
        <v>317886196.82435602</v>
      </c>
      <c r="E178" s="10" t="s">
        <v>439</v>
      </c>
      <c r="F178" s="151">
        <f>IF(ISNUMBER(L56),L56/SUM($I$43:$AI$71),0)</f>
        <v>2.1359539786147473E-3</v>
      </c>
    </row>
    <row r="179" spans="1:6" x14ac:dyDescent="0.25">
      <c r="A179" s="150">
        <v>174</v>
      </c>
      <c r="B179" s="10" t="s">
        <v>128</v>
      </c>
      <c r="C179">
        <v>303250416.64595002</v>
      </c>
      <c r="E179" s="10" t="s">
        <v>440</v>
      </c>
      <c r="F179" s="151">
        <f>IF(ISNUMBER(M56),M56/SUM($I$43:$AI$71),0)</f>
        <v>1.010247204754902E-3</v>
      </c>
    </row>
    <row r="180" spans="1:6" x14ac:dyDescent="0.25">
      <c r="A180" s="150">
        <v>175</v>
      </c>
      <c r="B180" s="10" t="s">
        <v>129</v>
      </c>
      <c r="C180">
        <v>268618795.78498799</v>
      </c>
      <c r="E180" s="10" t="s">
        <v>441</v>
      </c>
      <c r="F180" s="151">
        <f>IF(ISNUMBER(N56),N56/SUM($I$43:$AI$71),0)</f>
        <v>2.4280353679860612E-4</v>
      </c>
    </row>
    <row r="181" spans="1:6" x14ac:dyDescent="0.25">
      <c r="A181" s="150">
        <v>176</v>
      </c>
      <c r="B181" s="10" t="s">
        <v>130</v>
      </c>
      <c r="C181">
        <v>237929120.05750999</v>
      </c>
      <c r="E181" s="10" t="s">
        <v>442</v>
      </c>
      <c r="F181" s="151">
        <f>IF(ISNUMBER(O56),O56/SUM($I$43:$AI$71),0)</f>
        <v>0</v>
      </c>
    </row>
    <row r="182" spans="1:6" x14ac:dyDescent="0.25">
      <c r="A182" s="150">
        <v>177</v>
      </c>
      <c r="B182" s="10" t="s">
        <v>131</v>
      </c>
      <c r="C182">
        <v>141826999.485466</v>
      </c>
      <c r="E182" s="10" t="s">
        <v>443</v>
      </c>
      <c r="F182" s="151">
        <f>IF(ISNUMBER(P56),P56/SUM($I$43:$AI$71),0)</f>
        <v>0</v>
      </c>
    </row>
    <row r="183" spans="1:6" x14ac:dyDescent="0.25">
      <c r="A183" s="150">
        <v>178</v>
      </c>
      <c r="B183" s="10" t="s">
        <v>132</v>
      </c>
      <c r="C183">
        <v>110163937.386097</v>
      </c>
      <c r="E183" s="10" t="s">
        <v>444</v>
      </c>
      <c r="F183" s="151">
        <f>IF(ISNUMBER(Q56),Q56/SUM($I$43:$AI$71),0)</f>
        <v>0</v>
      </c>
    </row>
    <row r="184" spans="1:6" x14ac:dyDescent="0.25">
      <c r="A184" s="150">
        <v>179</v>
      </c>
      <c r="B184" s="10" t="s">
        <v>133</v>
      </c>
      <c r="C184">
        <v>69172174.865570098</v>
      </c>
      <c r="E184" s="10" t="s">
        <v>445</v>
      </c>
      <c r="F184" s="151">
        <f>IF(ISNUMBER(R56),R56/SUM($I$43:$AI$71),0)</f>
        <v>0</v>
      </c>
    </row>
    <row r="185" spans="1:6" x14ac:dyDescent="0.25">
      <c r="A185" s="150">
        <v>180</v>
      </c>
      <c r="B185" s="10" t="s">
        <v>134</v>
      </c>
      <c r="C185">
        <v>58917984.469032302</v>
      </c>
      <c r="E185" s="10" t="s">
        <v>446</v>
      </c>
      <c r="F185" s="151">
        <f>IF(ISNUMBER(S56),S56/SUM($I$43:$AI$71),0)</f>
        <v>0</v>
      </c>
    </row>
    <row r="186" spans="1:6" x14ac:dyDescent="0.25">
      <c r="A186" s="150">
        <v>181</v>
      </c>
      <c r="B186" s="10" t="s">
        <v>135</v>
      </c>
      <c r="C186">
        <v>31956323.506349601</v>
      </c>
      <c r="E186" s="10" t="s">
        <v>526</v>
      </c>
      <c r="F186" s="151">
        <f>IF(ISNUMBER(T56),T56/SUM($I$43:$AI$71),0)</f>
        <v>0</v>
      </c>
    </row>
    <row r="187" spans="1:6" x14ac:dyDescent="0.25">
      <c r="A187" s="150">
        <v>182</v>
      </c>
      <c r="B187" s="10" t="s">
        <v>136</v>
      </c>
      <c r="C187">
        <v>30525778.982885402</v>
      </c>
      <c r="E187" s="10" t="s">
        <v>527</v>
      </c>
      <c r="F187" s="151">
        <f>IF(ISNUMBER(U56),U56/SUM($I$43:$AI$71),0)</f>
        <v>5.3225248345999663E-4</v>
      </c>
    </row>
    <row r="188" spans="1:6" x14ac:dyDescent="0.25">
      <c r="A188" s="150">
        <v>183</v>
      </c>
      <c r="B188" s="10" t="s">
        <v>137</v>
      </c>
      <c r="C188">
        <v>9422456.0985574704</v>
      </c>
      <c r="E188" s="10" t="s">
        <v>1063</v>
      </c>
      <c r="F188" s="151">
        <f>IF(ISNUMBER(V56),V56/SUM($I$43:$AI$71),0)</f>
        <v>1.7667303343397447E-3</v>
      </c>
    </row>
    <row r="189" spans="1:6" x14ac:dyDescent="0.25">
      <c r="A189" s="150">
        <v>184</v>
      </c>
      <c r="B189" s="10" t="s">
        <v>138</v>
      </c>
      <c r="C189">
        <v>8482788.1514511108</v>
      </c>
      <c r="E189" s="10" t="s">
        <v>1064</v>
      </c>
      <c r="F189" s="151">
        <f>IF(ISNUMBER(W56),W56/SUM($I$43:$AI$71),0)</f>
        <v>2.8359176047671269E-3</v>
      </c>
    </row>
    <row r="190" spans="1:6" x14ac:dyDescent="0.25">
      <c r="A190" s="150">
        <v>185</v>
      </c>
      <c r="B190" s="10" t="s">
        <v>139</v>
      </c>
      <c r="C190">
        <v>417207.033266604</v>
      </c>
      <c r="E190" s="10" t="s">
        <v>1585</v>
      </c>
      <c r="F190" s="151">
        <f>IF(ISNUMBER(X56),X56/SUM($I$43:$AI$71),0)</f>
        <v>2.2820998120097989E-3</v>
      </c>
    </row>
    <row r="191" spans="1:6" x14ac:dyDescent="0.25">
      <c r="A191" s="150">
        <v>186</v>
      </c>
      <c r="B191" s="10" t="s">
        <v>140</v>
      </c>
      <c r="C191">
        <v>328612.07054980099</v>
      </c>
      <c r="E191" s="10" t="s">
        <v>1586</v>
      </c>
      <c r="F191" s="151">
        <f>IF(ISNUMBER(Y56),Y56/SUM($I$43:$AI$71),0)</f>
        <v>1.0210783497773429E-3</v>
      </c>
    </row>
    <row r="192" spans="1:6" x14ac:dyDescent="0.25">
      <c r="A192" s="150">
        <v>187</v>
      </c>
      <c r="B192" s="10" t="s">
        <v>701</v>
      </c>
      <c r="C192">
        <v>44666.679214844502</v>
      </c>
      <c r="E192" s="10" t="s">
        <v>1587</v>
      </c>
      <c r="F192" s="151">
        <f>IF(ISNUMBER(Z56),Z56/SUM($I$43:$AI$71),0)</f>
        <v>1.7451051875357087E-4</v>
      </c>
    </row>
    <row r="193" spans="1:6" x14ac:dyDescent="0.25">
      <c r="A193" s="150">
        <v>188</v>
      </c>
      <c r="B193" s="10" t="s">
        <v>702</v>
      </c>
      <c r="C193">
        <v>24273.817274902001</v>
      </c>
      <c r="E193" s="10" t="s">
        <v>1588</v>
      </c>
      <c r="F193" s="151">
        <f>IF(ISNUMBER(AA56),AA56/SUM($I$43:$AI$71),0)</f>
        <v>0</v>
      </c>
    </row>
    <row r="194" spans="1:6" x14ac:dyDescent="0.25">
      <c r="A194" s="150">
        <v>189</v>
      </c>
      <c r="B194" s="10" t="s">
        <v>703</v>
      </c>
      <c r="C194">
        <v>73024.349372982993</v>
      </c>
      <c r="E194" s="10" t="s">
        <v>1589</v>
      </c>
      <c r="F194" s="151">
        <f>IF(ISNUMBER(AB56),AB56/SUM($I$43:$AI$71),0)</f>
        <v>0</v>
      </c>
    </row>
    <row r="195" spans="1:6" x14ac:dyDescent="0.25">
      <c r="A195" s="150">
        <v>190</v>
      </c>
      <c r="B195" s="10" t="s">
        <v>704</v>
      </c>
      <c r="C195">
        <v>76924.121040038794</v>
      </c>
      <c r="E195" s="10" t="s">
        <v>528</v>
      </c>
      <c r="F195" s="151">
        <f>IF(ISNUMBER(I57),I57/SUM($I$43:$AI$71),0)</f>
        <v>5.5428676556747169E-4</v>
      </c>
    </row>
    <row r="196" spans="1:6" x14ac:dyDescent="0.25">
      <c r="A196" s="150">
        <v>191</v>
      </c>
      <c r="B196" s="10" t="s">
        <v>705</v>
      </c>
      <c r="C196">
        <v>59311.649784181303</v>
      </c>
      <c r="E196" s="10" t="s">
        <v>447</v>
      </c>
      <c r="F196" s="151">
        <f>IF(ISNUMBER(J57),J57/SUM($I$43:$AI$71),0)</f>
        <v>2.1811497576173294E-3</v>
      </c>
    </row>
    <row r="197" spans="1:6" x14ac:dyDescent="0.25">
      <c r="A197" s="150">
        <v>192</v>
      </c>
      <c r="B197" s="10" t="s">
        <v>706</v>
      </c>
      <c r="C197">
        <v>93207.330150388196</v>
      </c>
      <c r="E197" s="10" t="s">
        <v>448</v>
      </c>
      <c r="F197" s="151">
        <f>IF(ISNUMBER(K57),K57/SUM($I$43:$AI$71),0)</f>
        <v>4.2777656233510359E-3</v>
      </c>
    </row>
    <row r="198" spans="1:6" x14ac:dyDescent="0.25">
      <c r="A198" s="150">
        <v>193</v>
      </c>
      <c r="B198" s="10" t="s">
        <v>707</v>
      </c>
      <c r="C198">
        <v>4566.6285322266604</v>
      </c>
      <c r="E198" s="10" t="s">
        <v>449</v>
      </c>
      <c r="F198" s="151">
        <f>IF(ISNUMBER(L57),L57/SUM($I$43:$AI$71),0)</f>
        <v>4.8865739841846764E-3</v>
      </c>
    </row>
    <row r="199" spans="1:6" x14ac:dyDescent="0.25">
      <c r="A199" s="150">
        <v>194</v>
      </c>
      <c r="B199" s="10" t="s">
        <v>708</v>
      </c>
      <c r="C199">
        <v>14432.528447754699</v>
      </c>
      <c r="E199" s="10" t="s">
        <v>450</v>
      </c>
      <c r="F199" s="151">
        <f>IF(ISNUMBER(M57),M57/SUM($I$43:$AI$71),0)</f>
        <v>2.7327547097391542E-3</v>
      </c>
    </row>
    <row r="200" spans="1:6" x14ac:dyDescent="0.25">
      <c r="A200" s="150">
        <v>195</v>
      </c>
      <c r="B200" s="10" t="s">
        <v>1019</v>
      </c>
      <c r="C200">
        <v>111525.23587719401</v>
      </c>
      <c r="E200" s="10" t="s">
        <v>451</v>
      </c>
      <c r="F200" s="151">
        <f>IF(ISNUMBER(N57),N57/SUM($I$43:$AI$71),0)</f>
        <v>8.1397222444124146E-4</v>
      </c>
    </row>
    <row r="201" spans="1:6" x14ac:dyDescent="0.25">
      <c r="A201" s="150">
        <v>196</v>
      </c>
      <c r="B201" s="10" t="s">
        <v>1020</v>
      </c>
      <c r="C201">
        <v>28982.038185059999</v>
      </c>
      <c r="E201" s="10" t="s">
        <v>452</v>
      </c>
      <c r="F201" s="151">
        <f>IF(ISNUMBER(O57),O57/SUM($I$43:$AI$71),0)</f>
        <v>1.402558101291592E-4</v>
      </c>
    </row>
    <row r="202" spans="1:6" x14ac:dyDescent="0.25">
      <c r="A202" s="150">
        <v>197</v>
      </c>
      <c r="B202" s="10" t="s">
        <v>1121</v>
      </c>
      <c r="C202">
        <v>0</v>
      </c>
      <c r="E202" s="10" t="s">
        <v>453</v>
      </c>
      <c r="F202" s="151">
        <f>IF(ISNUMBER(P57),P57/SUM($I$43:$AI$71),0)</f>
        <v>0</v>
      </c>
    </row>
    <row r="203" spans="1:6" x14ac:dyDescent="0.25">
      <c r="A203" s="150">
        <v>198</v>
      </c>
      <c r="B203" s="10" t="s">
        <v>1122</v>
      </c>
      <c r="C203">
        <v>0</v>
      </c>
      <c r="E203" s="10" t="s">
        <v>454</v>
      </c>
      <c r="F203" s="151">
        <f>IF(ISNUMBER(Q57),Q57/SUM($I$43:$AI$71),0)</f>
        <v>0</v>
      </c>
    </row>
    <row r="204" spans="1:6" x14ac:dyDescent="0.25">
      <c r="A204" s="150">
        <v>199</v>
      </c>
      <c r="B204" s="10" t="s">
        <v>709</v>
      </c>
      <c r="C204">
        <v>9183744.7108197194</v>
      </c>
      <c r="E204" s="10" t="s">
        <v>455</v>
      </c>
      <c r="F204" s="151">
        <f>IF(ISNUMBER(R57),R57/SUM($I$43:$AI$71),0)</f>
        <v>0</v>
      </c>
    </row>
    <row r="205" spans="1:6" x14ac:dyDescent="0.25">
      <c r="A205" s="150">
        <v>200</v>
      </c>
      <c r="B205" s="10" t="s">
        <v>710</v>
      </c>
      <c r="C205">
        <v>5699977.8618535995</v>
      </c>
      <c r="E205" s="10" t="s">
        <v>456</v>
      </c>
      <c r="F205" s="151">
        <f>IF(ISNUMBER(S57),S57/SUM($I$43:$AI$71),0)</f>
        <v>0</v>
      </c>
    </row>
    <row r="206" spans="1:6" x14ac:dyDescent="0.25">
      <c r="A206" s="150">
        <v>201</v>
      </c>
      <c r="B206" s="10" t="s">
        <v>141</v>
      </c>
      <c r="C206">
        <v>85963024.499794006</v>
      </c>
      <c r="E206" s="10" t="s">
        <v>457</v>
      </c>
      <c r="F206" s="151">
        <f>IF(ISNUMBER(T57),T57/SUM($I$43:$AI$71),0)</f>
        <v>0</v>
      </c>
    </row>
    <row r="207" spans="1:6" x14ac:dyDescent="0.25">
      <c r="A207" s="150">
        <v>202</v>
      </c>
      <c r="B207" s="10" t="s">
        <v>142</v>
      </c>
      <c r="C207">
        <v>67948054.372997299</v>
      </c>
      <c r="E207" s="10" t="s">
        <v>529</v>
      </c>
      <c r="F207" s="151">
        <f>IF(ISNUMBER(U57),U57/SUM($I$43:$AI$71),0)</f>
        <v>1.9723393924022387E-4</v>
      </c>
    </row>
    <row r="208" spans="1:6" x14ac:dyDescent="0.25">
      <c r="A208" s="150">
        <v>203</v>
      </c>
      <c r="B208" s="10" t="s">
        <v>143</v>
      </c>
      <c r="C208">
        <v>176037069.26819599</v>
      </c>
      <c r="E208" s="10" t="s">
        <v>1065</v>
      </c>
      <c r="F208" s="151">
        <f>IF(ISNUMBER(V57),V57/SUM($I$43:$AI$71),0)</f>
        <v>1.2494378856764028E-3</v>
      </c>
    </row>
    <row r="209" spans="1:6" x14ac:dyDescent="0.25">
      <c r="A209" s="150">
        <v>204</v>
      </c>
      <c r="B209" s="10" t="s">
        <v>144</v>
      </c>
      <c r="C209">
        <v>167994751.643608</v>
      </c>
      <c r="E209" s="10" t="s">
        <v>1066</v>
      </c>
      <c r="F209" s="151">
        <f>IF(ISNUMBER(W57),W57/SUM($I$43:$AI$71),0)</f>
        <v>3.358352244701907E-3</v>
      </c>
    </row>
    <row r="210" spans="1:6" x14ac:dyDescent="0.25">
      <c r="A210" s="150">
        <v>205</v>
      </c>
      <c r="B210" s="10" t="s">
        <v>145</v>
      </c>
      <c r="C210">
        <v>181331640.86462399</v>
      </c>
      <c r="E210" s="10" t="s">
        <v>1590</v>
      </c>
      <c r="F210" s="151">
        <f>IF(ISNUMBER(X57),X57/SUM($I$43:$AI$71),0)</f>
        <v>4.5242721222290569E-3</v>
      </c>
    </row>
    <row r="211" spans="1:6" x14ac:dyDescent="0.25">
      <c r="A211" s="150">
        <v>206</v>
      </c>
      <c r="B211" s="10" t="s">
        <v>146</v>
      </c>
      <c r="C211">
        <v>161355248.69946301</v>
      </c>
      <c r="E211" s="10" t="s">
        <v>1591</v>
      </c>
      <c r="F211" s="151">
        <f>IF(ISNUMBER(Y57),Y57/SUM($I$43:$AI$71),0)</f>
        <v>3.4599605883907448E-3</v>
      </c>
    </row>
    <row r="212" spans="1:6" x14ac:dyDescent="0.25">
      <c r="A212" s="150">
        <v>207</v>
      </c>
      <c r="B212" s="10" t="s">
        <v>147</v>
      </c>
      <c r="C212">
        <v>118369276.287643</v>
      </c>
      <c r="E212" s="10" t="s">
        <v>1592</v>
      </c>
      <c r="F212" s="151">
        <f>IF(ISNUMBER(Z57),Z57/SUM($I$43:$AI$71),0)</f>
        <v>1.4241090580057909E-3</v>
      </c>
    </row>
    <row r="213" spans="1:6" x14ac:dyDescent="0.25">
      <c r="A213" s="150">
        <v>208</v>
      </c>
      <c r="B213" s="10" t="s">
        <v>148</v>
      </c>
      <c r="C213">
        <v>90897191.692184404</v>
      </c>
      <c r="E213" s="10" t="s">
        <v>1593</v>
      </c>
      <c r="F213" s="151">
        <f>IF(ISNUMBER(AA57),AA57/SUM($I$43:$AI$71),0)</f>
        <v>2.6141846019534746E-4</v>
      </c>
    </row>
    <row r="214" spans="1:6" x14ac:dyDescent="0.25">
      <c r="A214" s="150">
        <v>209</v>
      </c>
      <c r="B214" s="10" t="s">
        <v>149</v>
      </c>
      <c r="C214">
        <v>60566678.660953499</v>
      </c>
      <c r="E214" s="10" t="s">
        <v>1594</v>
      </c>
      <c r="F214" s="151">
        <f>IF(ISNUMBER(AB57),AB57/SUM($I$43:$AI$71),0)</f>
        <v>0</v>
      </c>
    </row>
    <row r="215" spans="1:6" x14ac:dyDescent="0.25">
      <c r="A215" s="150">
        <v>210</v>
      </c>
      <c r="B215" s="10" t="s">
        <v>150</v>
      </c>
      <c r="C215">
        <v>51220309.753402703</v>
      </c>
      <c r="E215" s="10" t="s">
        <v>1595</v>
      </c>
      <c r="F215" s="151">
        <f>IF(ISNUMBER(AC57),AC57/SUM($I$43:$AI$71),0)</f>
        <v>0</v>
      </c>
    </row>
    <row r="216" spans="1:6" x14ac:dyDescent="0.25">
      <c r="A216" s="150">
        <v>211</v>
      </c>
      <c r="B216" s="10" t="s">
        <v>151</v>
      </c>
      <c r="C216">
        <v>28963988.721534699</v>
      </c>
      <c r="E216" s="10" t="s">
        <v>530</v>
      </c>
      <c r="F216" s="151">
        <f>IF(ISNUMBER(I58),I58/SUM($I$43:$AI$71),0)</f>
        <v>4.4189959999110703E-4</v>
      </c>
    </row>
    <row r="217" spans="1:6" x14ac:dyDescent="0.25">
      <c r="A217" s="150">
        <v>212</v>
      </c>
      <c r="B217" s="10" t="s">
        <v>152</v>
      </c>
      <c r="C217">
        <v>26937611.4721069</v>
      </c>
      <c r="E217" s="10" t="s">
        <v>458</v>
      </c>
      <c r="F217" s="151">
        <f>IF(ISNUMBER(J58),J58/SUM($I$43:$AI$71),0)</f>
        <v>1.9335613812317691E-3</v>
      </c>
    </row>
    <row r="218" spans="1:6" x14ac:dyDescent="0.25">
      <c r="A218" s="150">
        <v>213</v>
      </c>
      <c r="B218" s="10" t="s">
        <v>153</v>
      </c>
      <c r="C218">
        <v>10840849.151361501</v>
      </c>
      <c r="E218" s="10" t="s">
        <v>459</v>
      </c>
      <c r="F218" s="151">
        <f>IF(ISNUMBER(K58),K58/SUM($I$43:$AI$71),0)</f>
        <v>4.5412136356554039E-3</v>
      </c>
    </row>
    <row r="219" spans="1:6" x14ac:dyDescent="0.25">
      <c r="A219" s="150">
        <v>214</v>
      </c>
      <c r="B219" s="10" t="s">
        <v>154</v>
      </c>
      <c r="C219">
        <v>10474182.1853323</v>
      </c>
      <c r="E219" s="10" t="s">
        <v>460</v>
      </c>
      <c r="F219" s="151">
        <f>IF(ISNUMBER(L58),L58/SUM($I$43:$AI$71),0)</f>
        <v>6.7339868458285912E-3</v>
      </c>
    </row>
    <row r="220" spans="1:6" x14ac:dyDescent="0.25">
      <c r="A220" s="150">
        <v>215</v>
      </c>
      <c r="B220" s="10" t="s">
        <v>155</v>
      </c>
      <c r="C220">
        <v>1971295.92473054</v>
      </c>
      <c r="E220" s="10" t="s">
        <v>461</v>
      </c>
      <c r="F220" s="151">
        <f>IF(ISNUMBER(M58),M58/SUM($I$43:$AI$71),0)</f>
        <v>4.6078558081668825E-3</v>
      </c>
    </row>
    <row r="221" spans="1:6" x14ac:dyDescent="0.25">
      <c r="A221" s="150">
        <v>216</v>
      </c>
      <c r="B221" s="10" t="s">
        <v>156</v>
      </c>
      <c r="C221">
        <v>1418328.0062654</v>
      </c>
      <c r="E221" s="10" t="s">
        <v>462</v>
      </c>
      <c r="F221" s="151">
        <f>IF(ISNUMBER(N58),N58/SUM($I$43:$AI$71),0)</f>
        <v>1.6441678272291933E-3</v>
      </c>
    </row>
    <row r="222" spans="1:6" x14ac:dyDescent="0.25">
      <c r="A222" s="150">
        <v>217</v>
      </c>
      <c r="B222" s="10" t="s">
        <v>157</v>
      </c>
      <c r="C222">
        <v>27759.279589354999</v>
      </c>
      <c r="E222" s="10" t="s">
        <v>463</v>
      </c>
      <c r="F222" s="151">
        <f>IF(ISNUMBER(O58),O58/SUM($I$43:$AI$71),0)</f>
        <v>3.3373642883159795E-4</v>
      </c>
    </row>
    <row r="223" spans="1:6" x14ac:dyDescent="0.25">
      <c r="A223" s="150">
        <v>218</v>
      </c>
      <c r="B223" s="10" t="s">
        <v>158</v>
      </c>
      <c r="C223">
        <v>37240.865695314496</v>
      </c>
      <c r="E223" s="10" t="s">
        <v>464</v>
      </c>
      <c r="F223" s="151">
        <f>IF(ISNUMBER(P58),P58/SUM($I$43:$AI$71),0)</f>
        <v>0</v>
      </c>
    </row>
    <row r="224" spans="1:6" x14ac:dyDescent="0.25">
      <c r="A224" s="150">
        <v>219</v>
      </c>
      <c r="B224" s="10" t="s">
        <v>711</v>
      </c>
      <c r="C224">
        <v>1462.89853494265</v>
      </c>
      <c r="E224" s="10" t="s">
        <v>465</v>
      </c>
      <c r="F224" s="151">
        <f>IF(ISNUMBER(Q58),Q58/SUM($I$43:$AI$71),0)</f>
        <v>0</v>
      </c>
    </row>
    <row r="225" spans="1:6" x14ac:dyDescent="0.25">
      <c r="A225" s="150">
        <v>220</v>
      </c>
      <c r="B225" s="10" t="s">
        <v>712</v>
      </c>
      <c r="C225">
        <v>0</v>
      </c>
      <c r="E225" s="10" t="s">
        <v>466</v>
      </c>
      <c r="F225" s="151">
        <f>IF(ISNUMBER(R58),R58/SUM($I$43:$AI$71),0)</f>
        <v>0</v>
      </c>
    </row>
    <row r="226" spans="1:6" x14ac:dyDescent="0.25">
      <c r="A226" s="150">
        <v>221</v>
      </c>
      <c r="B226" s="10" t="s">
        <v>713</v>
      </c>
      <c r="C226">
        <v>21826.889774413801</v>
      </c>
      <c r="E226" s="10" t="s">
        <v>467</v>
      </c>
      <c r="F226" s="151">
        <f>IF(ISNUMBER(S58),S58/SUM($I$43:$AI$71),0)</f>
        <v>0</v>
      </c>
    </row>
    <row r="227" spans="1:6" x14ac:dyDescent="0.25">
      <c r="A227" s="150">
        <v>222</v>
      </c>
      <c r="B227" s="10" t="s">
        <v>714</v>
      </c>
      <c r="C227">
        <v>21210.970267090899</v>
      </c>
      <c r="E227" s="10" t="s">
        <v>531</v>
      </c>
      <c r="F227" s="151">
        <f>IF(ISNUMBER(T58),T58/SUM($I$43:$AI$71),0)</f>
        <v>0</v>
      </c>
    </row>
    <row r="228" spans="1:6" x14ac:dyDescent="0.25">
      <c r="A228" s="150">
        <v>223</v>
      </c>
      <c r="B228" s="10" t="s">
        <v>715</v>
      </c>
      <c r="C228">
        <v>5367.5124711915896</v>
      </c>
      <c r="E228" s="10" t="s">
        <v>532</v>
      </c>
      <c r="F228" s="151">
        <f>IF(ISNUMBER(U58),U58/SUM($I$43:$AI$71),0)</f>
        <v>0</v>
      </c>
    </row>
    <row r="229" spans="1:6" x14ac:dyDescent="0.25">
      <c r="A229" s="150">
        <v>224</v>
      </c>
      <c r="B229" s="10" t="s">
        <v>716</v>
      </c>
      <c r="C229">
        <v>0</v>
      </c>
      <c r="E229" s="10" t="s">
        <v>1067</v>
      </c>
      <c r="F229" s="151">
        <f>IF(ISNUMBER(V58),V58/SUM($I$43:$AI$71),0)</f>
        <v>5.1492405703615276E-4</v>
      </c>
    </row>
    <row r="230" spans="1:6" x14ac:dyDescent="0.25">
      <c r="A230" s="150">
        <v>225</v>
      </c>
      <c r="B230" s="10" t="s">
        <v>1021</v>
      </c>
      <c r="C230">
        <v>17107.075793059499</v>
      </c>
      <c r="E230" s="10" t="s">
        <v>1596</v>
      </c>
      <c r="F230" s="151">
        <f>IF(ISNUMBER(W58),W58/SUM($I$43:$AI$71),0)</f>
        <v>2.3355163126854693E-3</v>
      </c>
    </row>
    <row r="231" spans="1:6" x14ac:dyDescent="0.25">
      <c r="A231" s="150">
        <v>226</v>
      </c>
      <c r="B231" s="10" t="s">
        <v>1022</v>
      </c>
      <c r="C231">
        <v>0</v>
      </c>
      <c r="E231" s="10" t="s">
        <v>1597</v>
      </c>
      <c r="F231" s="151">
        <f>IF(ISNUMBER(X58),X58/SUM($I$43:$AI$71),0)</f>
        <v>5.1011184891988888E-3</v>
      </c>
    </row>
    <row r="232" spans="1:6" x14ac:dyDescent="0.25">
      <c r="A232" s="150">
        <v>227</v>
      </c>
      <c r="B232" s="10" t="s">
        <v>1123</v>
      </c>
      <c r="C232">
        <v>0</v>
      </c>
      <c r="E232" s="10" t="s">
        <v>1598</v>
      </c>
      <c r="F232" s="151">
        <f>IF(ISNUMBER(Y58),Y58/SUM($I$43:$AI$71),0)</f>
        <v>6.2159811259245587E-3</v>
      </c>
    </row>
    <row r="233" spans="1:6" x14ac:dyDescent="0.25">
      <c r="A233" s="150">
        <v>228</v>
      </c>
      <c r="B233" s="10" t="s">
        <v>1124</v>
      </c>
      <c r="C233">
        <v>0</v>
      </c>
      <c r="E233" s="10" t="s">
        <v>1599</v>
      </c>
      <c r="F233" s="151">
        <f>IF(ISNUMBER(Z58),Z58/SUM($I$43:$AI$71),0)</f>
        <v>4.3037413948209076E-3</v>
      </c>
    </row>
    <row r="234" spans="1:6" x14ac:dyDescent="0.25">
      <c r="A234" s="150">
        <v>229</v>
      </c>
      <c r="B234" s="10" t="s">
        <v>1125</v>
      </c>
      <c r="C234">
        <v>0</v>
      </c>
      <c r="E234" s="10" t="s">
        <v>1600</v>
      </c>
      <c r="F234" s="151">
        <f>IF(ISNUMBER(AA58),AA58/SUM($I$43:$AI$71),0)</f>
        <v>1.725881042644637E-3</v>
      </c>
    </row>
    <row r="235" spans="1:6" x14ac:dyDescent="0.25">
      <c r="A235" s="150">
        <v>230</v>
      </c>
      <c r="B235" s="10" t="s">
        <v>1126</v>
      </c>
      <c r="C235">
        <v>0</v>
      </c>
      <c r="E235" s="10" t="s">
        <v>1601</v>
      </c>
      <c r="F235" s="151">
        <f>IF(ISNUMBER(AB58),AB58/SUM($I$43:$AI$71),0)</f>
        <v>3.4002354560148126E-4</v>
      </c>
    </row>
    <row r="236" spans="1:6" x14ac:dyDescent="0.25">
      <c r="A236" s="150">
        <v>231</v>
      </c>
      <c r="B236" s="10" t="s">
        <v>717</v>
      </c>
      <c r="C236">
        <v>587634.36178994202</v>
      </c>
      <c r="E236" s="10" t="s">
        <v>1602</v>
      </c>
      <c r="F236" s="151">
        <f>IF(ISNUMBER(AC58),AC58/SUM($I$43:$AI$71),0)</f>
        <v>0</v>
      </c>
    </row>
    <row r="237" spans="1:6" x14ac:dyDescent="0.25">
      <c r="A237" s="150">
        <v>232</v>
      </c>
      <c r="B237" s="10" t="s">
        <v>718</v>
      </c>
      <c r="C237">
        <v>335398.160512209</v>
      </c>
      <c r="E237" s="10" t="s">
        <v>1603</v>
      </c>
      <c r="F237" s="151">
        <f>IF(ISNUMBER(AD58),AD58/SUM($I$43:$AI$71),0)</f>
        <v>0</v>
      </c>
    </row>
    <row r="238" spans="1:6" x14ac:dyDescent="0.25">
      <c r="A238" s="150">
        <v>233</v>
      </c>
      <c r="B238" s="10" t="s">
        <v>159</v>
      </c>
      <c r="C238">
        <v>7291767.7582569104</v>
      </c>
      <c r="E238" s="10" t="s">
        <v>533</v>
      </c>
      <c r="F238" s="151">
        <f>IF(ISNUMBER(I59),I59/SUM($I$43:$AI$71),0)</f>
        <v>2.8103260067298115E-4</v>
      </c>
    </row>
    <row r="239" spans="1:6" x14ac:dyDescent="0.25">
      <c r="A239" s="150">
        <v>234</v>
      </c>
      <c r="B239" s="10" t="s">
        <v>160</v>
      </c>
      <c r="C239">
        <v>5616228.0349628897</v>
      </c>
      <c r="E239" s="10" t="s">
        <v>468</v>
      </c>
      <c r="F239" s="151">
        <f>IF(ISNUMBER(J59),J59/SUM($I$43:$AI$71),0)</f>
        <v>1.4499042177587333E-3</v>
      </c>
    </row>
    <row r="240" spans="1:6" x14ac:dyDescent="0.25">
      <c r="A240" s="150">
        <v>235</v>
      </c>
      <c r="B240" s="10" t="s">
        <v>161</v>
      </c>
      <c r="C240">
        <v>19636760.431791302</v>
      </c>
      <c r="E240" s="10" t="s">
        <v>469</v>
      </c>
      <c r="F240" s="151">
        <f>IF(ISNUMBER(K59),K59/SUM($I$43:$AI$71),0)</f>
        <v>4.1486209084833966E-3</v>
      </c>
    </row>
    <row r="241" spans="1:6" x14ac:dyDescent="0.25">
      <c r="A241" s="150">
        <v>236</v>
      </c>
      <c r="B241" s="10" t="s">
        <v>162</v>
      </c>
      <c r="C241">
        <v>18796415.884945899</v>
      </c>
      <c r="E241" s="10" t="s">
        <v>470</v>
      </c>
      <c r="F241" s="151">
        <f>IF(ISNUMBER(L59),L59/SUM($I$43:$AI$71),0)</f>
        <v>6.8367990086572192E-3</v>
      </c>
    </row>
    <row r="242" spans="1:6" x14ac:dyDescent="0.25">
      <c r="A242" s="150">
        <v>237</v>
      </c>
      <c r="B242" s="10" t="s">
        <v>163</v>
      </c>
      <c r="C242">
        <v>24919877.270929299</v>
      </c>
      <c r="E242" s="10" t="s">
        <v>471</v>
      </c>
      <c r="F242" s="151">
        <f>IF(ISNUMBER(M59),M59/SUM($I$43:$AI$71),0)</f>
        <v>5.6059830763011773E-3</v>
      </c>
    </row>
    <row r="243" spans="1:6" x14ac:dyDescent="0.25">
      <c r="A243" s="150">
        <v>238</v>
      </c>
      <c r="B243" s="10" t="s">
        <v>164</v>
      </c>
      <c r="C243">
        <v>22072341.964837998</v>
      </c>
      <c r="E243" s="10" t="s">
        <v>472</v>
      </c>
      <c r="F243" s="151">
        <f>IF(ISNUMBER(N59),N59/SUM($I$43:$AI$71),0)</f>
        <v>2.4426268730111129E-3</v>
      </c>
    </row>
    <row r="244" spans="1:6" x14ac:dyDescent="0.25">
      <c r="A244" s="150">
        <v>239</v>
      </c>
      <c r="B244" s="10" t="s">
        <v>165</v>
      </c>
      <c r="C244">
        <v>20409186.649578098</v>
      </c>
      <c r="E244" s="10" t="s">
        <v>473</v>
      </c>
      <c r="F244" s="151">
        <f>IF(ISNUMBER(O59),O59/SUM($I$43:$AI$71),0)</f>
        <v>6.3006811807676908E-4</v>
      </c>
    </row>
    <row r="245" spans="1:6" x14ac:dyDescent="0.25">
      <c r="A245" s="150">
        <v>240</v>
      </c>
      <c r="B245" s="10" t="s">
        <v>166</v>
      </c>
      <c r="C245">
        <v>15689922.7298012</v>
      </c>
      <c r="E245" s="10" t="s">
        <v>474</v>
      </c>
      <c r="F245" s="151">
        <f>IF(ISNUMBER(P59),P59/SUM($I$43:$AI$71),0)</f>
        <v>8.3286732642794497E-5</v>
      </c>
    </row>
    <row r="246" spans="1:6" x14ac:dyDescent="0.25">
      <c r="A246" s="150">
        <v>241</v>
      </c>
      <c r="B246" s="10" t="s">
        <v>167</v>
      </c>
      <c r="C246">
        <v>10298853.006940801</v>
      </c>
      <c r="E246" s="10" t="s">
        <v>475</v>
      </c>
      <c r="F246" s="151">
        <f>IF(ISNUMBER(Q59),Q59/SUM($I$43:$AI$71),0)</f>
        <v>0</v>
      </c>
    </row>
    <row r="247" spans="1:6" x14ac:dyDescent="0.25">
      <c r="A247" s="150">
        <v>242</v>
      </c>
      <c r="B247" s="10" t="s">
        <v>168</v>
      </c>
      <c r="C247">
        <v>8453996.3747491799</v>
      </c>
      <c r="E247" s="10" t="s">
        <v>476</v>
      </c>
      <c r="F247" s="151">
        <f>IF(ISNUMBER(R59),R59/SUM($I$43:$AI$71),0)</f>
        <v>0</v>
      </c>
    </row>
    <row r="248" spans="1:6" x14ac:dyDescent="0.25">
      <c r="A248" s="150">
        <v>243</v>
      </c>
      <c r="B248" s="10" t="s">
        <v>169</v>
      </c>
      <c r="C248">
        <v>4429860.4603235703</v>
      </c>
      <c r="E248" s="10" t="s">
        <v>477</v>
      </c>
      <c r="F248" s="151">
        <f>IF(ISNUMBER(S59),S59/SUM($I$43:$AI$71),0)</f>
        <v>0</v>
      </c>
    </row>
    <row r="249" spans="1:6" x14ac:dyDescent="0.25">
      <c r="A249" s="150">
        <v>244</v>
      </c>
      <c r="B249" s="10" t="s">
        <v>170</v>
      </c>
      <c r="C249">
        <v>4076433.8655552901</v>
      </c>
      <c r="E249" s="10" t="s">
        <v>534</v>
      </c>
      <c r="F249" s="151">
        <f>IF(ISNUMBER(T59),T59/SUM($I$43:$AI$71),0)</f>
        <v>0</v>
      </c>
    </row>
    <row r="250" spans="1:6" x14ac:dyDescent="0.25">
      <c r="A250" s="150">
        <v>245</v>
      </c>
      <c r="B250" s="10" t="s">
        <v>171</v>
      </c>
      <c r="C250">
        <v>967753.03967917</v>
      </c>
      <c r="E250" s="10" t="s">
        <v>535</v>
      </c>
      <c r="F250" s="151">
        <f>IF(ISNUMBER(U59),U59/SUM($I$43:$AI$71),0)</f>
        <v>0</v>
      </c>
    </row>
    <row r="251" spans="1:6" x14ac:dyDescent="0.25">
      <c r="A251" s="150">
        <v>246</v>
      </c>
      <c r="B251" s="10" t="s">
        <v>172</v>
      </c>
      <c r="C251">
        <v>956218.96038818394</v>
      </c>
      <c r="E251" s="10" t="s">
        <v>1068</v>
      </c>
      <c r="F251" s="151">
        <f>IF(ISNUMBER(V59),V59/SUM($I$43:$AI$71),0)</f>
        <v>0</v>
      </c>
    </row>
    <row r="252" spans="1:6" x14ac:dyDescent="0.25">
      <c r="A252" s="150">
        <v>247</v>
      </c>
      <c r="B252" s="10" t="s">
        <v>173</v>
      </c>
      <c r="C252">
        <v>113151.763839848</v>
      </c>
      <c r="E252" s="10" t="s">
        <v>1604</v>
      </c>
      <c r="F252" s="151">
        <f>IF(ISNUMBER(W59),W59/SUM($I$43:$AI$71),0)</f>
        <v>9.3627829343331792E-4</v>
      </c>
    </row>
    <row r="253" spans="1:6" x14ac:dyDescent="0.25">
      <c r="A253" s="150">
        <v>248</v>
      </c>
      <c r="B253" s="10" t="s">
        <v>174</v>
      </c>
      <c r="C253">
        <v>68042.251363769203</v>
      </c>
      <c r="E253" s="10" t="s">
        <v>1605</v>
      </c>
      <c r="F253" s="151">
        <f>IF(ISNUMBER(X59),X59/SUM($I$43:$AI$71),0)</f>
        <v>3.4103452423435345E-3</v>
      </c>
    </row>
    <row r="254" spans="1:6" x14ac:dyDescent="0.25">
      <c r="A254" s="150">
        <v>249</v>
      </c>
      <c r="B254" s="10" t="s">
        <v>175</v>
      </c>
      <c r="C254">
        <v>13061.8127041021</v>
      </c>
      <c r="E254" s="10" t="s">
        <v>1606</v>
      </c>
      <c r="F254" s="151">
        <f>IF(ISNUMBER(Y59),Y59/SUM($I$43:$AI$71),0)</f>
        <v>6.6015190779895741E-3</v>
      </c>
    </row>
    <row r="255" spans="1:6" x14ac:dyDescent="0.25">
      <c r="A255" s="150">
        <v>250</v>
      </c>
      <c r="B255" s="10" t="s">
        <v>176</v>
      </c>
      <c r="C255">
        <v>19245.0557680661</v>
      </c>
      <c r="E255" s="10" t="s">
        <v>1607</v>
      </c>
      <c r="F255" s="151">
        <f>IF(ISNUMBER(Z59),Z59/SUM($I$43:$AI$71),0)</f>
        <v>7.1253769993401342E-3</v>
      </c>
    </row>
    <row r="256" spans="1:6" x14ac:dyDescent="0.25">
      <c r="A256" s="150">
        <v>251</v>
      </c>
      <c r="B256" s="10" t="s">
        <v>719</v>
      </c>
      <c r="C256">
        <v>783430.18027001596</v>
      </c>
      <c r="E256" s="10" t="s">
        <v>1608</v>
      </c>
      <c r="F256" s="151">
        <f>IF(ISNUMBER(AA59),AA59/SUM($I$43:$AI$71),0)</f>
        <v>4.4558763487433546E-3</v>
      </c>
    </row>
    <row r="257" spans="1:6" x14ac:dyDescent="0.25">
      <c r="A257" s="150">
        <v>252</v>
      </c>
      <c r="B257" s="10" t="s">
        <v>720</v>
      </c>
      <c r="C257">
        <v>828748.23788726295</v>
      </c>
      <c r="E257" s="10" t="s">
        <v>1609</v>
      </c>
      <c r="F257" s="151">
        <f>IF(ISNUMBER(AB59),AB59/SUM($I$43:$AI$71),0)</f>
        <v>1.6915979935165494E-3</v>
      </c>
    </row>
    <row r="258" spans="1:6" x14ac:dyDescent="0.25">
      <c r="A258" s="150">
        <v>253</v>
      </c>
      <c r="B258" s="10" t="s">
        <v>721</v>
      </c>
      <c r="C258">
        <v>3416186.9154505702</v>
      </c>
      <c r="E258" s="10" t="s">
        <v>1610</v>
      </c>
      <c r="F258" s="151">
        <f>IF(ISNUMBER(AC59),AC59/SUM($I$43:$AI$71),0)</f>
        <v>3.6635887665093398E-4</v>
      </c>
    </row>
    <row r="259" spans="1:6" x14ac:dyDescent="0.25">
      <c r="A259" s="150">
        <v>254</v>
      </c>
      <c r="B259" s="10" t="s">
        <v>722</v>
      </c>
      <c r="C259">
        <v>3545145.9418315901</v>
      </c>
      <c r="E259" s="10" t="s">
        <v>1611</v>
      </c>
      <c r="F259" s="151">
        <f>IF(ISNUMBER(AD59),AD59/SUM($I$43:$AI$71),0)</f>
        <v>0</v>
      </c>
    </row>
    <row r="260" spans="1:6" x14ac:dyDescent="0.25">
      <c r="A260" s="150">
        <v>255</v>
      </c>
      <c r="B260" s="10" t="s">
        <v>723</v>
      </c>
      <c r="C260">
        <v>5097128.2633857699</v>
      </c>
      <c r="E260" s="10" t="s">
        <v>1612</v>
      </c>
      <c r="F260" s="151">
        <f>IF(ISNUMBER(AE59),AE59/SUM($I$43:$AI$71),0)</f>
        <v>0</v>
      </c>
    </row>
    <row r="261" spans="1:6" x14ac:dyDescent="0.25">
      <c r="A261" s="150">
        <v>256</v>
      </c>
      <c r="B261" s="10" t="s">
        <v>724</v>
      </c>
      <c r="C261">
        <v>4176170.3857347998</v>
      </c>
      <c r="E261" s="10" t="s">
        <v>536</v>
      </c>
      <c r="F261" s="151">
        <f>IF(ISNUMBER(I60),I60/SUM($I$43:$AI$71),0)</f>
        <v>1.8670347590374594E-4</v>
      </c>
    </row>
    <row r="262" spans="1:6" x14ac:dyDescent="0.25">
      <c r="A262" s="150">
        <v>257</v>
      </c>
      <c r="B262" s="10" t="s">
        <v>1023</v>
      </c>
      <c r="C262">
        <v>2770837.7414543601</v>
      </c>
      <c r="E262" s="10" t="s">
        <v>478</v>
      </c>
      <c r="F262" s="151">
        <f>IF(ISNUMBER(J60),J60/SUM($I$43:$AI$71),0)</f>
        <v>8.9709172059209449E-4</v>
      </c>
    </row>
    <row r="263" spans="1:6" x14ac:dyDescent="0.25">
      <c r="A263" s="150">
        <v>258</v>
      </c>
      <c r="B263" s="10" t="s">
        <v>1024</v>
      </c>
      <c r="C263">
        <v>1892866.10722589</v>
      </c>
      <c r="E263" s="10" t="s">
        <v>479</v>
      </c>
      <c r="F263" s="151">
        <f>IF(ISNUMBER(K60),K60/SUM($I$43:$AI$71),0)</f>
        <v>3.3618749561767254E-3</v>
      </c>
    </row>
    <row r="264" spans="1:6" x14ac:dyDescent="0.25">
      <c r="A264" s="150">
        <v>259</v>
      </c>
      <c r="B264" s="10" t="s">
        <v>1025</v>
      </c>
      <c r="C264">
        <v>120481.72955859501</v>
      </c>
      <c r="E264" s="10" t="s">
        <v>480</v>
      </c>
      <c r="F264" s="151">
        <f>IF(ISNUMBER(L60),L60/SUM($I$43:$AI$71),0)</f>
        <v>6.2477104310760924E-3</v>
      </c>
    </row>
    <row r="265" spans="1:6" x14ac:dyDescent="0.25">
      <c r="A265" s="150">
        <v>260</v>
      </c>
      <c r="B265" s="10" t="s">
        <v>1026</v>
      </c>
      <c r="C265">
        <v>197205.07925488101</v>
      </c>
      <c r="E265" s="10" t="s">
        <v>481</v>
      </c>
      <c r="F265" s="151">
        <f>IF(ISNUMBER(M60),M60/SUM($I$43:$AI$71),0)</f>
        <v>5.5365354888383955E-3</v>
      </c>
    </row>
    <row r="266" spans="1:6" x14ac:dyDescent="0.25">
      <c r="A266" s="150">
        <v>261</v>
      </c>
      <c r="B266" s="10" t="s">
        <v>1127</v>
      </c>
      <c r="C266">
        <v>0</v>
      </c>
      <c r="E266" s="10" t="s">
        <v>482</v>
      </c>
      <c r="F266" s="151">
        <f>IF(ISNUMBER(N60),N60/SUM($I$43:$AI$71),0)</f>
        <v>2.8472960509602044E-3</v>
      </c>
    </row>
    <row r="267" spans="1:6" x14ac:dyDescent="0.25">
      <c r="A267" s="150">
        <v>262</v>
      </c>
      <c r="B267" s="10" t="s">
        <v>1128</v>
      </c>
      <c r="C267">
        <v>0</v>
      </c>
      <c r="E267" s="10" t="s">
        <v>483</v>
      </c>
      <c r="F267" s="151">
        <f>IF(ISNUMBER(O60),O60/SUM($I$43:$AI$71),0)</f>
        <v>8.9181192354497341E-4</v>
      </c>
    </row>
    <row r="268" spans="1:6" x14ac:dyDescent="0.25">
      <c r="A268" s="150">
        <v>263</v>
      </c>
      <c r="B268" s="10" t="s">
        <v>1129</v>
      </c>
      <c r="C268">
        <v>0</v>
      </c>
      <c r="E268" s="10" t="s">
        <v>484</v>
      </c>
      <c r="F268" s="151">
        <f>IF(ISNUMBER(P60),P60/SUM($I$43:$AI$71),0)</f>
        <v>1.5631766559178988E-4</v>
      </c>
    </row>
    <row r="269" spans="1:6" x14ac:dyDescent="0.25">
      <c r="A269" s="150">
        <v>264</v>
      </c>
      <c r="B269" s="10" t="s">
        <v>1130</v>
      </c>
      <c r="C269">
        <v>0</v>
      </c>
      <c r="E269" s="10" t="s">
        <v>485</v>
      </c>
      <c r="F269" s="151">
        <f>IF(ISNUMBER(Q60),Q60/SUM($I$43:$AI$71),0)</f>
        <v>0</v>
      </c>
    </row>
    <row r="270" spans="1:6" x14ac:dyDescent="0.25">
      <c r="A270" s="150">
        <v>265</v>
      </c>
      <c r="B270" s="10" t="s">
        <v>725</v>
      </c>
      <c r="C270">
        <v>285822.29121911502</v>
      </c>
      <c r="E270" s="10" t="s">
        <v>486</v>
      </c>
      <c r="F270" s="151">
        <f>IF(ISNUMBER(R60),R60/SUM($I$43:$AI$71),0)</f>
        <v>0</v>
      </c>
    </row>
    <row r="271" spans="1:6" x14ac:dyDescent="0.25">
      <c r="A271" s="150">
        <v>266</v>
      </c>
      <c r="B271" s="10" t="s">
        <v>726</v>
      </c>
      <c r="C271">
        <v>198471.054369152</v>
      </c>
      <c r="E271" s="10" t="s">
        <v>487</v>
      </c>
      <c r="F271" s="151">
        <f>IF(ISNUMBER(S60),S60/SUM($I$43:$AI$71),0)</f>
        <v>0</v>
      </c>
    </row>
    <row r="272" spans="1:6" x14ac:dyDescent="0.25">
      <c r="A272" s="150">
        <v>267</v>
      </c>
      <c r="B272" s="10" t="s">
        <v>177</v>
      </c>
      <c r="C272">
        <v>1517031.1613916201</v>
      </c>
      <c r="E272" s="10" t="s">
        <v>537</v>
      </c>
      <c r="F272" s="151">
        <f>IF(ISNUMBER(T60),T60/SUM($I$43:$AI$71),0)</f>
        <v>0</v>
      </c>
    </row>
    <row r="273" spans="1:6" x14ac:dyDescent="0.25">
      <c r="A273" s="150">
        <v>268</v>
      </c>
      <c r="B273" s="10" t="s">
        <v>178</v>
      </c>
      <c r="C273">
        <v>1021535.8347238899</v>
      </c>
      <c r="E273" s="10" t="s">
        <v>538</v>
      </c>
      <c r="F273" s="151">
        <f>IF(ISNUMBER(U60),U60/SUM($I$43:$AI$71),0)</f>
        <v>0</v>
      </c>
    </row>
    <row r="274" spans="1:6" x14ac:dyDescent="0.25">
      <c r="A274" s="150">
        <v>269</v>
      </c>
      <c r="B274" s="10" t="s">
        <v>179</v>
      </c>
      <c r="C274">
        <v>1109592.0096152399</v>
      </c>
      <c r="E274" s="10" t="s">
        <v>1069</v>
      </c>
      <c r="F274" s="151">
        <f>IF(ISNUMBER(V60),V60/SUM($I$43:$AI$71),0)</f>
        <v>0</v>
      </c>
    </row>
    <row r="275" spans="1:6" x14ac:dyDescent="0.25">
      <c r="A275" s="150">
        <v>270</v>
      </c>
      <c r="B275" s="10" t="s">
        <v>180</v>
      </c>
      <c r="C275">
        <v>1016078.28813648</v>
      </c>
      <c r="E275" s="10" t="s">
        <v>1613</v>
      </c>
      <c r="F275" s="151">
        <f>IF(ISNUMBER(W60),W60/SUM($I$43:$AI$71),0)</f>
        <v>1.2778280133885446E-4</v>
      </c>
    </row>
    <row r="276" spans="1:6" x14ac:dyDescent="0.25">
      <c r="A276" s="150">
        <v>271</v>
      </c>
      <c r="B276" s="10" t="s">
        <v>181</v>
      </c>
      <c r="C276">
        <v>293098.29611718701</v>
      </c>
      <c r="E276" s="10" t="s">
        <v>1614</v>
      </c>
      <c r="F276" s="151">
        <f>IF(ISNUMBER(X60),X60/SUM($I$43:$AI$71),0)</f>
        <v>1.2201820522936601E-3</v>
      </c>
    </row>
    <row r="277" spans="1:6" x14ac:dyDescent="0.25">
      <c r="A277" s="150">
        <v>272</v>
      </c>
      <c r="B277" s="10" t="s">
        <v>182</v>
      </c>
      <c r="C277">
        <v>283348.96878100903</v>
      </c>
      <c r="E277" s="10" t="s">
        <v>1615</v>
      </c>
      <c r="F277" s="151">
        <f>IF(ISNUMBER(Y60),Y60/SUM($I$43:$AI$71),0)</f>
        <v>3.739727872033772E-3</v>
      </c>
    </row>
    <row r="278" spans="1:6" x14ac:dyDescent="0.25">
      <c r="A278" s="150">
        <v>273</v>
      </c>
      <c r="B278" s="10" t="s">
        <v>183</v>
      </c>
      <c r="C278">
        <v>42967.174275388898</v>
      </c>
      <c r="E278" s="10" t="s">
        <v>1616</v>
      </c>
      <c r="F278" s="151">
        <f>IF(ISNUMBER(Z60),Z60/SUM($I$43:$AI$71),0)</f>
        <v>6.1700652768997962E-3</v>
      </c>
    </row>
    <row r="279" spans="1:6" x14ac:dyDescent="0.25">
      <c r="A279" s="150">
        <v>274</v>
      </c>
      <c r="B279" s="10" t="s">
        <v>184</v>
      </c>
      <c r="C279">
        <v>9093.2665722649508</v>
      </c>
      <c r="E279" s="10" t="s">
        <v>1617</v>
      </c>
      <c r="F279" s="151">
        <f>IF(ISNUMBER(AA60),AA60/SUM($I$43:$AI$71),0)</f>
        <v>6.2289661879172918E-3</v>
      </c>
    </row>
    <row r="280" spans="1:6" x14ac:dyDescent="0.25">
      <c r="A280" s="150">
        <v>275</v>
      </c>
      <c r="B280" s="10" t="s">
        <v>185</v>
      </c>
      <c r="C280">
        <v>12045.4727661125</v>
      </c>
      <c r="E280" s="10" t="s">
        <v>1618</v>
      </c>
      <c r="F280" s="151">
        <f>IF(ISNUMBER(AB60),AB60/SUM($I$43:$AI$71),0)</f>
        <v>3.7297363890053726E-3</v>
      </c>
    </row>
    <row r="281" spans="1:6" x14ac:dyDescent="0.25">
      <c r="A281" s="150">
        <v>276</v>
      </c>
      <c r="B281" s="10" t="s">
        <v>186</v>
      </c>
      <c r="C281">
        <v>6106.2108471677602</v>
      </c>
      <c r="E281" s="10" t="s">
        <v>1619</v>
      </c>
      <c r="F281" s="151">
        <f>IF(ISNUMBER(AC60),AC60/SUM($I$43:$AI$71),0)</f>
        <v>1.4194192790170461E-3</v>
      </c>
    </row>
    <row r="282" spans="1:6" x14ac:dyDescent="0.25">
      <c r="A282" s="150">
        <v>277</v>
      </c>
      <c r="B282" s="10" t="s">
        <v>187</v>
      </c>
      <c r="C282">
        <v>0</v>
      </c>
      <c r="E282" s="10" t="s">
        <v>1620</v>
      </c>
      <c r="F282" s="151">
        <f>IF(ISNUMBER(AD60),AD60/SUM($I$43:$AI$71),0)</f>
        <v>2.8751742166886009E-4</v>
      </c>
    </row>
    <row r="283" spans="1:6" x14ac:dyDescent="0.25">
      <c r="A283" s="150">
        <v>278</v>
      </c>
      <c r="B283" s="10" t="s">
        <v>188</v>
      </c>
      <c r="C283">
        <v>0</v>
      </c>
      <c r="E283" s="10" t="s">
        <v>1621</v>
      </c>
      <c r="F283" s="151">
        <f>IF(ISNUMBER(AE60),AE60/SUM($I$43:$AI$71),0)</f>
        <v>0</v>
      </c>
    </row>
    <row r="284" spans="1:6" x14ac:dyDescent="0.25">
      <c r="A284" s="150">
        <v>279</v>
      </c>
      <c r="B284" s="10" t="s">
        <v>189</v>
      </c>
      <c r="C284">
        <v>0</v>
      </c>
      <c r="E284" s="10" t="s">
        <v>1622</v>
      </c>
      <c r="F284" s="151">
        <f>IF(ISNUMBER(AF60),AF60/SUM($I$43:$AI$71),0)</f>
        <v>0</v>
      </c>
    </row>
    <row r="285" spans="1:6" x14ac:dyDescent="0.25">
      <c r="A285" s="150">
        <v>280</v>
      </c>
      <c r="B285" s="10" t="s">
        <v>190</v>
      </c>
      <c r="C285">
        <v>0</v>
      </c>
      <c r="E285" s="10" t="s">
        <v>539</v>
      </c>
      <c r="F285" s="151">
        <f>IF(ISNUMBER(I61),I61/SUM($I$43:$AI$71),0)</f>
        <v>1.3536676383258225E-4</v>
      </c>
    </row>
    <row r="286" spans="1:6" x14ac:dyDescent="0.25">
      <c r="A286" s="150">
        <v>281</v>
      </c>
      <c r="B286" s="10" t="s">
        <v>191</v>
      </c>
      <c r="C286">
        <v>0</v>
      </c>
      <c r="E286" s="10" t="s">
        <v>540</v>
      </c>
      <c r="F286" s="151">
        <f>IF(ISNUMBER(J61),J61/SUM($I$43:$AI$71),0)</f>
        <v>5.9015145598917624E-4</v>
      </c>
    </row>
    <row r="287" spans="1:6" x14ac:dyDescent="0.25">
      <c r="A287" s="150">
        <v>282</v>
      </c>
      <c r="B287" s="10" t="s">
        <v>192</v>
      </c>
      <c r="C287">
        <v>0</v>
      </c>
      <c r="E287" s="10" t="s">
        <v>541</v>
      </c>
      <c r="F287" s="151">
        <f>IF(ISNUMBER(K61),K61/SUM($I$43:$AI$71),0)</f>
        <v>2.3713018887469629E-3</v>
      </c>
    </row>
    <row r="288" spans="1:6" x14ac:dyDescent="0.25">
      <c r="A288" s="150">
        <v>283</v>
      </c>
      <c r="B288" s="10" t="s">
        <v>193</v>
      </c>
      <c r="C288">
        <v>4938.2772348634899</v>
      </c>
      <c r="E288" s="10" t="s">
        <v>542</v>
      </c>
      <c r="F288" s="151">
        <f>IF(ISNUMBER(L61),L61/SUM($I$43:$AI$71),0)</f>
        <v>5.1293676387965635E-3</v>
      </c>
    </row>
    <row r="289" spans="1:6" x14ac:dyDescent="0.25">
      <c r="A289" s="150">
        <v>284</v>
      </c>
      <c r="B289" s="10" t="s">
        <v>194</v>
      </c>
      <c r="C289">
        <v>6375.2515048831701</v>
      </c>
      <c r="E289" s="10" t="s">
        <v>543</v>
      </c>
      <c r="F289" s="151">
        <f>IF(ISNUMBER(M61),M61/SUM($I$43:$AI$71),0)</f>
        <v>5.0233901915523729E-3</v>
      </c>
    </row>
    <row r="290" spans="1:6" x14ac:dyDescent="0.25">
      <c r="A290" s="150">
        <v>285</v>
      </c>
      <c r="B290" s="10" t="s">
        <v>195</v>
      </c>
      <c r="C290">
        <v>940743.12790965999</v>
      </c>
      <c r="E290" s="10" t="s">
        <v>544</v>
      </c>
      <c r="F290" s="151">
        <f>IF(ISNUMBER(N61),N61/SUM($I$43:$AI$71),0)</f>
        <v>2.9291615204606412E-3</v>
      </c>
    </row>
    <row r="291" spans="1:6" x14ac:dyDescent="0.25">
      <c r="A291" s="150">
        <v>286</v>
      </c>
      <c r="B291" s="10" t="s">
        <v>196</v>
      </c>
      <c r="C291">
        <v>984103.37810200499</v>
      </c>
      <c r="E291" s="10" t="s">
        <v>545</v>
      </c>
      <c r="F291" s="151">
        <f>IF(ISNUMBER(O61),O61/SUM($I$43:$AI$71),0)</f>
        <v>1.1027870755293912E-3</v>
      </c>
    </row>
    <row r="292" spans="1:6" x14ac:dyDescent="0.25">
      <c r="A292" s="150">
        <v>287</v>
      </c>
      <c r="B292" s="10" t="s">
        <v>727</v>
      </c>
      <c r="C292">
        <v>7564386.2873802204</v>
      </c>
      <c r="E292" s="10" t="s">
        <v>546</v>
      </c>
      <c r="F292" s="151">
        <f>IF(ISNUMBER(P61),P61/SUM($I$43:$AI$71),0)</f>
        <v>2.398710100837242E-4</v>
      </c>
    </row>
    <row r="293" spans="1:6" x14ac:dyDescent="0.25">
      <c r="A293" s="150">
        <v>288</v>
      </c>
      <c r="B293" s="10" t="s">
        <v>728</v>
      </c>
      <c r="C293">
        <v>7349086.7386384001</v>
      </c>
      <c r="E293" s="10" t="s">
        <v>547</v>
      </c>
      <c r="F293" s="151">
        <f>IF(ISNUMBER(Q61),Q61/SUM($I$43:$AI$71),0)</f>
        <v>0</v>
      </c>
    </row>
    <row r="294" spans="1:6" x14ac:dyDescent="0.25">
      <c r="A294" s="150">
        <v>289</v>
      </c>
      <c r="B294" s="10" t="s">
        <v>729</v>
      </c>
      <c r="C294">
        <v>17828462.836501099</v>
      </c>
      <c r="E294" s="10" t="s">
        <v>548</v>
      </c>
      <c r="F294" s="151">
        <f>IF(ISNUMBER(R61),R61/SUM($I$43:$AI$71),0)</f>
        <v>0</v>
      </c>
    </row>
    <row r="295" spans="1:6" x14ac:dyDescent="0.25">
      <c r="A295" s="150">
        <v>290</v>
      </c>
      <c r="B295" s="10" t="s">
        <v>730</v>
      </c>
      <c r="C295">
        <v>16189654.1203794</v>
      </c>
      <c r="E295" s="10" t="s">
        <v>549</v>
      </c>
      <c r="F295" s="151">
        <f>IF(ISNUMBER(S61),S61/SUM($I$43:$AI$71),0)</f>
        <v>0</v>
      </c>
    </row>
    <row r="296" spans="1:6" x14ac:dyDescent="0.25">
      <c r="A296" s="150">
        <v>291</v>
      </c>
      <c r="B296" s="10" t="s">
        <v>1027</v>
      </c>
      <c r="C296">
        <v>19486565.476790398</v>
      </c>
      <c r="E296" s="10" t="s">
        <v>550</v>
      </c>
      <c r="F296" s="151">
        <f>IF(ISNUMBER(T61),T61/SUM($I$43:$AI$71),0)</f>
        <v>0</v>
      </c>
    </row>
    <row r="297" spans="1:6" x14ac:dyDescent="0.25">
      <c r="A297" s="150">
        <v>292</v>
      </c>
      <c r="B297" s="10" t="s">
        <v>1028</v>
      </c>
      <c r="C297">
        <v>17240991.649395</v>
      </c>
      <c r="E297" s="10" t="s">
        <v>551</v>
      </c>
      <c r="F297" s="151">
        <f>IF(ISNUMBER(U61),U61/SUM($I$43:$AI$71),0)</f>
        <v>0</v>
      </c>
    </row>
    <row r="298" spans="1:6" x14ac:dyDescent="0.25">
      <c r="A298" s="150">
        <v>293</v>
      </c>
      <c r="B298" s="10" t="s">
        <v>1029</v>
      </c>
      <c r="C298">
        <v>9960957.7430334091</v>
      </c>
      <c r="E298" s="10" t="s">
        <v>1623</v>
      </c>
      <c r="F298" s="151">
        <f>IF(ISNUMBER(V61),V61/SUM($I$43:$AI$71),0)</f>
        <v>0</v>
      </c>
    </row>
    <row r="299" spans="1:6" x14ac:dyDescent="0.25">
      <c r="A299" s="150">
        <v>294</v>
      </c>
      <c r="B299" s="10" t="s">
        <v>1030</v>
      </c>
      <c r="C299">
        <v>8789139.4551992398</v>
      </c>
      <c r="E299" s="10" t="s">
        <v>1624</v>
      </c>
      <c r="F299" s="151">
        <f>IF(ISNUMBER(W61),W61/SUM($I$43:$AI$71),0)</f>
        <v>0</v>
      </c>
    </row>
    <row r="300" spans="1:6" x14ac:dyDescent="0.25">
      <c r="A300" s="150">
        <v>295</v>
      </c>
      <c r="B300" s="10" t="s">
        <v>1031</v>
      </c>
      <c r="C300">
        <v>1553386.0281249301</v>
      </c>
      <c r="E300" s="10" t="s">
        <v>1625</v>
      </c>
      <c r="F300" s="151">
        <f>IF(ISNUMBER(X61),X61/SUM($I$43:$AI$71),0)</f>
        <v>3.7136042393796253E-4</v>
      </c>
    </row>
    <row r="301" spans="1:6" x14ac:dyDescent="0.25">
      <c r="A301" s="150">
        <v>296</v>
      </c>
      <c r="B301" s="10" t="s">
        <v>1032</v>
      </c>
      <c r="C301">
        <v>1614022.7613047401</v>
      </c>
      <c r="E301" s="10" t="s">
        <v>1626</v>
      </c>
      <c r="F301" s="151">
        <f>IF(ISNUMBER(Y61),Y61/SUM($I$43:$AI$71),0)</f>
        <v>2.1011730187587524E-3</v>
      </c>
    </row>
    <row r="302" spans="1:6" x14ac:dyDescent="0.25">
      <c r="A302" s="150">
        <v>297</v>
      </c>
      <c r="B302" s="10" t="s">
        <v>1131</v>
      </c>
      <c r="C302">
        <v>0</v>
      </c>
      <c r="E302" s="10" t="s">
        <v>1627</v>
      </c>
      <c r="F302" s="151">
        <f>IF(ISNUMBER(Z61),Z61/SUM($I$43:$AI$71),0)</f>
        <v>5.6390814681770924E-3</v>
      </c>
    </row>
    <row r="303" spans="1:6" x14ac:dyDescent="0.25">
      <c r="A303" s="150">
        <v>298</v>
      </c>
      <c r="B303" s="10" t="s">
        <v>1132</v>
      </c>
      <c r="C303">
        <v>11104.574021484699</v>
      </c>
      <c r="E303" s="10" t="s">
        <v>1628</v>
      </c>
      <c r="F303" s="151">
        <f>IF(ISNUMBER(AA61),AA61/SUM($I$43:$AI$71),0)</f>
        <v>8.7499363495152603E-3</v>
      </c>
    </row>
    <row r="304" spans="1:6" x14ac:dyDescent="0.25">
      <c r="A304" s="150">
        <v>299</v>
      </c>
      <c r="B304" s="10" t="s">
        <v>1133</v>
      </c>
      <c r="C304">
        <v>0</v>
      </c>
      <c r="E304" s="10" t="s">
        <v>1629</v>
      </c>
      <c r="F304" s="151">
        <f>IF(ISNUMBER(AB61),AB61/SUM($I$43:$AI$71),0)</f>
        <v>8.3552549876876863E-3</v>
      </c>
    </row>
    <row r="305" spans="1:6" x14ac:dyDescent="0.25">
      <c r="A305" s="150">
        <v>300</v>
      </c>
      <c r="B305" s="10" t="s">
        <v>1134</v>
      </c>
      <c r="C305">
        <v>0</v>
      </c>
      <c r="E305" s="10" t="s">
        <v>1630</v>
      </c>
      <c r="F305" s="151">
        <f>IF(ISNUMBER(AC61),AC61/SUM($I$43:$AI$71),0)</f>
        <v>4.9725628690210407E-3</v>
      </c>
    </row>
    <row r="306" spans="1:6" x14ac:dyDescent="0.25">
      <c r="A306" s="150">
        <v>301</v>
      </c>
      <c r="B306" s="10" t="s">
        <v>731</v>
      </c>
      <c r="C306">
        <v>4242534.2891206704</v>
      </c>
      <c r="E306" s="10" t="s">
        <v>1631</v>
      </c>
      <c r="F306" s="151">
        <f>IF(ISNUMBER(AD61),AD61/SUM($I$43:$AI$71),0)</f>
        <v>1.892608664091357E-3</v>
      </c>
    </row>
    <row r="307" spans="1:6" x14ac:dyDescent="0.25">
      <c r="A307" s="150">
        <v>302</v>
      </c>
      <c r="B307" s="10" t="s">
        <v>732</v>
      </c>
      <c r="C307">
        <v>2641748.5985536599</v>
      </c>
      <c r="E307" s="10" t="s">
        <v>1632</v>
      </c>
      <c r="F307" s="151">
        <f>IF(ISNUMBER(AE61),AE61/SUM($I$43:$AI$71),0)</f>
        <v>3.8962842941152006E-4</v>
      </c>
    </row>
    <row r="308" spans="1:6" x14ac:dyDescent="0.25">
      <c r="A308" s="150">
        <v>303</v>
      </c>
      <c r="B308" s="10" t="s">
        <v>197</v>
      </c>
      <c r="C308">
        <v>13755901.682069801</v>
      </c>
      <c r="E308" s="10" t="s">
        <v>1633</v>
      </c>
      <c r="F308" s="151">
        <f>IF(ISNUMBER(AF61),AF61/SUM($I$43:$AI$71),0)</f>
        <v>0</v>
      </c>
    </row>
    <row r="309" spans="1:6" x14ac:dyDescent="0.25">
      <c r="A309" s="150">
        <v>304</v>
      </c>
      <c r="B309" s="10" t="s">
        <v>198</v>
      </c>
      <c r="C309">
        <v>10671287.451576199</v>
      </c>
      <c r="E309" s="10" t="s">
        <v>1634</v>
      </c>
      <c r="F309" s="151">
        <f>IF(ISNUMBER(AG61),AG61/SUM($I$43:$AI$71),0)</f>
        <v>0</v>
      </c>
    </row>
    <row r="310" spans="1:6" x14ac:dyDescent="0.25">
      <c r="A310" s="150">
        <v>305</v>
      </c>
      <c r="B310" s="10" t="s">
        <v>199</v>
      </c>
      <c r="C310">
        <v>13172693.163314801</v>
      </c>
      <c r="E310" s="10" t="s">
        <v>552</v>
      </c>
      <c r="F310" s="151">
        <f>IF(ISNUMBER(I62),I62/SUM($I$43:$AI$71),0)</f>
        <v>1.2954852991765322E-4</v>
      </c>
    </row>
    <row r="311" spans="1:6" x14ac:dyDescent="0.25">
      <c r="A311" s="150">
        <v>306</v>
      </c>
      <c r="B311" s="10" t="s">
        <v>200</v>
      </c>
      <c r="C311">
        <v>12290171.678927399</v>
      </c>
      <c r="E311" s="10" t="s">
        <v>553</v>
      </c>
      <c r="F311" s="151">
        <f>IF(ISNUMBER(J62),J62/SUM($I$43:$AI$71),0)</f>
        <v>3.9344308295314028E-4</v>
      </c>
    </row>
    <row r="312" spans="1:6" x14ac:dyDescent="0.25">
      <c r="A312" s="150">
        <v>307</v>
      </c>
      <c r="B312" s="10" t="s">
        <v>201</v>
      </c>
      <c r="C312">
        <v>8288298.3491969099</v>
      </c>
      <c r="E312" s="10" t="s">
        <v>554</v>
      </c>
      <c r="F312" s="151">
        <f>IF(ISNUMBER(K62),K62/SUM($I$43:$AI$71),0)</f>
        <v>1.5091040075099174E-3</v>
      </c>
    </row>
    <row r="313" spans="1:6" x14ac:dyDescent="0.25">
      <c r="A313" s="150">
        <v>308</v>
      </c>
      <c r="B313" s="10" t="s">
        <v>202</v>
      </c>
      <c r="C313">
        <v>7476522.8249769202</v>
      </c>
      <c r="E313" s="10" t="s">
        <v>555</v>
      </c>
      <c r="F313" s="151">
        <f>IF(ISNUMBER(L62),L62/SUM($I$43:$AI$71),0)</f>
        <v>3.6871699334271929E-3</v>
      </c>
    </row>
    <row r="314" spans="1:6" x14ac:dyDescent="0.25">
      <c r="A314" s="150">
        <v>309</v>
      </c>
      <c r="B314" s="10" t="s">
        <v>203</v>
      </c>
      <c r="C314">
        <v>3145277.8996191001</v>
      </c>
      <c r="E314" s="10" t="s">
        <v>556</v>
      </c>
      <c r="F314" s="151">
        <f>IF(ISNUMBER(M62),M62/SUM($I$43:$AI$71),0)</f>
        <v>4.1427335494519987E-3</v>
      </c>
    </row>
    <row r="315" spans="1:6" x14ac:dyDescent="0.25">
      <c r="A315" s="150">
        <v>310</v>
      </c>
      <c r="B315" s="10" t="s">
        <v>204</v>
      </c>
      <c r="C315">
        <v>2413214.2578700799</v>
      </c>
      <c r="E315" s="10" t="s">
        <v>557</v>
      </c>
      <c r="F315" s="151">
        <f>IF(ISNUMBER(N62),N62/SUM($I$43:$AI$71),0)</f>
        <v>2.6829471953764678E-3</v>
      </c>
    </row>
    <row r="316" spans="1:6" x14ac:dyDescent="0.25">
      <c r="A316" s="150">
        <v>311</v>
      </c>
      <c r="B316" s="10" t="s">
        <v>205</v>
      </c>
      <c r="C316">
        <v>212854.045819819</v>
      </c>
      <c r="E316" s="10" t="s">
        <v>558</v>
      </c>
      <c r="F316" s="151">
        <f>IF(ISNUMBER(O62),O62/SUM($I$43:$AI$71),0)</f>
        <v>1.1147518014607812E-3</v>
      </c>
    </row>
    <row r="317" spans="1:6" x14ac:dyDescent="0.25">
      <c r="A317" s="150">
        <v>312</v>
      </c>
      <c r="B317" s="10" t="s">
        <v>206</v>
      </c>
      <c r="C317">
        <v>118957.806077152</v>
      </c>
      <c r="E317" s="10" t="s">
        <v>559</v>
      </c>
      <c r="F317" s="151">
        <f>IF(ISNUMBER(P62),P62/SUM($I$43:$AI$71),0)</f>
        <v>2.8106389940274457E-4</v>
      </c>
    </row>
    <row r="318" spans="1:6" x14ac:dyDescent="0.25">
      <c r="A318" s="150">
        <v>313</v>
      </c>
      <c r="B318" s="10" t="s">
        <v>207</v>
      </c>
      <c r="C318">
        <v>0</v>
      </c>
      <c r="E318" s="10" t="s">
        <v>560</v>
      </c>
      <c r="F318" s="151">
        <f>IF(ISNUMBER(Q62),Q62/SUM($I$43:$AI$71),0)</f>
        <v>0</v>
      </c>
    </row>
    <row r="319" spans="1:6" x14ac:dyDescent="0.25">
      <c r="A319" s="150">
        <v>314</v>
      </c>
      <c r="B319" s="10" t="s">
        <v>208</v>
      </c>
      <c r="C319">
        <v>0</v>
      </c>
      <c r="E319" s="10" t="s">
        <v>561</v>
      </c>
      <c r="F319" s="151">
        <f>IF(ISNUMBER(R62),R62/SUM($I$43:$AI$71),0)</f>
        <v>0</v>
      </c>
    </row>
    <row r="320" spans="1:6" x14ac:dyDescent="0.25">
      <c r="A320" s="150">
        <v>315</v>
      </c>
      <c r="B320" s="10" t="s">
        <v>209</v>
      </c>
      <c r="C320">
        <v>0</v>
      </c>
      <c r="E320" s="10" t="s">
        <v>562</v>
      </c>
      <c r="F320" s="151">
        <f>IF(ISNUMBER(S62),S62/SUM($I$43:$AI$71),0)</f>
        <v>0</v>
      </c>
    </row>
    <row r="321" spans="1:6" x14ac:dyDescent="0.25">
      <c r="A321" s="150">
        <v>316</v>
      </c>
      <c r="B321" s="10" t="s">
        <v>210</v>
      </c>
      <c r="C321">
        <v>15458.2065585935</v>
      </c>
      <c r="E321" s="10" t="s">
        <v>563</v>
      </c>
      <c r="F321" s="151">
        <f>IF(ISNUMBER(T62),T62/SUM($I$43:$AI$71),0)</f>
        <v>0</v>
      </c>
    </row>
    <row r="322" spans="1:6" x14ac:dyDescent="0.25">
      <c r="A322" s="150">
        <v>317</v>
      </c>
      <c r="B322" s="10" t="s">
        <v>211</v>
      </c>
      <c r="C322">
        <v>0</v>
      </c>
      <c r="E322" s="10" t="s">
        <v>564</v>
      </c>
      <c r="F322" s="151">
        <f>IF(ISNUMBER(U62),U62/SUM($I$43:$AI$71),0)</f>
        <v>0</v>
      </c>
    </row>
    <row r="323" spans="1:6" x14ac:dyDescent="0.25">
      <c r="A323" s="150">
        <v>318</v>
      </c>
      <c r="B323" s="10" t="s">
        <v>212</v>
      </c>
      <c r="C323">
        <v>0</v>
      </c>
      <c r="E323" s="10" t="s">
        <v>1635</v>
      </c>
      <c r="F323" s="151">
        <f>IF(ISNUMBER(V62),V62/SUM($I$43:$AI$71),0)</f>
        <v>0</v>
      </c>
    </row>
    <row r="324" spans="1:6" x14ac:dyDescent="0.25">
      <c r="A324" s="150">
        <v>319</v>
      </c>
      <c r="B324" s="10" t="s">
        <v>213</v>
      </c>
      <c r="C324">
        <v>0</v>
      </c>
      <c r="E324" s="10" t="s">
        <v>1636</v>
      </c>
      <c r="F324" s="151">
        <f>IF(ISNUMBER(W62),W62/SUM($I$43:$AI$71),0)</f>
        <v>0</v>
      </c>
    </row>
    <row r="325" spans="1:6" x14ac:dyDescent="0.25">
      <c r="A325" s="150">
        <v>320</v>
      </c>
      <c r="B325" s="10" t="s">
        <v>214</v>
      </c>
      <c r="C325">
        <v>0</v>
      </c>
      <c r="E325" s="10" t="s">
        <v>1637</v>
      </c>
      <c r="F325" s="151">
        <f>IF(ISNUMBER(X62),X62/SUM($I$43:$AI$71),0)</f>
        <v>0</v>
      </c>
    </row>
    <row r="326" spans="1:6" x14ac:dyDescent="0.25">
      <c r="A326" s="150">
        <v>321</v>
      </c>
      <c r="B326" s="10" t="s">
        <v>215</v>
      </c>
      <c r="C326">
        <v>61815.828239258401</v>
      </c>
      <c r="E326" s="10" t="s">
        <v>1638</v>
      </c>
      <c r="F326" s="151">
        <f>IF(ISNUMBER(Y62),Y62/SUM($I$43:$AI$71),0)</f>
        <v>0</v>
      </c>
    </row>
    <row r="327" spans="1:6" x14ac:dyDescent="0.25">
      <c r="A327" s="150">
        <v>322</v>
      </c>
      <c r="B327" s="10" t="s">
        <v>216</v>
      </c>
      <c r="C327">
        <v>56711.391297850801</v>
      </c>
      <c r="E327" s="10" t="s">
        <v>1639</v>
      </c>
      <c r="F327" s="151">
        <f>IF(ISNUMBER(Z62),Z62/SUM($I$43:$AI$71),0)</f>
        <v>1.3900252809546821E-3</v>
      </c>
    </row>
    <row r="328" spans="1:6" x14ac:dyDescent="0.25">
      <c r="A328" s="150">
        <v>323</v>
      </c>
      <c r="B328" s="10" t="s">
        <v>733</v>
      </c>
      <c r="C328">
        <v>3877730.7864737501</v>
      </c>
      <c r="E328" s="10" t="s">
        <v>1640</v>
      </c>
      <c r="F328" s="151">
        <f>IF(ISNUMBER(AA62),AA62/SUM($I$43:$AI$71),0)</f>
        <v>3.169612696932409E-3</v>
      </c>
    </row>
    <row r="329" spans="1:6" x14ac:dyDescent="0.25">
      <c r="A329" s="150">
        <v>324</v>
      </c>
      <c r="B329" s="10" t="s">
        <v>734</v>
      </c>
      <c r="C329">
        <v>3814944.8652329398</v>
      </c>
      <c r="E329" s="10" t="s">
        <v>1641</v>
      </c>
      <c r="F329" s="151">
        <f>IF(ISNUMBER(AB62),AB62/SUM($I$43:$AI$71),0)</f>
        <v>4.4354460380220525E-3</v>
      </c>
    </row>
    <row r="330" spans="1:6" x14ac:dyDescent="0.25">
      <c r="A330" s="150">
        <v>325</v>
      </c>
      <c r="B330" s="10" t="s">
        <v>735</v>
      </c>
      <c r="C330">
        <v>17219417.833521798</v>
      </c>
      <c r="E330" s="10" t="s">
        <v>1642</v>
      </c>
      <c r="F330" s="151">
        <f>IF(ISNUMBER(AC62),AC62/SUM($I$43:$AI$71),0)</f>
        <v>3.9371310152882949E-3</v>
      </c>
    </row>
    <row r="331" spans="1:6" x14ac:dyDescent="0.25">
      <c r="A331" s="150">
        <v>326</v>
      </c>
      <c r="B331" s="10" t="s">
        <v>736</v>
      </c>
      <c r="C331">
        <v>15433377.757129701</v>
      </c>
      <c r="E331" s="10" t="s">
        <v>1643</v>
      </c>
      <c r="F331" s="151">
        <f>IF(ISNUMBER(AD62),AD62/SUM($I$43:$AI$71),0)</f>
        <v>2.2320242365799141E-3</v>
      </c>
    </row>
    <row r="332" spans="1:6" x14ac:dyDescent="0.25">
      <c r="A332" s="150">
        <v>327</v>
      </c>
      <c r="B332" s="10" t="s">
        <v>1033</v>
      </c>
      <c r="C332">
        <v>32580910.919980999</v>
      </c>
      <c r="E332" s="10" t="s">
        <v>1644</v>
      </c>
      <c r="F332" s="151">
        <f>IF(ISNUMBER(AE62),AE62/SUM($I$43:$AI$71),0)</f>
        <v>7.7440134358874228E-4</v>
      </c>
    </row>
    <row r="333" spans="1:6" x14ac:dyDescent="0.25">
      <c r="A333" s="150">
        <v>328</v>
      </c>
      <c r="B333" s="10" t="s">
        <v>1034</v>
      </c>
      <c r="C333">
        <v>28823481.824493401</v>
      </c>
      <c r="E333" s="10" t="s">
        <v>1645</v>
      </c>
      <c r="F333" s="151">
        <f>IF(ISNUMBER(AF62),AF62/SUM($I$43:$AI$71),0)</f>
        <v>0</v>
      </c>
    </row>
    <row r="334" spans="1:6" x14ac:dyDescent="0.25">
      <c r="A334" s="150">
        <v>329</v>
      </c>
      <c r="B334" s="10" t="s">
        <v>1035</v>
      </c>
      <c r="C334">
        <v>29399983.4087658</v>
      </c>
      <c r="E334" s="10" t="s">
        <v>1646</v>
      </c>
      <c r="F334" s="151">
        <f>IF(ISNUMBER(AG62),AG62/SUM($I$43:$AI$71),0)</f>
        <v>0</v>
      </c>
    </row>
    <row r="335" spans="1:6" x14ac:dyDescent="0.25">
      <c r="A335" s="150">
        <v>330</v>
      </c>
      <c r="B335" s="10" t="s">
        <v>1036</v>
      </c>
      <c r="C335">
        <v>28160765.2772865</v>
      </c>
      <c r="E335" s="10" t="s">
        <v>1647</v>
      </c>
      <c r="F335" s="151">
        <f>IF(ISNUMBER(AH62),AH62/SUM($I$43:$AI$71),0)</f>
        <v>0</v>
      </c>
    </row>
    <row r="336" spans="1:6" x14ac:dyDescent="0.25">
      <c r="A336" s="150">
        <v>331</v>
      </c>
      <c r="B336" s="10" t="s">
        <v>1037</v>
      </c>
      <c r="C336">
        <v>13869162.860620501</v>
      </c>
      <c r="E336" s="10" t="s">
        <v>565</v>
      </c>
      <c r="F336" s="151">
        <f>IF(ISNUMBER(I63),I63/SUM($I$43:$AI$71),0)</f>
        <v>1.0171820989707489E-4</v>
      </c>
    </row>
    <row r="337" spans="1:6" x14ac:dyDescent="0.25">
      <c r="A337" s="150">
        <v>332</v>
      </c>
      <c r="B337" s="10" t="s">
        <v>1038</v>
      </c>
      <c r="C337">
        <v>13398018.872395501</v>
      </c>
      <c r="E337" s="10" t="s">
        <v>566</v>
      </c>
      <c r="F337" s="151">
        <f>IF(ISNUMBER(J63),J63/SUM($I$43:$AI$71),0)</f>
        <v>3.1108630676399834E-4</v>
      </c>
    </row>
    <row r="338" spans="1:6" x14ac:dyDescent="0.25">
      <c r="A338" s="150">
        <v>333</v>
      </c>
      <c r="B338" s="10" t="s">
        <v>1135</v>
      </c>
      <c r="C338">
        <v>2356317.57112455</v>
      </c>
      <c r="E338" s="10" t="s">
        <v>567</v>
      </c>
      <c r="F338" s="151">
        <f>IF(ISNUMBER(K63),K63/SUM($I$43:$AI$71),0)</f>
        <v>9.7521837130980986E-4</v>
      </c>
    </row>
    <row r="339" spans="1:6" x14ac:dyDescent="0.25">
      <c r="A339" s="150">
        <v>334</v>
      </c>
      <c r="B339" s="10" t="s">
        <v>1136</v>
      </c>
      <c r="C339">
        <v>2255952.1691952902</v>
      </c>
      <c r="E339" s="10" t="s">
        <v>568</v>
      </c>
      <c r="F339" s="151">
        <f>IF(ISNUMBER(L63),L63/SUM($I$43:$AI$71),0)</f>
        <v>2.240260335362019E-3</v>
      </c>
    </row>
    <row r="340" spans="1:6" x14ac:dyDescent="0.25">
      <c r="A340" s="150">
        <v>335</v>
      </c>
      <c r="B340" s="10" t="s">
        <v>1137</v>
      </c>
      <c r="C340">
        <v>29731.756133791099</v>
      </c>
      <c r="E340" s="10" t="s">
        <v>569</v>
      </c>
      <c r="F340" s="151">
        <f>IF(ISNUMBER(M63),M63/SUM($I$43:$AI$71),0)</f>
        <v>2.9996969819320093E-3</v>
      </c>
    </row>
    <row r="341" spans="1:6" x14ac:dyDescent="0.25">
      <c r="A341" s="150">
        <v>336</v>
      </c>
      <c r="B341" s="10" t="s">
        <v>1138</v>
      </c>
      <c r="C341">
        <v>0</v>
      </c>
      <c r="E341" s="10" t="s">
        <v>570</v>
      </c>
      <c r="F341" s="151">
        <f>IF(ISNUMBER(N63),N63/SUM($I$43:$AI$71),0)</f>
        <v>2.3154143047536993E-3</v>
      </c>
    </row>
    <row r="342" spans="1:6" x14ac:dyDescent="0.25">
      <c r="A342" s="150">
        <v>337</v>
      </c>
      <c r="B342" s="10" t="s">
        <v>1139</v>
      </c>
      <c r="C342">
        <v>0</v>
      </c>
      <c r="E342" s="10" t="s">
        <v>571</v>
      </c>
      <c r="F342" s="151">
        <f>IF(ISNUMBER(O63),O63/SUM($I$43:$AI$71),0)</f>
        <v>1.0946961332516888E-3</v>
      </c>
    </row>
    <row r="343" spans="1:6" x14ac:dyDescent="0.25">
      <c r="A343" s="150">
        <v>338</v>
      </c>
      <c r="B343" s="10" t="s">
        <v>1140</v>
      </c>
      <c r="C343">
        <v>8116.9043085938301</v>
      </c>
      <c r="E343" s="164" t="s">
        <v>572</v>
      </c>
      <c r="F343" s="151">
        <f>IF(ISNUMBER(P63),P63/SUM($I$43:$AI$71),0)</f>
        <v>3.123300469758422E-4</v>
      </c>
    </row>
    <row r="344" spans="1:6" x14ac:dyDescent="0.25">
      <c r="A344" s="150">
        <v>339</v>
      </c>
      <c r="B344" s="10" t="s">
        <v>737</v>
      </c>
      <c r="C344">
        <v>11782217.1361771</v>
      </c>
      <c r="E344" s="164" t="s">
        <v>573</v>
      </c>
      <c r="F344" s="151">
        <f>IF(ISNUMBER(Q63),Q63/SUM($I$43:$AI$71),0)</f>
        <v>0</v>
      </c>
    </row>
    <row r="345" spans="1:6" x14ac:dyDescent="0.25">
      <c r="A345" s="150">
        <v>340</v>
      </c>
      <c r="B345" s="10" t="s">
        <v>738</v>
      </c>
      <c r="C345">
        <v>7804314.6155714998</v>
      </c>
      <c r="E345" s="164" t="s">
        <v>574</v>
      </c>
      <c r="F345" s="151">
        <f>IF(ISNUMBER(R63),R63/SUM($I$43:$AI$71),0)</f>
        <v>0</v>
      </c>
    </row>
    <row r="346" spans="1:6" x14ac:dyDescent="0.25">
      <c r="A346" s="150">
        <v>341</v>
      </c>
      <c r="B346" s="10" t="s">
        <v>217</v>
      </c>
      <c r="C346">
        <v>38527488.371414199</v>
      </c>
      <c r="E346" s="164" t="s">
        <v>575</v>
      </c>
      <c r="F346" s="151">
        <f>IF(ISNUMBER(S63),S63/SUM($I$43:$AI$71),0)</f>
        <v>0</v>
      </c>
    </row>
    <row r="347" spans="1:6" x14ac:dyDescent="0.25">
      <c r="A347" s="150">
        <v>342</v>
      </c>
      <c r="B347" s="10" t="s">
        <v>218</v>
      </c>
      <c r="C347">
        <v>30622118.0304222</v>
      </c>
      <c r="E347" s="164" t="s">
        <v>576</v>
      </c>
      <c r="F347" s="151">
        <f>IF(ISNUMBER(T63),T63/SUM($I$43:$AI$71),0)</f>
        <v>0</v>
      </c>
    </row>
    <row r="348" spans="1:6" x14ac:dyDescent="0.25">
      <c r="A348" s="150">
        <v>343</v>
      </c>
      <c r="B348" s="10" t="s">
        <v>219</v>
      </c>
      <c r="C348">
        <v>52603334.390716597</v>
      </c>
      <c r="E348" s="164" t="s">
        <v>577</v>
      </c>
      <c r="F348" s="151">
        <f>IF(ISNUMBER(U63),U63/SUM($I$43:$AI$71),0)</f>
        <v>0</v>
      </c>
    </row>
    <row r="349" spans="1:6" x14ac:dyDescent="0.25">
      <c r="A349" s="150">
        <v>344</v>
      </c>
      <c r="B349" s="10" t="s">
        <v>220</v>
      </c>
      <c r="C349">
        <v>50177464.516616799</v>
      </c>
      <c r="E349" s="10" t="s">
        <v>1648</v>
      </c>
      <c r="F349" s="151">
        <f>IF(ISNUMBER(V63),V63/SUM($I$43:$AI$71),0)</f>
        <v>0</v>
      </c>
    </row>
    <row r="350" spans="1:6" x14ac:dyDescent="0.25">
      <c r="A350" s="150">
        <v>345</v>
      </c>
      <c r="B350" s="10" t="s">
        <v>221</v>
      </c>
      <c r="C350">
        <v>42192140.729713403</v>
      </c>
      <c r="E350" s="10" t="s">
        <v>1649</v>
      </c>
      <c r="F350" s="151">
        <f>IF(ISNUMBER(W63),W63/SUM($I$43:$AI$71),0)</f>
        <v>0</v>
      </c>
    </row>
    <row r="351" spans="1:6" x14ac:dyDescent="0.25">
      <c r="A351" s="150">
        <v>346</v>
      </c>
      <c r="B351" s="10" t="s">
        <v>222</v>
      </c>
      <c r="C351">
        <v>37169585.712684602</v>
      </c>
      <c r="E351" s="10" t="s">
        <v>1650</v>
      </c>
      <c r="F351" s="151">
        <f>IF(ISNUMBER(X63),X63/SUM($I$43:$AI$71),0)</f>
        <v>0</v>
      </c>
    </row>
    <row r="352" spans="1:6" x14ac:dyDescent="0.25">
      <c r="A352" s="150">
        <v>347</v>
      </c>
      <c r="B352" s="10" t="s">
        <v>223</v>
      </c>
      <c r="C352">
        <v>19430814.3011255</v>
      </c>
      <c r="E352" s="10" t="s">
        <v>1651</v>
      </c>
      <c r="F352" s="151">
        <f>IF(ISNUMBER(Y63),Y63/SUM($I$43:$AI$71),0)</f>
        <v>0</v>
      </c>
    </row>
    <row r="353" spans="1:6" x14ac:dyDescent="0.25">
      <c r="A353" s="150">
        <v>348</v>
      </c>
      <c r="B353" s="10" t="s">
        <v>224</v>
      </c>
      <c r="C353">
        <v>14854792.9114046</v>
      </c>
      <c r="E353" s="10" t="s">
        <v>1652</v>
      </c>
      <c r="F353" s="151">
        <f>IF(ISNUMBER(Z63),Z63/SUM($I$43:$AI$71),0)</f>
        <v>4.4070068704181589E-4</v>
      </c>
    </row>
    <row r="354" spans="1:6" x14ac:dyDescent="0.25">
      <c r="A354" s="150">
        <v>349</v>
      </c>
      <c r="B354" s="10" t="s">
        <v>225</v>
      </c>
      <c r="C354">
        <v>4424630.8446252299</v>
      </c>
      <c r="E354" s="10" t="s">
        <v>1653</v>
      </c>
      <c r="F354" s="151">
        <f>IF(ISNUMBER(AA63),AA63/SUM($I$43:$AI$71),0)</f>
        <v>1.8624637060825019E-3</v>
      </c>
    </row>
    <row r="355" spans="1:6" x14ac:dyDescent="0.25">
      <c r="A355" s="150">
        <v>350</v>
      </c>
      <c r="B355" s="10" t="s">
        <v>226</v>
      </c>
      <c r="C355">
        <v>3775534.6055152402</v>
      </c>
      <c r="E355" s="10" t="s">
        <v>1654</v>
      </c>
      <c r="F355" s="151">
        <f>IF(ISNUMBER(AB63),AB63/SUM($I$43:$AI$71),0)</f>
        <v>4.0800093153346758E-3</v>
      </c>
    </row>
    <row r="356" spans="1:6" x14ac:dyDescent="0.25">
      <c r="A356" s="150">
        <v>351</v>
      </c>
      <c r="B356" s="10" t="s">
        <v>227</v>
      </c>
      <c r="C356">
        <v>249415.63377051099</v>
      </c>
      <c r="E356" s="10" t="s">
        <v>1655</v>
      </c>
      <c r="F356" s="151">
        <f>IF(ISNUMBER(AC63),AC63/SUM($I$43:$AI$71),0)</f>
        <v>5.3666883218225258E-3</v>
      </c>
    </row>
    <row r="357" spans="1:6" x14ac:dyDescent="0.25">
      <c r="A357" s="150">
        <v>352</v>
      </c>
      <c r="B357" s="10" t="s">
        <v>228</v>
      </c>
      <c r="C357">
        <v>293507.94633984601</v>
      </c>
      <c r="E357" s="10" t="s">
        <v>1656</v>
      </c>
      <c r="F357" s="151">
        <f>IF(ISNUMBER(AD63),AD63/SUM($I$43:$AI$71),0)</f>
        <v>4.5901072443495861E-3</v>
      </c>
    </row>
    <row r="358" spans="1:6" x14ac:dyDescent="0.25">
      <c r="A358" s="150">
        <v>353</v>
      </c>
      <c r="B358" s="10" t="s">
        <v>229</v>
      </c>
      <c r="C358">
        <v>0</v>
      </c>
      <c r="E358" s="10" t="s">
        <v>1657</v>
      </c>
      <c r="F358" s="151">
        <f>IF(ISNUMBER(AE63),AE63/SUM($I$43:$AI$71),0)</f>
        <v>2.5389644065473534E-3</v>
      </c>
    </row>
    <row r="359" spans="1:6" x14ac:dyDescent="0.25">
      <c r="A359" s="150">
        <v>354</v>
      </c>
      <c r="B359" s="10" t="s">
        <v>230</v>
      </c>
      <c r="C359">
        <v>5841.62909179693</v>
      </c>
      <c r="E359" s="10" t="s">
        <v>1658</v>
      </c>
      <c r="F359" s="151">
        <f>IF(ISNUMBER(AF63),AF63/SUM($I$43:$AI$71),0)</f>
        <v>9.4230758878680629E-4</v>
      </c>
    </row>
    <row r="360" spans="1:6" x14ac:dyDescent="0.25">
      <c r="A360" s="150">
        <v>355</v>
      </c>
      <c r="B360" s="10" t="s">
        <v>231</v>
      </c>
      <c r="C360">
        <v>0</v>
      </c>
      <c r="E360" s="10" t="s">
        <v>1659</v>
      </c>
      <c r="F360" s="151">
        <f>IF(ISNUMBER(AG63),AG63/SUM($I$43:$AI$71),0)</f>
        <v>1.9263779012558782E-4</v>
      </c>
    </row>
    <row r="361" spans="1:6" x14ac:dyDescent="0.25">
      <c r="A361" s="150">
        <v>356</v>
      </c>
      <c r="B361" s="10" t="s">
        <v>232</v>
      </c>
      <c r="C361">
        <v>0</v>
      </c>
      <c r="E361" s="10" t="s">
        <v>1660</v>
      </c>
      <c r="F361" s="151">
        <f>IF(ISNUMBER(AH63),AH63/SUM($I$43:$AI$71),0)</f>
        <v>0</v>
      </c>
    </row>
    <row r="362" spans="1:6" x14ac:dyDescent="0.25">
      <c r="A362" s="150">
        <v>357</v>
      </c>
      <c r="B362" s="10" t="s">
        <v>233</v>
      </c>
      <c r="C362">
        <v>0</v>
      </c>
      <c r="E362" s="10" t="s">
        <v>1661</v>
      </c>
      <c r="F362" s="151">
        <f>IF(ISNUMBER(AI63),AI63/SUM($I$43:$AI$71),0)</f>
        <v>0</v>
      </c>
    </row>
    <row r="363" spans="1:6" x14ac:dyDescent="0.25">
      <c r="A363" s="150">
        <v>358</v>
      </c>
      <c r="B363" s="10" t="s">
        <v>234</v>
      </c>
      <c r="C363">
        <v>0</v>
      </c>
      <c r="E363" s="10" t="s">
        <v>578</v>
      </c>
      <c r="F363" s="151">
        <f>IF(ISNUMBER(I64),I64/SUM($I$43:$AI$71),0)</f>
        <v>1.1001812113203084E-4</v>
      </c>
    </row>
    <row r="364" spans="1:6" x14ac:dyDescent="0.25">
      <c r="A364" s="150">
        <v>359</v>
      </c>
      <c r="B364" s="10" t="s">
        <v>235</v>
      </c>
      <c r="C364">
        <v>0</v>
      </c>
      <c r="E364" s="10" t="s">
        <v>579</v>
      </c>
      <c r="F364" s="151">
        <f>IF(ISNUMBER(J64),J64/SUM($I$43:$AI$71),0)</f>
        <v>2.9042966776213783E-4</v>
      </c>
    </row>
    <row r="365" spans="1:6" x14ac:dyDescent="0.25">
      <c r="A365" s="150">
        <v>360</v>
      </c>
      <c r="B365" s="10" t="s">
        <v>236</v>
      </c>
      <c r="C365">
        <v>0</v>
      </c>
      <c r="E365" s="10" t="s">
        <v>580</v>
      </c>
      <c r="F365" s="151">
        <f>IF(ISNUMBER(K64),K64/SUM($I$43:$AI$71),0)</f>
        <v>7.193142744693023E-4</v>
      </c>
    </row>
    <row r="366" spans="1:6" x14ac:dyDescent="0.25">
      <c r="A366" s="150">
        <v>361</v>
      </c>
      <c r="B366" s="10" t="s">
        <v>739</v>
      </c>
      <c r="C366">
        <v>423225.15924608702</v>
      </c>
      <c r="E366" s="10" t="s">
        <v>581</v>
      </c>
      <c r="F366" s="151">
        <f>IF(ISNUMBER(L64),L64/SUM($I$43:$AI$71),0)</f>
        <v>1.4678084434839773E-3</v>
      </c>
    </row>
    <row r="367" spans="1:6" x14ac:dyDescent="0.25">
      <c r="A367" s="150">
        <v>362</v>
      </c>
      <c r="B367" s="10" t="s">
        <v>740</v>
      </c>
      <c r="C367">
        <v>371339.67054346198</v>
      </c>
      <c r="E367" s="10" t="s">
        <v>582</v>
      </c>
      <c r="F367" s="151">
        <f>IF(ISNUMBER(M64),M64/SUM($I$43:$AI$71),0)</f>
        <v>2.0648431587963092E-3</v>
      </c>
    </row>
    <row r="368" spans="1:6" x14ac:dyDescent="0.25">
      <c r="A368" s="150">
        <v>363</v>
      </c>
      <c r="B368" s="10" t="s">
        <v>741</v>
      </c>
      <c r="C368">
        <v>7696928.67195749</v>
      </c>
      <c r="E368" s="10" t="s">
        <v>583</v>
      </c>
      <c r="F368" s="151">
        <f>IF(ISNUMBER(N64),N64/SUM($I$43:$AI$71),0)</f>
        <v>1.8122085425962774E-3</v>
      </c>
    </row>
    <row r="369" spans="1:6" x14ac:dyDescent="0.25">
      <c r="A369" s="150">
        <v>364</v>
      </c>
      <c r="B369" s="10" t="s">
        <v>742</v>
      </c>
      <c r="C369">
        <v>6872995.8350830097</v>
      </c>
      <c r="E369" s="10" t="s">
        <v>584</v>
      </c>
      <c r="F369" s="151">
        <f>IF(ISNUMBER(O64),O64/SUM($I$43:$AI$71),0)</f>
        <v>1.0506024627608948E-3</v>
      </c>
    </row>
    <row r="370" spans="1:6" x14ac:dyDescent="0.25">
      <c r="A370" s="150">
        <v>365</v>
      </c>
      <c r="B370" s="10" t="s">
        <v>1039</v>
      </c>
      <c r="C370">
        <v>24838719.052349102</v>
      </c>
      <c r="E370" s="10" t="s">
        <v>585</v>
      </c>
      <c r="F370" s="151">
        <f>IF(ISNUMBER(P64),P64/SUM($I$43:$AI$71),0)</f>
        <v>3.4457508498416734E-4</v>
      </c>
    </row>
    <row r="371" spans="1:6" x14ac:dyDescent="0.25">
      <c r="A371" s="150">
        <v>366</v>
      </c>
      <c r="B371" s="10" t="s">
        <v>1040</v>
      </c>
      <c r="C371">
        <v>22745665.288505599</v>
      </c>
      <c r="E371" s="10" t="s">
        <v>586</v>
      </c>
      <c r="F371" s="151">
        <f>IF(ISNUMBER(Q64),Q64/SUM($I$43:$AI$71),0)</f>
        <v>0</v>
      </c>
    </row>
    <row r="372" spans="1:6" x14ac:dyDescent="0.25">
      <c r="A372" s="150">
        <v>367</v>
      </c>
      <c r="B372" s="10" t="s">
        <v>1041</v>
      </c>
      <c r="C372">
        <v>38197082.630020097</v>
      </c>
      <c r="E372" s="10" t="s">
        <v>587</v>
      </c>
      <c r="F372" s="151">
        <f>IF(ISNUMBER(R64),R64/SUM($I$43:$AI$71),0)</f>
        <v>0</v>
      </c>
    </row>
    <row r="373" spans="1:6" x14ac:dyDescent="0.25">
      <c r="A373" s="150">
        <v>368</v>
      </c>
      <c r="B373" s="10" t="s">
        <v>1042</v>
      </c>
      <c r="C373">
        <v>36552644.163183197</v>
      </c>
      <c r="E373" s="10" t="s">
        <v>588</v>
      </c>
      <c r="F373" s="151">
        <f>IF(ISNUMBER(S64),S64/SUM($I$43:$AI$71),0)</f>
        <v>0</v>
      </c>
    </row>
    <row r="374" spans="1:6" x14ac:dyDescent="0.25">
      <c r="A374" s="150">
        <v>369</v>
      </c>
      <c r="B374" s="10" t="s">
        <v>1141</v>
      </c>
      <c r="C374">
        <v>29998410.417730302</v>
      </c>
      <c r="E374" s="10" t="s">
        <v>589</v>
      </c>
      <c r="F374" s="151">
        <f>IF(ISNUMBER(T64),T64/SUM($I$43:$AI$71),0)</f>
        <v>0</v>
      </c>
    </row>
    <row r="375" spans="1:6" x14ac:dyDescent="0.25">
      <c r="A375" s="150">
        <v>370</v>
      </c>
      <c r="B375" s="10" t="s">
        <v>1142</v>
      </c>
      <c r="C375">
        <v>29792529.231502499</v>
      </c>
      <c r="E375" s="10" t="s">
        <v>1662</v>
      </c>
      <c r="F375" s="151">
        <f>IF(ISNUMBER(U64),U64/SUM($I$43:$AI$71),0)</f>
        <v>0</v>
      </c>
    </row>
    <row r="376" spans="1:6" x14ac:dyDescent="0.25">
      <c r="A376" s="150">
        <v>371</v>
      </c>
      <c r="B376" s="10" t="s">
        <v>1143</v>
      </c>
      <c r="C376">
        <v>13322246.702178</v>
      </c>
      <c r="E376" s="10" t="s">
        <v>1663</v>
      </c>
      <c r="F376" s="151">
        <f>IF(ISNUMBER(V64),V64/SUM($I$43:$AI$71),0)</f>
        <v>0</v>
      </c>
    </row>
    <row r="377" spans="1:6" x14ac:dyDescent="0.25">
      <c r="A377" s="150">
        <v>372</v>
      </c>
      <c r="B377" s="10" t="s">
        <v>1144</v>
      </c>
      <c r="C377">
        <v>12226413.448148699</v>
      </c>
      <c r="E377" s="10" t="s">
        <v>1664</v>
      </c>
      <c r="F377" s="151">
        <f>IF(ISNUMBER(W64),W64/SUM($I$43:$AI$71),0)</f>
        <v>0</v>
      </c>
    </row>
    <row r="378" spans="1:6" x14ac:dyDescent="0.25">
      <c r="A378" s="150">
        <v>373</v>
      </c>
      <c r="B378" s="10" t="s">
        <v>1145</v>
      </c>
      <c r="C378">
        <v>2228694.4281328898</v>
      </c>
      <c r="E378" s="10" t="s">
        <v>1665</v>
      </c>
      <c r="F378" s="151">
        <f>IF(ISNUMBER(X64),X64/SUM($I$43:$AI$71),0)</f>
        <v>0</v>
      </c>
    </row>
    <row r="379" spans="1:6" x14ac:dyDescent="0.25">
      <c r="A379" s="150">
        <v>374</v>
      </c>
      <c r="B379" s="10" t="s">
        <v>1146</v>
      </c>
      <c r="C379">
        <v>1676593.05540621</v>
      </c>
      <c r="E379" s="10" t="s">
        <v>1666</v>
      </c>
      <c r="F379" s="151">
        <f>IF(ISNUMBER(Y64),Y64/SUM($I$43:$AI$71),0)</f>
        <v>0</v>
      </c>
    </row>
    <row r="380" spans="1:6" x14ac:dyDescent="0.25">
      <c r="A380" s="150">
        <v>375</v>
      </c>
      <c r="B380" s="10" t="s">
        <v>1147</v>
      </c>
      <c r="C380">
        <v>13839.7485781256</v>
      </c>
      <c r="E380" s="10" t="s">
        <v>1667</v>
      </c>
      <c r="F380" s="151">
        <f>IF(ISNUMBER(Z64),Z64/SUM($I$43:$AI$71),0)</f>
        <v>0</v>
      </c>
    </row>
    <row r="381" spans="1:6" x14ac:dyDescent="0.25">
      <c r="A381" s="150">
        <v>376</v>
      </c>
      <c r="B381" s="10" t="s">
        <v>1148</v>
      </c>
      <c r="C381">
        <v>31557.0779384747</v>
      </c>
      <c r="E381" s="10" t="s">
        <v>1668</v>
      </c>
      <c r="F381" s="151">
        <f>IF(ISNUMBER(AA64),AA64/SUM($I$43:$AI$71),0)</f>
        <v>2.9328462107196891E-4</v>
      </c>
    </row>
    <row r="382" spans="1:6" x14ac:dyDescent="0.25">
      <c r="A382" s="150">
        <v>377</v>
      </c>
      <c r="B382" s="10" t="s">
        <v>1149</v>
      </c>
      <c r="C382">
        <v>0</v>
      </c>
      <c r="E382" s="10" t="s">
        <v>1669</v>
      </c>
      <c r="F382" s="151">
        <f>IF(ISNUMBER(AB64),AB64/SUM($I$43:$AI$71),0)</f>
        <v>1.1469867375822835E-3</v>
      </c>
    </row>
    <row r="383" spans="1:6" x14ac:dyDescent="0.25">
      <c r="A383" s="150">
        <v>378</v>
      </c>
      <c r="B383" s="10" t="s">
        <v>1150</v>
      </c>
      <c r="C383">
        <v>0</v>
      </c>
      <c r="E383" s="10" t="s">
        <v>1670</v>
      </c>
      <c r="F383" s="151">
        <f>IF(ISNUMBER(AC64),AC64/SUM($I$43:$AI$71),0)</f>
        <v>2.2557065354211103E-3</v>
      </c>
    </row>
    <row r="384" spans="1:6" x14ac:dyDescent="0.25">
      <c r="A384" s="150">
        <v>379</v>
      </c>
      <c r="B384" s="10" t="s">
        <v>743</v>
      </c>
      <c r="C384">
        <v>13879620.117591901</v>
      </c>
      <c r="E384" s="10" t="s">
        <v>1671</v>
      </c>
      <c r="F384" s="151">
        <f>IF(ISNUMBER(AD64),AD64/SUM($I$43:$AI$71),0)</f>
        <v>2.6654262416241051E-3</v>
      </c>
    </row>
    <row r="385" spans="1:6" x14ac:dyDescent="0.25">
      <c r="A385" s="150">
        <v>380</v>
      </c>
      <c r="B385" s="10" t="s">
        <v>744</v>
      </c>
      <c r="C385">
        <v>8319296.17315578</v>
      </c>
      <c r="E385" s="10" t="s">
        <v>1672</v>
      </c>
      <c r="F385" s="151">
        <f>IF(ISNUMBER(AE64),AE64/SUM($I$43:$AI$71),0)</f>
        <v>2.1236320773096321E-3</v>
      </c>
    </row>
    <row r="386" spans="1:6" x14ac:dyDescent="0.25">
      <c r="A386" s="150">
        <v>381</v>
      </c>
      <c r="B386" s="10" t="s">
        <v>237</v>
      </c>
      <c r="C386">
        <v>49608017.706138603</v>
      </c>
      <c r="E386" s="10" t="s">
        <v>1673</v>
      </c>
      <c r="F386" s="151">
        <f>IF(ISNUMBER(AF64),AF64/SUM($I$43:$AI$71),0)</f>
        <v>1.1411733458191436E-3</v>
      </c>
    </row>
    <row r="387" spans="1:6" x14ac:dyDescent="0.25">
      <c r="A387" s="150">
        <v>382</v>
      </c>
      <c r="B387" s="10" t="s">
        <v>238</v>
      </c>
      <c r="C387">
        <v>39791587.2337837</v>
      </c>
      <c r="E387" s="10" t="s">
        <v>1674</v>
      </c>
      <c r="F387" s="151">
        <f>IF(ISNUMBER(AG64),AG64/SUM($I$43:$AI$71),0)</f>
        <v>3.7534542467394707E-4</v>
      </c>
    </row>
    <row r="388" spans="1:6" x14ac:dyDescent="0.25">
      <c r="A388" s="150">
        <v>383</v>
      </c>
      <c r="B388" s="10" t="s">
        <v>239</v>
      </c>
      <c r="C388">
        <v>85955063.078796402</v>
      </c>
      <c r="E388" s="10" t="s">
        <v>1675</v>
      </c>
      <c r="F388" s="151">
        <f>IF(ISNUMBER(AH64),AH64/SUM($I$43:$AI$71),0)</f>
        <v>0</v>
      </c>
    </row>
    <row r="389" spans="1:6" x14ac:dyDescent="0.25">
      <c r="A389" s="150">
        <v>384</v>
      </c>
      <c r="B389" s="10" t="s">
        <v>240</v>
      </c>
      <c r="C389">
        <v>82609991.902107194</v>
      </c>
      <c r="E389" s="10" t="s">
        <v>1676</v>
      </c>
      <c r="F389" s="151">
        <f>IF(ISNUMBER(AI64),AI64/SUM($I$43:$AI$71),0)</f>
        <v>0</v>
      </c>
    </row>
    <row r="390" spans="1:6" x14ac:dyDescent="0.25">
      <c r="A390" s="150">
        <v>385</v>
      </c>
      <c r="B390" s="10" t="s">
        <v>241</v>
      </c>
      <c r="C390">
        <v>95475507.479324296</v>
      </c>
      <c r="E390" s="10" t="s">
        <v>590</v>
      </c>
      <c r="F390" s="151">
        <f>IF(ISNUMBER(I65),I65/SUM($I$43:$AI$71),0)</f>
        <v>0</v>
      </c>
    </row>
    <row r="391" spans="1:6" x14ac:dyDescent="0.25">
      <c r="A391" s="150">
        <v>386</v>
      </c>
      <c r="B391" s="10" t="s">
        <v>242</v>
      </c>
      <c r="C391">
        <v>85613342.720520005</v>
      </c>
      <c r="E391" s="10" t="s">
        <v>591</v>
      </c>
      <c r="F391" s="151">
        <f>IF(ISNUMBER(J65),J65/SUM($I$43:$AI$71),0)</f>
        <v>2.7449015394674729E-4</v>
      </c>
    </row>
    <row r="392" spans="1:6" x14ac:dyDescent="0.25">
      <c r="A392" s="150">
        <v>387</v>
      </c>
      <c r="B392" s="10" t="s">
        <v>243</v>
      </c>
      <c r="C392">
        <v>52021645.588180497</v>
      </c>
      <c r="E392" s="10" t="s">
        <v>592</v>
      </c>
      <c r="F392" s="151">
        <f>IF(ISNUMBER(K65),K65/SUM($I$43:$AI$71),0)</f>
        <v>5.2870615155366793E-4</v>
      </c>
    </row>
    <row r="393" spans="1:6" x14ac:dyDescent="0.25">
      <c r="A393" s="150">
        <v>388</v>
      </c>
      <c r="B393" s="10" t="s">
        <v>244</v>
      </c>
      <c r="C393">
        <v>40527749.439432099</v>
      </c>
      <c r="E393" s="10" t="s">
        <v>593</v>
      </c>
      <c r="F393" s="151">
        <f>IF(ISNUMBER(L65),L65/SUM($I$43:$AI$71),0)</f>
        <v>9.7799909261794913E-4</v>
      </c>
    </row>
    <row r="394" spans="1:6" x14ac:dyDescent="0.25">
      <c r="A394" s="150">
        <v>389</v>
      </c>
      <c r="B394" s="10" t="s">
        <v>245</v>
      </c>
      <c r="C394">
        <v>14675831.264108701</v>
      </c>
      <c r="E394" s="10" t="s">
        <v>594</v>
      </c>
      <c r="F394" s="151">
        <f>IF(ISNUMBER(M65),M65/SUM($I$43:$AI$71),0)</f>
        <v>1.2736869373216678E-3</v>
      </c>
    </row>
    <row r="395" spans="1:6" x14ac:dyDescent="0.25">
      <c r="A395" s="150">
        <v>390</v>
      </c>
      <c r="B395" s="10" t="s">
        <v>246</v>
      </c>
      <c r="C395">
        <v>12579861.9781141</v>
      </c>
      <c r="E395" s="10" t="s">
        <v>595</v>
      </c>
      <c r="F395" s="151">
        <f>IF(ISNUMBER(N65),N65/SUM($I$43:$AI$71),0)</f>
        <v>1.2561637116994329E-3</v>
      </c>
    </row>
    <row r="396" spans="1:6" x14ac:dyDescent="0.25">
      <c r="A396" s="150">
        <v>391</v>
      </c>
      <c r="B396" s="10" t="s">
        <v>247</v>
      </c>
      <c r="C396">
        <v>2338846.7594692698</v>
      </c>
      <c r="E396" s="10" t="s">
        <v>596</v>
      </c>
      <c r="F396" s="151">
        <f>IF(ISNUMBER(O65),O65/SUM($I$43:$AI$71),0)</f>
        <v>7.4681630868512626E-4</v>
      </c>
    </row>
    <row r="397" spans="1:6" x14ac:dyDescent="0.25">
      <c r="A397" s="150">
        <v>392</v>
      </c>
      <c r="B397" s="10" t="s">
        <v>248</v>
      </c>
      <c r="C397">
        <v>1984510.9793496099</v>
      </c>
      <c r="E397" s="10" t="s">
        <v>597</v>
      </c>
      <c r="F397" s="151">
        <f>IF(ISNUMBER(P65),P65/SUM($I$43:$AI$71),0)</f>
        <v>3.0760266775733605E-4</v>
      </c>
    </row>
    <row r="398" spans="1:6" x14ac:dyDescent="0.25">
      <c r="A398" s="150">
        <v>393</v>
      </c>
      <c r="B398" s="10" t="s">
        <v>249</v>
      </c>
      <c r="C398">
        <v>51343.9101069346</v>
      </c>
      <c r="E398" s="10" t="s">
        <v>598</v>
      </c>
      <c r="F398" s="151">
        <f>IF(ISNUMBER(Q65),Q65/SUM($I$43:$AI$71),0)</f>
        <v>0</v>
      </c>
    </row>
    <row r="399" spans="1:6" x14ac:dyDescent="0.25">
      <c r="A399" s="150">
        <v>394</v>
      </c>
      <c r="B399" s="10" t="s">
        <v>250</v>
      </c>
      <c r="C399">
        <v>36715.802424317197</v>
      </c>
      <c r="E399" s="10" t="s">
        <v>599</v>
      </c>
      <c r="F399" s="151">
        <f>IF(ISNUMBER(R65),R65/SUM($I$43:$AI$71),0)</f>
        <v>0</v>
      </c>
    </row>
    <row r="400" spans="1:6" x14ac:dyDescent="0.25">
      <c r="A400" s="150">
        <v>395</v>
      </c>
      <c r="B400" s="10" t="s">
        <v>251</v>
      </c>
      <c r="C400">
        <v>10277.7476923838</v>
      </c>
      <c r="E400" s="10" t="s">
        <v>600</v>
      </c>
      <c r="F400" s="151">
        <f>IF(ISNUMBER(S65),S65/SUM($I$43:$AI$71),0)</f>
        <v>0</v>
      </c>
    </row>
    <row r="401" spans="1:6" x14ac:dyDescent="0.25">
      <c r="A401" s="150">
        <v>396</v>
      </c>
      <c r="B401" s="10" t="s">
        <v>252</v>
      </c>
      <c r="C401">
        <v>15372.206857909399</v>
      </c>
      <c r="E401" s="10" t="s">
        <v>601</v>
      </c>
      <c r="F401" s="151">
        <f>IF(ISNUMBER(T65),T65/SUM($I$43:$AI$71),0)</f>
        <v>0</v>
      </c>
    </row>
    <row r="402" spans="1:6" x14ac:dyDescent="0.25">
      <c r="A402" s="150">
        <v>397</v>
      </c>
      <c r="B402" s="10" t="s">
        <v>253</v>
      </c>
      <c r="C402">
        <v>0</v>
      </c>
      <c r="E402" s="10" t="s">
        <v>1677</v>
      </c>
      <c r="F402" s="151">
        <f>IF(ISNUMBER(U65),U65/SUM($I$43:$AI$71),0)</f>
        <v>0</v>
      </c>
    </row>
    <row r="403" spans="1:6" x14ac:dyDescent="0.25">
      <c r="A403" s="150">
        <v>398</v>
      </c>
      <c r="B403" s="10" t="s">
        <v>254</v>
      </c>
      <c r="C403">
        <v>0</v>
      </c>
      <c r="E403" s="10" t="s">
        <v>1678</v>
      </c>
      <c r="F403" s="151">
        <f>IF(ISNUMBER(V65),V65/SUM($I$43:$AI$71),0)</f>
        <v>0</v>
      </c>
    </row>
    <row r="404" spans="1:6" x14ac:dyDescent="0.25">
      <c r="A404" s="150">
        <v>399</v>
      </c>
      <c r="B404" s="10" t="s">
        <v>255</v>
      </c>
      <c r="C404">
        <v>0</v>
      </c>
      <c r="E404" s="10" t="s">
        <v>1679</v>
      </c>
      <c r="F404" s="151">
        <f>IF(ISNUMBER(W65),W65/SUM($I$43:$AI$71),0)</f>
        <v>0</v>
      </c>
    </row>
    <row r="405" spans="1:6" x14ac:dyDescent="0.25">
      <c r="A405" s="150">
        <v>400</v>
      </c>
      <c r="B405" s="10" t="s">
        <v>256</v>
      </c>
      <c r="C405">
        <v>0</v>
      </c>
      <c r="E405" s="10" t="s">
        <v>1680</v>
      </c>
      <c r="F405" s="151">
        <f>IF(ISNUMBER(X65),X65/SUM($I$43:$AI$71),0)</f>
        <v>0</v>
      </c>
    </row>
    <row r="406" spans="1:6" x14ac:dyDescent="0.25">
      <c r="A406" s="150">
        <v>401</v>
      </c>
      <c r="B406" s="10" t="s">
        <v>257</v>
      </c>
      <c r="C406">
        <v>25131.202347656701</v>
      </c>
      <c r="E406" s="10" t="s">
        <v>1681</v>
      </c>
      <c r="F406" s="151">
        <f>IF(ISNUMBER(Y65),Y65/SUM($I$43:$AI$71),0)</f>
        <v>0</v>
      </c>
    </row>
    <row r="407" spans="1:6" x14ac:dyDescent="0.25">
      <c r="A407" s="150">
        <v>402</v>
      </c>
      <c r="B407" s="10" t="s">
        <v>258</v>
      </c>
      <c r="C407">
        <v>49341.758373044402</v>
      </c>
      <c r="E407" s="10" t="s">
        <v>1682</v>
      </c>
      <c r="F407" s="151">
        <f>IF(ISNUMBER(Z65),Z65/SUM($I$43:$AI$71),0)</f>
        <v>0</v>
      </c>
    </row>
    <row r="408" spans="1:6" x14ac:dyDescent="0.25">
      <c r="A408" s="150">
        <v>403</v>
      </c>
      <c r="B408" s="10" t="s">
        <v>745</v>
      </c>
      <c r="C408">
        <v>2827336.99762297</v>
      </c>
      <c r="E408" s="10" t="s">
        <v>1683</v>
      </c>
      <c r="F408" s="151">
        <f>IF(ISNUMBER(AA65),AA65/SUM($I$43:$AI$71),0)</f>
        <v>0</v>
      </c>
    </row>
    <row r="409" spans="1:6" x14ac:dyDescent="0.25">
      <c r="A409" s="150">
        <v>404</v>
      </c>
      <c r="B409" s="10" t="s">
        <v>746</v>
      </c>
      <c r="C409">
        <v>2287602.8662621998</v>
      </c>
      <c r="E409" s="10" t="s">
        <v>1684</v>
      </c>
      <c r="F409" s="151">
        <f>IF(ISNUMBER(AB65),AB65/SUM($I$43:$AI$71),0)</f>
        <v>2.8460540895644797E-4</v>
      </c>
    </row>
    <row r="410" spans="1:6" x14ac:dyDescent="0.25">
      <c r="A410" s="150">
        <v>405</v>
      </c>
      <c r="B410" s="10" t="s">
        <v>1043</v>
      </c>
      <c r="C410">
        <v>17410442.343584102</v>
      </c>
      <c r="E410" s="10" t="s">
        <v>1685</v>
      </c>
      <c r="F410" s="151">
        <f>IF(ISNUMBER(AC65),AC65/SUM($I$43:$AI$71),0)</f>
        <v>1.0975192533117285E-3</v>
      </c>
    </row>
    <row r="411" spans="1:6" x14ac:dyDescent="0.25">
      <c r="A411" s="150">
        <v>406</v>
      </c>
      <c r="B411" s="10" t="s">
        <v>1044</v>
      </c>
      <c r="C411">
        <v>16218096.463744201</v>
      </c>
      <c r="E411" s="10" t="s">
        <v>1686</v>
      </c>
      <c r="F411" s="151">
        <f>IF(ISNUMBER(AD65),AD65/SUM($I$43:$AI$71),0)</f>
        <v>2.0182569818067379E-3</v>
      </c>
    </row>
    <row r="412" spans="1:6" x14ac:dyDescent="0.25">
      <c r="A412" s="150">
        <v>407</v>
      </c>
      <c r="B412" s="10" t="s">
        <v>1045</v>
      </c>
      <c r="C412">
        <v>44827653.1679153</v>
      </c>
      <c r="E412" s="10" t="s">
        <v>1687</v>
      </c>
      <c r="F412" s="151">
        <f>IF(ISNUMBER(AE65),AE65/SUM($I$43:$AI$71),0)</f>
        <v>2.2862987165019545E-3</v>
      </c>
    </row>
    <row r="413" spans="1:6" x14ac:dyDescent="0.25">
      <c r="A413" s="150">
        <v>408</v>
      </c>
      <c r="B413" s="10" t="s">
        <v>1046</v>
      </c>
      <c r="C413">
        <v>42897068.887359597</v>
      </c>
      <c r="E413" s="10" t="s">
        <v>1688</v>
      </c>
      <c r="F413" s="151">
        <f>IF(ISNUMBER(AF65),AF65/SUM($I$43:$AI$71),0)</f>
        <v>1.6528796317728973E-3</v>
      </c>
    </row>
    <row r="414" spans="1:6" x14ac:dyDescent="0.25">
      <c r="A414" s="150">
        <v>409</v>
      </c>
      <c r="B414" s="10" t="s">
        <v>1151</v>
      </c>
      <c r="C414">
        <v>58964706.276470199</v>
      </c>
      <c r="E414" s="10" t="s">
        <v>1689</v>
      </c>
      <c r="F414" s="151">
        <f>IF(ISNUMBER(AG65),AG65/SUM($I$43:$AI$71),0)</f>
        <v>7.9098095077851521E-4</v>
      </c>
    </row>
    <row r="415" spans="1:6" x14ac:dyDescent="0.25">
      <c r="A415" s="150">
        <v>410</v>
      </c>
      <c r="B415" s="10" t="s">
        <v>1152</v>
      </c>
      <c r="C415">
        <v>58413321.836090103</v>
      </c>
      <c r="E415" s="10" t="s">
        <v>1690</v>
      </c>
      <c r="F415" s="151">
        <f>IF(ISNUMBER(AH65),AH65/SUM($I$43:$AI$71),0)</f>
        <v>2.4768664507459921E-4</v>
      </c>
    </row>
    <row r="416" spans="1:6" x14ac:dyDescent="0.25">
      <c r="A416" s="150">
        <v>411</v>
      </c>
      <c r="B416" s="10" t="s">
        <v>1153</v>
      </c>
      <c r="C416">
        <v>44751920.202816002</v>
      </c>
      <c r="E416" s="10" t="s">
        <v>1691</v>
      </c>
      <c r="F416" s="151">
        <f>IF(ISNUMBER(AI65),AI65/SUM($I$43:$AI$71),0)</f>
        <v>0</v>
      </c>
    </row>
    <row r="417" spans="1:6" x14ac:dyDescent="0.25">
      <c r="A417" s="150">
        <v>412</v>
      </c>
      <c r="B417" s="10" t="s">
        <v>1154</v>
      </c>
      <c r="C417">
        <v>41083529.405490898</v>
      </c>
      <c r="E417" s="10" t="s">
        <v>602</v>
      </c>
      <c r="F417" s="151">
        <f>IF(ISNUMBER(I66),I66/SUM($I$43:$AI$71),0)</f>
        <v>0</v>
      </c>
    </row>
    <row r="418" spans="1:6" x14ac:dyDescent="0.25">
      <c r="A418" s="150">
        <v>413</v>
      </c>
      <c r="B418" s="10" t="s">
        <v>1155</v>
      </c>
      <c r="C418">
        <v>18027802.905618701</v>
      </c>
      <c r="E418" s="10" t="s">
        <v>603</v>
      </c>
      <c r="F418" s="151">
        <f>IF(ISNUMBER(J66),J66/SUM($I$43:$AI$71),0)</f>
        <v>2.5209629130415733E-4</v>
      </c>
    </row>
    <row r="419" spans="1:6" x14ac:dyDescent="0.25">
      <c r="A419" s="150">
        <v>414</v>
      </c>
      <c r="B419" s="10" t="s">
        <v>1156</v>
      </c>
      <c r="C419">
        <v>17040873.434695199</v>
      </c>
      <c r="E419" s="10" t="s">
        <v>604</v>
      </c>
      <c r="F419" s="151">
        <f>IF(ISNUMBER(K66),K66/SUM($I$43:$AI$71),0)</f>
        <v>4.7371006267719011E-4</v>
      </c>
    </row>
    <row r="420" spans="1:6" x14ac:dyDescent="0.25">
      <c r="A420" s="150">
        <v>415</v>
      </c>
      <c r="B420" s="10" t="s">
        <v>1157</v>
      </c>
      <c r="C420">
        <v>3198547.3654878102</v>
      </c>
      <c r="E420" s="10" t="s">
        <v>605</v>
      </c>
      <c r="F420" s="151">
        <f>IF(ISNUMBER(L66),L66/SUM($I$43:$AI$71),0)</f>
        <v>0</v>
      </c>
    </row>
    <row r="421" spans="1:6" x14ac:dyDescent="0.25">
      <c r="A421" s="150">
        <v>416</v>
      </c>
      <c r="B421" s="10" t="s">
        <v>1158</v>
      </c>
      <c r="C421">
        <v>3356670.79722095</v>
      </c>
      <c r="E421" s="10" t="s">
        <v>606</v>
      </c>
      <c r="F421" s="151">
        <f>IF(ISNUMBER(M66),M66/SUM($I$43:$AI$71),0)</f>
        <v>8.6420348568867127E-4</v>
      </c>
    </row>
    <row r="422" spans="1:6" x14ac:dyDescent="0.25">
      <c r="A422" s="150">
        <v>417</v>
      </c>
      <c r="B422" s="10" t="s">
        <v>1159</v>
      </c>
      <c r="C422">
        <v>23622.890466796202</v>
      </c>
      <c r="E422" s="10" t="s">
        <v>607</v>
      </c>
      <c r="F422" s="151">
        <f>IF(ISNUMBER(N66),N66/SUM($I$43:$AI$71),0)</f>
        <v>8.6993985002138772E-4</v>
      </c>
    </row>
    <row r="423" spans="1:6" x14ac:dyDescent="0.25">
      <c r="A423" s="150">
        <v>418</v>
      </c>
      <c r="B423" s="10" t="s">
        <v>1160</v>
      </c>
      <c r="C423">
        <v>34327.463137209401</v>
      </c>
      <c r="E423" s="10" t="s">
        <v>608</v>
      </c>
      <c r="F423" s="151">
        <f>IF(ISNUMBER(O66),O66/SUM($I$43:$AI$71),0)</f>
        <v>5.9727712923246653E-4</v>
      </c>
    </row>
    <row r="424" spans="1:6" x14ac:dyDescent="0.25">
      <c r="A424" s="150">
        <v>419</v>
      </c>
      <c r="B424" s="10" t="s">
        <v>1161</v>
      </c>
      <c r="C424">
        <v>27161.3108085934</v>
      </c>
      <c r="E424" s="10" t="s">
        <v>609</v>
      </c>
      <c r="F424" s="151">
        <f>IF(ISNUMBER(P66),P66/SUM($I$43:$AI$71),0)</f>
        <v>2.5182773042774388E-4</v>
      </c>
    </row>
    <row r="425" spans="1:6" x14ac:dyDescent="0.25">
      <c r="A425" s="150">
        <v>420</v>
      </c>
      <c r="B425" s="10" t="s">
        <v>1162</v>
      </c>
      <c r="C425">
        <v>0</v>
      </c>
      <c r="E425" s="10" t="s">
        <v>610</v>
      </c>
      <c r="F425" s="151">
        <f>IF(ISNUMBER(Q66),Q66/SUM($I$43:$AI$71),0)</f>
        <v>0</v>
      </c>
    </row>
    <row r="426" spans="1:6" x14ac:dyDescent="0.25">
      <c r="A426" s="150">
        <v>421</v>
      </c>
      <c r="B426" s="10" t="s">
        <v>259</v>
      </c>
      <c r="C426">
        <v>10942712.876298901</v>
      </c>
      <c r="E426" s="10" t="s">
        <v>611</v>
      </c>
      <c r="F426" s="151">
        <f>IF(ISNUMBER(R66),R66/SUM($I$43:$AI$71),0)</f>
        <v>0</v>
      </c>
    </row>
    <row r="427" spans="1:6" x14ac:dyDescent="0.25">
      <c r="A427" s="150">
        <v>422</v>
      </c>
      <c r="B427" s="10" t="s">
        <v>260</v>
      </c>
      <c r="C427">
        <v>6790478.0466914196</v>
      </c>
      <c r="E427" s="10" t="s">
        <v>612</v>
      </c>
      <c r="F427" s="151">
        <f>IF(ISNUMBER(S66),S66/SUM($I$43:$AI$71),0)</f>
        <v>0</v>
      </c>
    </row>
    <row r="428" spans="1:6" x14ac:dyDescent="0.25">
      <c r="A428" s="150">
        <v>423</v>
      </c>
      <c r="B428" s="10" t="s">
        <v>261</v>
      </c>
      <c r="C428">
        <v>43499671.049709298</v>
      </c>
      <c r="E428" s="10" t="s">
        <v>1692</v>
      </c>
      <c r="F428" s="151">
        <f>IF(ISNUMBER(T66),T66/SUM($I$43:$AI$71),0)</f>
        <v>0</v>
      </c>
    </row>
    <row r="429" spans="1:6" x14ac:dyDescent="0.25">
      <c r="A429" s="150">
        <v>424</v>
      </c>
      <c r="B429" s="10" t="s">
        <v>262</v>
      </c>
      <c r="C429">
        <v>34439228.462793402</v>
      </c>
      <c r="E429" s="10" t="s">
        <v>1693</v>
      </c>
      <c r="F429" s="151">
        <f>IF(ISNUMBER(U66),U66/SUM($I$43:$AI$71),0)</f>
        <v>0</v>
      </c>
    </row>
    <row r="430" spans="1:6" x14ac:dyDescent="0.25">
      <c r="A430" s="150">
        <v>425</v>
      </c>
      <c r="B430" s="10" t="s">
        <v>263</v>
      </c>
      <c r="C430">
        <v>90258605.921524003</v>
      </c>
      <c r="E430" s="10" t="s">
        <v>1694</v>
      </c>
      <c r="F430" s="151">
        <f>IF(ISNUMBER(V66),V66/SUM($I$43:$AI$71),0)</f>
        <v>0</v>
      </c>
    </row>
    <row r="431" spans="1:6" x14ac:dyDescent="0.25">
      <c r="A431" s="150">
        <v>426</v>
      </c>
      <c r="B431" s="10" t="s">
        <v>264</v>
      </c>
      <c r="C431">
        <v>86676514.130279496</v>
      </c>
      <c r="E431" s="10" t="s">
        <v>1695</v>
      </c>
      <c r="F431" s="151">
        <f>IF(ISNUMBER(W66),W66/SUM($I$43:$AI$71),0)</f>
        <v>0</v>
      </c>
    </row>
    <row r="432" spans="1:6" x14ac:dyDescent="0.25">
      <c r="A432" s="150">
        <v>427</v>
      </c>
      <c r="B432" s="10" t="s">
        <v>265</v>
      </c>
      <c r="C432">
        <v>130246592.022728</v>
      </c>
      <c r="E432" s="10" t="s">
        <v>1696</v>
      </c>
      <c r="F432" s="151">
        <f>IF(ISNUMBER(X66),X66/SUM($I$43:$AI$71),0)</f>
        <v>0</v>
      </c>
    </row>
    <row r="433" spans="1:6" x14ac:dyDescent="0.25">
      <c r="A433" s="150">
        <v>428</v>
      </c>
      <c r="B433" s="10" t="s">
        <v>266</v>
      </c>
      <c r="C433">
        <v>116698718.173141</v>
      </c>
      <c r="E433" s="10" t="s">
        <v>1697</v>
      </c>
      <c r="F433" s="151">
        <f>IF(ISNUMBER(Y66),Y66/SUM($I$43:$AI$71),0)</f>
        <v>0</v>
      </c>
    </row>
    <row r="434" spans="1:6" x14ac:dyDescent="0.25">
      <c r="A434" s="150">
        <v>429</v>
      </c>
      <c r="B434" s="10" t="s">
        <v>267</v>
      </c>
      <c r="C434">
        <v>86723523.687950104</v>
      </c>
      <c r="E434" s="10" t="s">
        <v>1698</v>
      </c>
      <c r="F434" s="151">
        <f>IF(ISNUMBER(Z66),Z66/SUM($I$43:$AI$71),0)</f>
        <v>0</v>
      </c>
    </row>
    <row r="435" spans="1:6" x14ac:dyDescent="0.25">
      <c r="A435" s="150">
        <v>430</v>
      </c>
      <c r="B435" s="10" t="s">
        <v>268</v>
      </c>
      <c r="C435">
        <v>67628949.176616699</v>
      </c>
      <c r="E435" s="10" t="s">
        <v>1699</v>
      </c>
      <c r="F435" s="151">
        <f>IF(ISNUMBER(AA66),AA66/SUM($I$43:$AI$71),0)</f>
        <v>0</v>
      </c>
    </row>
    <row r="436" spans="1:6" x14ac:dyDescent="0.25">
      <c r="A436" s="150">
        <v>431</v>
      </c>
      <c r="B436" s="10" t="s">
        <v>269</v>
      </c>
      <c r="C436">
        <v>29337270.0944633</v>
      </c>
      <c r="E436" s="10" t="s">
        <v>1700</v>
      </c>
      <c r="F436" s="151">
        <f>IF(ISNUMBER(AB66),AB66/SUM($I$43:$AI$71),0)</f>
        <v>0</v>
      </c>
    </row>
    <row r="437" spans="1:6" x14ac:dyDescent="0.25">
      <c r="A437" s="150">
        <v>432</v>
      </c>
      <c r="B437" s="10" t="s">
        <v>270</v>
      </c>
      <c r="C437">
        <v>24647312.177083999</v>
      </c>
      <c r="E437" s="10" t="s">
        <v>1701</v>
      </c>
      <c r="F437" s="151">
        <f>IF(ISNUMBER(AC66),AC66/SUM($I$43:$AI$71),0)</f>
        <v>2.1679250214193802E-4</v>
      </c>
    </row>
    <row r="438" spans="1:6" x14ac:dyDescent="0.25">
      <c r="A438" s="150">
        <v>433</v>
      </c>
      <c r="B438" s="10" t="s">
        <v>271</v>
      </c>
      <c r="C438">
        <v>5515814.1352152796</v>
      </c>
      <c r="E438" s="10" t="s">
        <v>1702</v>
      </c>
      <c r="F438" s="151">
        <f>IF(ISNUMBER(AD66),AD66/SUM($I$43:$AI$71),0)</f>
        <v>7.3657246633781408E-4</v>
      </c>
    </row>
    <row r="439" spans="1:6" x14ac:dyDescent="0.25">
      <c r="A439" s="150">
        <v>434</v>
      </c>
      <c r="B439" s="10" t="s">
        <v>272</v>
      </c>
      <c r="C439">
        <v>5235251.4286358403</v>
      </c>
      <c r="E439" s="10" t="s">
        <v>1703</v>
      </c>
      <c r="F439" s="151">
        <f>IF(ISNUMBER(AE66),AE66/SUM($I$43:$AI$71),0)</f>
        <v>1.3027341651124669E-3</v>
      </c>
    </row>
    <row r="440" spans="1:6" x14ac:dyDescent="0.25">
      <c r="A440" s="150">
        <v>435</v>
      </c>
      <c r="B440" s="10" t="s">
        <v>273</v>
      </c>
      <c r="C440">
        <v>483418.78877881198</v>
      </c>
      <c r="E440" s="10" t="s">
        <v>1704</v>
      </c>
      <c r="F440" s="151">
        <f>IF(ISNUMBER(AF66),AF66/SUM($I$43:$AI$71),0)</f>
        <v>1.3381214099829999E-3</v>
      </c>
    </row>
    <row r="441" spans="1:6" x14ac:dyDescent="0.25">
      <c r="A441" s="150">
        <v>436</v>
      </c>
      <c r="B441" s="10" t="s">
        <v>274</v>
      </c>
      <c r="C441">
        <v>377265.98356786399</v>
      </c>
      <c r="E441" s="10" t="s">
        <v>1705</v>
      </c>
      <c r="F441" s="151">
        <f>IF(ISNUMBER(AG66),AG66/SUM($I$43:$AI$71),0)</f>
        <v>9.3537141489770761E-4</v>
      </c>
    </row>
    <row r="442" spans="1:6" x14ac:dyDescent="0.25">
      <c r="A442" s="150">
        <v>437</v>
      </c>
      <c r="B442" s="10" t="s">
        <v>275</v>
      </c>
      <c r="C442">
        <v>0</v>
      </c>
      <c r="E442" s="10" t="s">
        <v>1706</v>
      </c>
      <c r="F442" s="151">
        <f>IF(ISNUMBER(AH66),AH66/SUM($I$43:$AI$71),0)</f>
        <v>4.6324413706173091E-4</v>
      </c>
    </row>
    <row r="443" spans="1:6" x14ac:dyDescent="0.25">
      <c r="A443" s="150">
        <v>438</v>
      </c>
      <c r="B443" s="10" t="s">
        <v>276</v>
      </c>
      <c r="C443">
        <v>4837.92780615226</v>
      </c>
      <c r="E443" s="10" t="s">
        <v>1707</v>
      </c>
      <c r="F443" s="151">
        <f>IF(ISNUMBER(AI66),AI66/SUM($I$43:$AI$71),0)</f>
        <v>0</v>
      </c>
    </row>
    <row r="444" spans="1:6" x14ac:dyDescent="0.25">
      <c r="A444" s="150">
        <v>439</v>
      </c>
      <c r="B444" s="10" t="s">
        <v>277</v>
      </c>
      <c r="C444">
        <v>6841.1741733401996</v>
      </c>
      <c r="E444" s="10" t="s">
        <v>613</v>
      </c>
      <c r="F444" s="151">
        <f>IF(ISNUMBER(I67),I67/SUM($I$43:$AI$71),0)</f>
        <v>0</v>
      </c>
    </row>
    <row r="445" spans="1:6" x14ac:dyDescent="0.25">
      <c r="A445" s="150">
        <v>440</v>
      </c>
      <c r="B445" s="10" t="s">
        <v>278</v>
      </c>
      <c r="C445">
        <v>6562.9083618167797</v>
      </c>
      <c r="E445" s="10" t="s">
        <v>614</v>
      </c>
      <c r="F445" s="151">
        <f>IF(ISNUMBER(J67),J67/SUM($I$43:$AI$71),0)</f>
        <v>2.2421851496001662E-4</v>
      </c>
    </row>
    <row r="446" spans="1:6" x14ac:dyDescent="0.25">
      <c r="A446" s="150">
        <v>441</v>
      </c>
      <c r="B446" s="10" t="s">
        <v>279</v>
      </c>
      <c r="C446">
        <v>0</v>
      </c>
      <c r="E446" s="10" t="s">
        <v>615</v>
      </c>
      <c r="F446" s="151">
        <f>IF(ISNUMBER(K67),K67/SUM($I$43:$AI$71),0)</f>
        <v>3.6662254281489035E-4</v>
      </c>
    </row>
    <row r="447" spans="1:6" x14ac:dyDescent="0.25">
      <c r="A447" s="150">
        <v>442</v>
      </c>
      <c r="B447" s="10" t="s">
        <v>280</v>
      </c>
      <c r="C447">
        <v>0</v>
      </c>
      <c r="E447" s="10" t="s">
        <v>616</v>
      </c>
      <c r="F447" s="151">
        <f>IF(ISNUMBER(L67),L67/SUM($I$43:$AI$71),0)</f>
        <v>0</v>
      </c>
    </row>
    <row r="448" spans="1:6" x14ac:dyDescent="0.25">
      <c r="A448" s="150">
        <v>443</v>
      </c>
      <c r="B448" s="10" t="s">
        <v>747</v>
      </c>
      <c r="C448">
        <v>0</v>
      </c>
      <c r="E448" s="10" t="s">
        <v>617</v>
      </c>
      <c r="F448" s="151">
        <f>IF(ISNUMBER(M67),M67/SUM($I$43:$AI$71),0)</f>
        <v>0</v>
      </c>
    </row>
    <row r="449" spans="1:6" x14ac:dyDescent="0.25">
      <c r="A449" s="150">
        <v>444</v>
      </c>
      <c r="B449" s="10" t="s">
        <v>748</v>
      </c>
      <c r="C449">
        <v>0</v>
      </c>
      <c r="E449" s="10" t="s">
        <v>618</v>
      </c>
      <c r="F449" s="151">
        <f>IF(ISNUMBER(N67),N67/SUM($I$43:$AI$71),0)</f>
        <v>5.3022188556790708E-4</v>
      </c>
    </row>
    <row r="450" spans="1:6" x14ac:dyDescent="0.25">
      <c r="A450" s="150">
        <v>445</v>
      </c>
      <c r="B450" s="10" t="s">
        <v>749</v>
      </c>
      <c r="C450">
        <v>208747.09088009599</v>
      </c>
      <c r="E450" s="10" t="s">
        <v>619</v>
      </c>
      <c r="F450" s="151">
        <f>IF(ISNUMBER(O67),O67/SUM($I$43:$AI$71),0)</f>
        <v>3.7537187490083553E-4</v>
      </c>
    </row>
    <row r="451" spans="1:6" x14ac:dyDescent="0.25">
      <c r="A451" s="150">
        <v>446</v>
      </c>
      <c r="B451" s="10" t="s">
        <v>750</v>
      </c>
      <c r="C451">
        <v>92587.057081058607</v>
      </c>
      <c r="E451" s="10" t="s">
        <v>620</v>
      </c>
      <c r="F451" s="151">
        <f>IF(ISNUMBER(P67),P67/SUM($I$43:$AI$71),0)</f>
        <v>1.6260361935568064E-4</v>
      </c>
    </row>
    <row r="452" spans="1:6" x14ac:dyDescent="0.25">
      <c r="A452" s="150">
        <v>447</v>
      </c>
      <c r="B452" s="10" t="s">
        <v>1047</v>
      </c>
      <c r="C452">
        <v>7112404.1603884697</v>
      </c>
      <c r="E452" s="10" t="s">
        <v>621</v>
      </c>
      <c r="F452" s="151">
        <f>IF(ISNUMBER(Q67),Q67/SUM($I$43:$AI$71),0)</f>
        <v>0</v>
      </c>
    </row>
    <row r="453" spans="1:6" x14ac:dyDescent="0.25">
      <c r="A453" s="150">
        <v>448</v>
      </c>
      <c r="B453" s="10" t="s">
        <v>1048</v>
      </c>
      <c r="C453">
        <v>6288272.0672316598</v>
      </c>
      <c r="E453" s="10" t="s">
        <v>622</v>
      </c>
      <c r="F453" s="151">
        <f>IF(ISNUMBER(R67),R67/SUM($I$43:$AI$71),0)</f>
        <v>0</v>
      </c>
    </row>
    <row r="454" spans="1:6" x14ac:dyDescent="0.25">
      <c r="A454" s="150">
        <v>449</v>
      </c>
      <c r="B454" s="10" t="s">
        <v>1163</v>
      </c>
      <c r="C454">
        <v>30897631.6152477</v>
      </c>
      <c r="E454" s="10" t="s">
        <v>623</v>
      </c>
      <c r="F454" s="151">
        <f>IF(ISNUMBER(S67),S67/SUM($I$43:$AI$71),0)</f>
        <v>0</v>
      </c>
    </row>
    <row r="455" spans="1:6" x14ac:dyDescent="0.25">
      <c r="A455" s="150">
        <v>450</v>
      </c>
      <c r="B455" s="10" t="s">
        <v>1164</v>
      </c>
      <c r="C455">
        <v>29708350.643918999</v>
      </c>
      <c r="E455" s="10" t="s">
        <v>1708</v>
      </c>
      <c r="F455" s="151">
        <f>IF(ISNUMBER(T67),T67/SUM($I$43:$AI$71),0)</f>
        <v>0</v>
      </c>
    </row>
    <row r="456" spans="1:6" x14ac:dyDescent="0.25">
      <c r="A456" s="150">
        <v>451</v>
      </c>
      <c r="B456" s="10" t="s">
        <v>1165</v>
      </c>
      <c r="C456">
        <v>65923158.848636597</v>
      </c>
      <c r="E456" s="10" t="s">
        <v>1709</v>
      </c>
      <c r="F456" s="151">
        <f>IF(ISNUMBER(U67),U67/SUM($I$43:$AI$71),0)</f>
        <v>0</v>
      </c>
    </row>
    <row r="457" spans="1:6" x14ac:dyDescent="0.25">
      <c r="A457" s="150">
        <v>452</v>
      </c>
      <c r="B457" s="10" t="s">
        <v>1166</v>
      </c>
      <c r="C457">
        <v>63629347.7868881</v>
      </c>
      <c r="E457" s="10" t="s">
        <v>1710</v>
      </c>
      <c r="F457" s="151">
        <f>IF(ISNUMBER(V67),V67/SUM($I$43:$AI$71),0)</f>
        <v>0</v>
      </c>
    </row>
    <row r="458" spans="1:6" x14ac:dyDescent="0.25">
      <c r="A458" s="150">
        <v>453</v>
      </c>
      <c r="B458" s="10" t="s">
        <v>1167</v>
      </c>
      <c r="C458">
        <v>79710865.749092102</v>
      </c>
      <c r="E458" s="10" t="s">
        <v>1711</v>
      </c>
      <c r="F458" s="151">
        <f>IF(ISNUMBER(W67),W67/SUM($I$43:$AI$71),0)</f>
        <v>0</v>
      </c>
    </row>
    <row r="459" spans="1:6" x14ac:dyDescent="0.25">
      <c r="A459" s="150">
        <v>454</v>
      </c>
      <c r="B459" s="10" t="s">
        <v>1168</v>
      </c>
      <c r="C459">
        <v>72351506.657970399</v>
      </c>
      <c r="E459" s="10" t="s">
        <v>1712</v>
      </c>
      <c r="F459" s="151">
        <f>IF(ISNUMBER(X67),X67/SUM($I$43:$AI$71),0)</f>
        <v>0</v>
      </c>
    </row>
    <row r="460" spans="1:6" x14ac:dyDescent="0.25">
      <c r="A460" s="150">
        <v>455</v>
      </c>
      <c r="B460" s="10" t="s">
        <v>1169</v>
      </c>
      <c r="C460">
        <v>54008239.583263397</v>
      </c>
      <c r="E460" s="10" t="s">
        <v>1713</v>
      </c>
      <c r="F460" s="151">
        <f>IF(ISNUMBER(Y67),Y67/SUM($I$43:$AI$71),0)</f>
        <v>0</v>
      </c>
    </row>
    <row r="461" spans="1:6" x14ac:dyDescent="0.25">
      <c r="A461" s="150">
        <v>456</v>
      </c>
      <c r="B461" s="10" t="s">
        <v>1170</v>
      </c>
      <c r="C461">
        <v>49091740.358158097</v>
      </c>
      <c r="E461" s="10" t="s">
        <v>1714</v>
      </c>
      <c r="F461" s="151">
        <f>IF(ISNUMBER(Z67),Z67/SUM($I$43:$AI$71),0)</f>
        <v>0</v>
      </c>
    </row>
    <row r="462" spans="1:6" x14ac:dyDescent="0.25">
      <c r="A462" s="150">
        <v>457</v>
      </c>
      <c r="B462" s="10" t="s">
        <v>1171</v>
      </c>
      <c r="C462">
        <v>20931065.009073298</v>
      </c>
      <c r="E462" s="10" t="s">
        <v>1715</v>
      </c>
      <c r="F462" s="151">
        <f>IF(ISNUMBER(AA67),AA67/SUM($I$43:$AI$71),0)</f>
        <v>0</v>
      </c>
    </row>
    <row r="463" spans="1:6" x14ac:dyDescent="0.25">
      <c r="A463" s="150">
        <v>458</v>
      </c>
      <c r="B463" s="10" t="s">
        <v>1172</v>
      </c>
      <c r="C463">
        <v>19761260.716163602</v>
      </c>
      <c r="E463" s="10" t="s">
        <v>1716</v>
      </c>
      <c r="F463" s="151">
        <f>IF(ISNUMBER(AB67),AB67/SUM($I$43:$AI$71),0)</f>
        <v>0</v>
      </c>
    </row>
    <row r="464" spans="1:6" x14ac:dyDescent="0.25">
      <c r="A464" s="150">
        <v>459</v>
      </c>
      <c r="B464" s="10" t="s">
        <v>1173</v>
      </c>
      <c r="C464">
        <v>4023732.09654951</v>
      </c>
      <c r="E464" s="10" t="s">
        <v>1717</v>
      </c>
      <c r="F464" s="151">
        <f>IF(ISNUMBER(AC67),AC67/SUM($I$43:$AI$71),0)</f>
        <v>0</v>
      </c>
    </row>
    <row r="465" spans="1:6" x14ac:dyDescent="0.25">
      <c r="A465" s="150">
        <v>460</v>
      </c>
      <c r="B465" s="10" t="s">
        <v>1174</v>
      </c>
      <c r="C465">
        <v>3907630.1945710201</v>
      </c>
      <c r="E465" s="10" t="s">
        <v>1718</v>
      </c>
      <c r="F465" s="151">
        <f>IF(ISNUMBER(AD67),AD67/SUM($I$43:$AI$71),0)</f>
        <v>1.7424203907430869E-4</v>
      </c>
    </row>
    <row r="466" spans="1:6" x14ac:dyDescent="0.25">
      <c r="A466" s="150">
        <v>461</v>
      </c>
      <c r="B466" s="10" t="s">
        <v>1175</v>
      </c>
      <c r="C466">
        <v>133095.67921581899</v>
      </c>
      <c r="E466" s="10" t="s">
        <v>1719</v>
      </c>
      <c r="F466" s="151">
        <f>IF(ISNUMBER(AE67),AE67/SUM($I$43:$AI$71),0)</f>
        <v>3.4907240604475914E-4</v>
      </c>
    </row>
    <row r="467" spans="1:6" x14ac:dyDescent="0.25">
      <c r="A467" s="150">
        <v>462</v>
      </c>
      <c r="B467" s="10" t="s">
        <v>1176</v>
      </c>
      <c r="C467">
        <v>47706.0954396948</v>
      </c>
      <c r="E467" s="10" t="s">
        <v>1720</v>
      </c>
      <c r="F467" s="151">
        <f>IF(ISNUMBER(AF67),AF67/SUM($I$43:$AI$71),0)</f>
        <v>8.1563249056835184E-4</v>
      </c>
    </row>
    <row r="468" spans="1:6" x14ac:dyDescent="0.25">
      <c r="A468" s="150">
        <v>463</v>
      </c>
      <c r="B468" s="10" t="s">
        <v>1177</v>
      </c>
      <c r="C468">
        <v>21285.8296751706</v>
      </c>
      <c r="E468" s="10" t="s">
        <v>1721</v>
      </c>
      <c r="F468" s="151">
        <f>IF(ISNUMBER(AG67),AG67/SUM($I$43:$AI$71),0)</f>
        <v>8.5650501175364854E-4</v>
      </c>
    </row>
    <row r="469" spans="1:6" x14ac:dyDescent="0.25">
      <c r="A469" s="150">
        <v>464</v>
      </c>
      <c r="B469" s="10" t="s">
        <v>1178</v>
      </c>
      <c r="C469">
        <v>0</v>
      </c>
      <c r="E469" s="10" t="s">
        <v>1722</v>
      </c>
      <c r="F469" s="151">
        <f>IF(ISNUMBER(AH67),AH67/SUM($I$43:$AI$71),0)</f>
        <v>5.693560513456927E-4</v>
      </c>
    </row>
    <row r="470" spans="1:6" x14ac:dyDescent="0.25">
      <c r="A470" s="150">
        <v>465</v>
      </c>
      <c r="B470" s="10" t="s">
        <v>751</v>
      </c>
      <c r="C470">
        <v>6883908.0789055796</v>
      </c>
      <c r="E470" s="10" t="s">
        <v>1723</v>
      </c>
      <c r="F470" s="151">
        <f>IF(ISNUMBER(AI67),AI67/SUM($I$43:$AI$71),0)</f>
        <v>0</v>
      </c>
    </row>
    <row r="471" spans="1:6" x14ac:dyDescent="0.25">
      <c r="A471" s="150">
        <v>466</v>
      </c>
      <c r="B471" s="10" t="s">
        <v>752</v>
      </c>
      <c r="C471">
        <v>4371431.7479619998</v>
      </c>
      <c r="E471" s="10" t="s">
        <v>624</v>
      </c>
      <c r="F471" s="151">
        <f>IF(ISNUMBER(I68),I68/SUM($I$43:$AI$71),0)</f>
        <v>0</v>
      </c>
    </row>
    <row r="472" spans="1:6" x14ac:dyDescent="0.25">
      <c r="A472" s="150">
        <v>467</v>
      </c>
      <c r="B472" s="10" t="s">
        <v>281</v>
      </c>
      <c r="C472">
        <v>32274876.338031799</v>
      </c>
      <c r="E472" s="10" t="s">
        <v>625</v>
      </c>
      <c r="F472" s="151">
        <f>IF(ISNUMBER(J68),J68/SUM($I$43:$AI$71),0)</f>
        <v>1.5783101964240363E-4</v>
      </c>
    </row>
    <row r="473" spans="1:6" x14ac:dyDescent="0.25">
      <c r="A473" s="150">
        <v>468</v>
      </c>
      <c r="B473" s="10" t="s">
        <v>282</v>
      </c>
      <c r="C473">
        <v>25078386.275619499</v>
      </c>
      <c r="E473" s="10" t="s">
        <v>626</v>
      </c>
      <c r="F473" s="151">
        <f>IF(ISNUMBER(K68),K68/SUM($I$43:$AI$71),0)</f>
        <v>2.91573565390345E-4</v>
      </c>
    </row>
    <row r="474" spans="1:6" x14ac:dyDescent="0.25">
      <c r="A474" s="150">
        <v>469</v>
      </c>
      <c r="B474" s="10" t="s">
        <v>283</v>
      </c>
      <c r="C474">
        <v>81621367.846939102</v>
      </c>
      <c r="E474" s="10" t="s">
        <v>627</v>
      </c>
      <c r="F474" s="151">
        <f>IF(ISNUMBER(L68),L68/SUM($I$43:$AI$71),0)</f>
        <v>0</v>
      </c>
    </row>
    <row r="475" spans="1:6" x14ac:dyDescent="0.25">
      <c r="A475" s="150">
        <v>470</v>
      </c>
      <c r="B475" s="10" t="s">
        <v>284</v>
      </c>
      <c r="C475">
        <v>78346209.369018599</v>
      </c>
      <c r="E475" s="10" t="s">
        <v>628</v>
      </c>
      <c r="F475" s="151">
        <f>IF(ISNUMBER(M68),M68/SUM($I$43:$AI$71),0)</f>
        <v>0</v>
      </c>
    </row>
    <row r="476" spans="1:6" x14ac:dyDescent="0.25">
      <c r="A476" s="150">
        <v>471</v>
      </c>
      <c r="B476" s="10" t="s">
        <v>285</v>
      </c>
      <c r="C476">
        <v>130692982.22039001</v>
      </c>
      <c r="E476" s="10" t="s">
        <v>629</v>
      </c>
      <c r="F476" s="151">
        <f>IF(ISNUMBER(N68),N68/SUM($I$43:$AI$71),0)</f>
        <v>3.5841393848080107E-4</v>
      </c>
    </row>
    <row r="477" spans="1:6" x14ac:dyDescent="0.25">
      <c r="A477" s="150">
        <v>472</v>
      </c>
      <c r="B477" s="10" t="s">
        <v>286</v>
      </c>
      <c r="C477">
        <v>118647243.569206</v>
      </c>
      <c r="E477" s="10" t="s">
        <v>630</v>
      </c>
      <c r="F477" s="151">
        <f>IF(ISNUMBER(O68),O68/SUM($I$43:$AI$71),0)</f>
        <v>2.3442288920521063E-4</v>
      </c>
    </row>
    <row r="478" spans="1:6" x14ac:dyDescent="0.25">
      <c r="A478" s="150">
        <v>473</v>
      </c>
      <c r="B478" s="10" t="s">
        <v>287</v>
      </c>
      <c r="C478">
        <v>104334401.903381</v>
      </c>
      <c r="E478" s="10" t="s">
        <v>631</v>
      </c>
      <c r="F478" s="151">
        <f>IF(ISNUMBER(P68),P68/SUM($I$43:$AI$71),0)</f>
        <v>0</v>
      </c>
    </row>
    <row r="479" spans="1:6" x14ac:dyDescent="0.25">
      <c r="A479" s="150">
        <v>474</v>
      </c>
      <c r="B479" s="10" t="s">
        <v>288</v>
      </c>
      <c r="C479">
        <v>82402381.275749207</v>
      </c>
      <c r="E479" s="10" t="s">
        <v>632</v>
      </c>
      <c r="F479" s="151">
        <f>IF(ISNUMBER(Q68),Q68/SUM($I$43:$AI$71),0)</f>
        <v>0</v>
      </c>
    </row>
    <row r="480" spans="1:6" x14ac:dyDescent="0.25">
      <c r="A480" s="150">
        <v>475</v>
      </c>
      <c r="B480" s="10" t="s">
        <v>289</v>
      </c>
      <c r="C480">
        <v>43127527.168338798</v>
      </c>
      <c r="E480" s="10" t="s">
        <v>633</v>
      </c>
      <c r="F480" s="151">
        <f>IF(ISNUMBER(R68),R68/SUM($I$43:$AI$71),0)</f>
        <v>0</v>
      </c>
    </row>
    <row r="481" spans="1:6" x14ac:dyDescent="0.25">
      <c r="A481" s="150">
        <v>476</v>
      </c>
      <c r="B481" s="10" t="s">
        <v>290</v>
      </c>
      <c r="C481">
        <v>36418907.207588203</v>
      </c>
      <c r="E481" s="10" t="s">
        <v>1724</v>
      </c>
      <c r="F481" s="151">
        <f>IF(ISNUMBER(S68),S68/SUM($I$43:$AI$71),0)</f>
        <v>0</v>
      </c>
    </row>
    <row r="482" spans="1:6" x14ac:dyDescent="0.25">
      <c r="A482" s="150">
        <v>477</v>
      </c>
      <c r="B482" s="10" t="s">
        <v>291</v>
      </c>
      <c r="C482">
        <v>10312831.2863288</v>
      </c>
      <c r="E482" s="10" t="s">
        <v>1725</v>
      </c>
      <c r="F482" s="151">
        <f>IF(ISNUMBER(T68),T68/SUM($I$43:$AI$71),0)</f>
        <v>0</v>
      </c>
    </row>
    <row r="483" spans="1:6" x14ac:dyDescent="0.25">
      <c r="A483" s="150">
        <v>478</v>
      </c>
      <c r="B483" s="10" t="s">
        <v>292</v>
      </c>
      <c r="C483">
        <v>9459626.9439492207</v>
      </c>
      <c r="E483" s="10" t="s">
        <v>1726</v>
      </c>
      <c r="F483" s="151">
        <f>IF(ISNUMBER(U68),U68/SUM($I$43:$AI$71),0)</f>
        <v>0</v>
      </c>
    </row>
    <row r="484" spans="1:6" x14ac:dyDescent="0.25">
      <c r="A484" s="150">
        <v>479</v>
      </c>
      <c r="B484" s="10" t="s">
        <v>293</v>
      </c>
      <c r="C484">
        <v>1321464.0722127</v>
      </c>
      <c r="E484" s="10" t="s">
        <v>1727</v>
      </c>
      <c r="F484" s="151">
        <f>IF(ISNUMBER(V68),V68/SUM($I$43:$AI$71),0)</f>
        <v>0</v>
      </c>
    </row>
    <row r="485" spans="1:6" x14ac:dyDescent="0.25">
      <c r="A485" s="150">
        <v>480</v>
      </c>
      <c r="B485" s="10" t="s">
        <v>294</v>
      </c>
      <c r="C485">
        <v>1208939.19202006</v>
      </c>
      <c r="E485" s="10" t="s">
        <v>1728</v>
      </c>
      <c r="F485" s="151">
        <f>IF(ISNUMBER(W68),W68/SUM($I$43:$AI$71),0)</f>
        <v>0</v>
      </c>
    </row>
    <row r="486" spans="1:6" x14ac:dyDescent="0.25">
      <c r="A486" s="150">
        <v>481</v>
      </c>
      <c r="B486" s="10" t="s">
        <v>295</v>
      </c>
      <c r="C486">
        <v>58124.954380370698</v>
      </c>
      <c r="E486" s="10" t="s">
        <v>1729</v>
      </c>
      <c r="F486" s="151">
        <f>IF(ISNUMBER(X68),X68/SUM($I$43:$AI$71),0)</f>
        <v>0</v>
      </c>
    </row>
    <row r="487" spans="1:6" x14ac:dyDescent="0.25">
      <c r="A487" s="150">
        <v>482</v>
      </c>
      <c r="B487" s="10" t="s">
        <v>296</v>
      </c>
      <c r="C487">
        <v>9158.4014238282107</v>
      </c>
      <c r="E487" s="10" t="s">
        <v>1730</v>
      </c>
      <c r="F487" s="151">
        <f>IF(ISNUMBER(Y68),Y68/SUM($I$43:$AI$71),0)</f>
        <v>0</v>
      </c>
    </row>
    <row r="488" spans="1:6" x14ac:dyDescent="0.25">
      <c r="A488" s="150">
        <v>483</v>
      </c>
      <c r="B488" s="10" t="s">
        <v>297</v>
      </c>
      <c r="C488">
        <v>10795.824559569401</v>
      </c>
      <c r="E488" s="10" t="s">
        <v>1731</v>
      </c>
      <c r="F488" s="151">
        <f>IF(ISNUMBER(Z68),Z68/SUM($I$43:$AI$71),0)</f>
        <v>0</v>
      </c>
    </row>
    <row r="489" spans="1:6" x14ac:dyDescent="0.25">
      <c r="A489" s="150">
        <v>484</v>
      </c>
      <c r="B489" s="10" t="s">
        <v>298</v>
      </c>
      <c r="C489">
        <v>6100.1072666011796</v>
      </c>
      <c r="E489" s="10" t="s">
        <v>1732</v>
      </c>
      <c r="F489" s="151">
        <f>IF(ISNUMBER(AA68),AA68/SUM($I$43:$AI$71),0)</f>
        <v>0</v>
      </c>
    </row>
    <row r="490" spans="1:6" x14ac:dyDescent="0.25">
      <c r="A490" s="150">
        <v>485</v>
      </c>
      <c r="B490" s="10" t="s">
        <v>299</v>
      </c>
      <c r="C490">
        <v>4899.4063374027601</v>
      </c>
      <c r="E490" s="10" t="s">
        <v>1733</v>
      </c>
      <c r="F490" s="151">
        <f>IF(ISNUMBER(AB68),AB68/SUM($I$43:$AI$71),0)</f>
        <v>0</v>
      </c>
    </row>
    <row r="491" spans="1:6" x14ac:dyDescent="0.25">
      <c r="A491" s="150">
        <v>486</v>
      </c>
      <c r="B491" s="10" t="s">
        <v>300</v>
      </c>
      <c r="C491">
        <v>0</v>
      </c>
      <c r="E491" s="10" t="s">
        <v>1734</v>
      </c>
      <c r="F491" s="151">
        <f>IF(ISNUMBER(AC68),AC68/SUM($I$43:$AI$71),0)</f>
        <v>0</v>
      </c>
    </row>
    <row r="492" spans="1:6" x14ac:dyDescent="0.25">
      <c r="A492" s="150">
        <v>487</v>
      </c>
      <c r="B492" s="10" t="s">
        <v>753</v>
      </c>
      <c r="C492">
        <v>0</v>
      </c>
      <c r="E492" s="10" t="s">
        <v>1735</v>
      </c>
      <c r="F492" s="151">
        <f>IF(ISNUMBER(AD68),AD68/SUM($I$43:$AI$71),0)</f>
        <v>0</v>
      </c>
    </row>
    <row r="493" spans="1:6" x14ac:dyDescent="0.25">
      <c r="A493" s="150">
        <v>488</v>
      </c>
      <c r="B493" s="10" t="s">
        <v>754</v>
      </c>
      <c r="C493">
        <v>6955.9315283202995</v>
      </c>
      <c r="E493" s="10" t="s">
        <v>1736</v>
      </c>
      <c r="F493" s="151">
        <f>IF(ISNUMBER(AE68),AE68/SUM($I$43:$AI$71),0)</f>
        <v>0</v>
      </c>
    </row>
    <row r="494" spans="1:6" x14ac:dyDescent="0.25">
      <c r="A494" s="150">
        <v>489</v>
      </c>
      <c r="B494" s="10" t="s">
        <v>755</v>
      </c>
      <c r="C494">
        <v>8852.1396093750409</v>
      </c>
      <c r="E494" s="10" t="s">
        <v>1737</v>
      </c>
      <c r="F494" s="151">
        <f>IF(ISNUMBER(AF68),AF68/SUM($I$43:$AI$71),0)</f>
        <v>0</v>
      </c>
    </row>
    <row r="495" spans="1:6" x14ac:dyDescent="0.25">
      <c r="A495" s="150">
        <v>490</v>
      </c>
      <c r="B495" s="10" t="s">
        <v>756</v>
      </c>
      <c r="C495">
        <v>0</v>
      </c>
      <c r="E495" s="10" t="s">
        <v>1738</v>
      </c>
      <c r="F495" s="151">
        <f>IF(ISNUMBER(AG68),AG68/SUM($I$43:$AI$71),0)</f>
        <v>4.7080886838068319E-4</v>
      </c>
    </row>
    <row r="496" spans="1:6" x14ac:dyDescent="0.25">
      <c r="A496" s="150">
        <v>491</v>
      </c>
      <c r="B496" s="10" t="s">
        <v>1049</v>
      </c>
      <c r="C496">
        <v>945091.45962095296</v>
      </c>
      <c r="E496" s="10" t="s">
        <v>1739</v>
      </c>
      <c r="F496" s="151">
        <f>IF(ISNUMBER(AH68),AH68/SUM($I$43:$AI$71),0)</f>
        <v>0</v>
      </c>
    </row>
    <row r="497" spans="1:6" x14ac:dyDescent="0.25">
      <c r="A497" s="150">
        <v>492</v>
      </c>
      <c r="B497" s="10" t="s">
        <v>1050</v>
      </c>
      <c r="C497">
        <v>723830.18049365305</v>
      </c>
      <c r="E497" s="10" t="s">
        <v>1740</v>
      </c>
      <c r="F497" s="151">
        <f>IF(ISNUMBER(AI68),AI68/SUM($I$43:$AI$71),0)</f>
        <v>0</v>
      </c>
    </row>
    <row r="498" spans="1:6" x14ac:dyDescent="0.25">
      <c r="A498" s="150">
        <v>493</v>
      </c>
      <c r="B498" s="10" t="s">
        <v>1179</v>
      </c>
      <c r="C498">
        <v>12277449.004905701</v>
      </c>
      <c r="E498" s="10" t="s">
        <v>634</v>
      </c>
      <c r="F498" s="151">
        <f>IF(ISNUMBER(I69),I69/SUM($I$43:$AI$71),0)</f>
        <v>0</v>
      </c>
    </row>
    <row r="499" spans="1:6" x14ac:dyDescent="0.25">
      <c r="A499" s="150">
        <v>494</v>
      </c>
      <c r="B499" s="10" t="s">
        <v>1180</v>
      </c>
      <c r="C499">
        <v>11287707.735127401</v>
      </c>
      <c r="E499" s="10" t="s">
        <v>635</v>
      </c>
      <c r="F499" s="151">
        <f>IF(ISNUMBER(J69),J69/SUM($I$43:$AI$71),0)</f>
        <v>8.4451996117436849E-5</v>
      </c>
    </row>
    <row r="500" spans="1:6" x14ac:dyDescent="0.25">
      <c r="A500" s="150">
        <v>495</v>
      </c>
      <c r="B500" s="10" t="s">
        <v>1181</v>
      </c>
      <c r="C500">
        <v>43706762.543930098</v>
      </c>
      <c r="E500" s="10" t="s">
        <v>636</v>
      </c>
      <c r="F500" s="151">
        <f>IF(ISNUMBER(K69),K69/SUM($I$43:$AI$71),0)</f>
        <v>1.9379605836435774E-4</v>
      </c>
    </row>
    <row r="501" spans="1:6" x14ac:dyDescent="0.25">
      <c r="A501" s="150">
        <v>496</v>
      </c>
      <c r="B501" s="10" t="s">
        <v>1182</v>
      </c>
      <c r="C501">
        <v>41742984.777236901</v>
      </c>
      <c r="E501" s="10" t="s">
        <v>637</v>
      </c>
      <c r="F501" s="151">
        <f>IF(ISNUMBER(L69),L69/SUM($I$43:$AI$71),0)</f>
        <v>0</v>
      </c>
    </row>
    <row r="502" spans="1:6" x14ac:dyDescent="0.25">
      <c r="A502" s="150">
        <v>497</v>
      </c>
      <c r="B502" s="10" t="s">
        <v>1183</v>
      </c>
      <c r="C502">
        <v>83939334.532020599</v>
      </c>
      <c r="E502" s="10" t="s">
        <v>638</v>
      </c>
      <c r="F502" s="151">
        <f>IF(ISNUMBER(M69),M69/SUM($I$43:$AI$71),0)</f>
        <v>0</v>
      </c>
    </row>
    <row r="503" spans="1:6" x14ac:dyDescent="0.25">
      <c r="A503" s="150">
        <v>498</v>
      </c>
      <c r="B503" s="10" t="s">
        <v>1184</v>
      </c>
      <c r="C503">
        <v>74349123.345405594</v>
      </c>
      <c r="E503" s="10" t="s">
        <v>639</v>
      </c>
      <c r="F503" s="151">
        <f>IF(ISNUMBER(N69),N69/SUM($I$43:$AI$71),0)</f>
        <v>2.2949777867311983E-4</v>
      </c>
    </row>
    <row r="504" spans="1:6" x14ac:dyDescent="0.25">
      <c r="A504" s="150">
        <v>499</v>
      </c>
      <c r="B504" s="10" t="s">
        <v>1185</v>
      </c>
      <c r="C504">
        <v>88649829.251770005</v>
      </c>
      <c r="E504" s="10" t="s">
        <v>640</v>
      </c>
      <c r="F504" s="151">
        <f>IF(ISNUMBER(O69),O69/SUM($I$43:$AI$71),0)</f>
        <v>1.1792950139480336E-4</v>
      </c>
    </row>
    <row r="505" spans="1:6" x14ac:dyDescent="0.25">
      <c r="A505" s="150">
        <v>500</v>
      </c>
      <c r="B505" s="10" t="s">
        <v>1186</v>
      </c>
      <c r="C505">
        <v>80517306.269187897</v>
      </c>
      <c r="E505" s="10" t="s">
        <v>641</v>
      </c>
      <c r="F505" s="151">
        <f>IF(ISNUMBER(P69),P69/SUM($I$43:$AI$71),0)</f>
        <v>0</v>
      </c>
    </row>
    <row r="506" spans="1:6" x14ac:dyDescent="0.25">
      <c r="A506" s="150">
        <v>501</v>
      </c>
      <c r="B506" s="10" t="s">
        <v>1187</v>
      </c>
      <c r="C506">
        <v>53569788.320850402</v>
      </c>
      <c r="E506" s="10" t="s">
        <v>642</v>
      </c>
      <c r="F506" s="151">
        <f>IF(ISNUMBER(Q69),Q69/SUM($I$43:$AI$71),0)</f>
        <v>0</v>
      </c>
    </row>
    <row r="507" spans="1:6" x14ac:dyDescent="0.25">
      <c r="A507" s="150">
        <v>502</v>
      </c>
      <c r="B507" s="10" t="s">
        <v>1188</v>
      </c>
      <c r="C507">
        <v>52443564.842216499</v>
      </c>
      <c r="E507" s="10" t="s">
        <v>643</v>
      </c>
      <c r="F507" s="151">
        <f>IF(ISNUMBER(R69),R69/SUM($I$43:$AI$71),0)</f>
        <v>0</v>
      </c>
    </row>
    <row r="508" spans="1:6" x14ac:dyDescent="0.25">
      <c r="A508" s="150">
        <v>503</v>
      </c>
      <c r="B508" s="10" t="s">
        <v>1189</v>
      </c>
      <c r="C508">
        <v>19852091.611995701</v>
      </c>
      <c r="E508" s="10" t="s">
        <v>1741</v>
      </c>
      <c r="F508" s="151">
        <f>IF(ISNUMBER(S69),S69/SUM($I$43:$AI$71),0)</f>
        <v>0</v>
      </c>
    </row>
    <row r="509" spans="1:6" x14ac:dyDescent="0.25">
      <c r="A509" s="150">
        <v>504</v>
      </c>
      <c r="B509" s="10" t="s">
        <v>1190</v>
      </c>
      <c r="C509">
        <v>19213467.294817001</v>
      </c>
      <c r="E509" s="10" t="s">
        <v>1742</v>
      </c>
      <c r="F509" s="151">
        <f>IF(ISNUMBER(T69),T69/SUM($I$43:$AI$71),0)</f>
        <v>0</v>
      </c>
    </row>
    <row r="510" spans="1:6" x14ac:dyDescent="0.25">
      <c r="A510" s="150">
        <v>505</v>
      </c>
      <c r="B510" s="10" t="s">
        <v>1191</v>
      </c>
      <c r="C510">
        <v>4277720.1306362199</v>
      </c>
      <c r="E510" s="10" t="s">
        <v>1743</v>
      </c>
      <c r="F510" s="151">
        <f>IF(ISNUMBER(U69),U69/SUM($I$43:$AI$71),0)</f>
        <v>0</v>
      </c>
    </row>
    <row r="511" spans="1:6" x14ac:dyDescent="0.25">
      <c r="A511" s="150">
        <v>506</v>
      </c>
      <c r="B511" s="10" t="s">
        <v>1192</v>
      </c>
      <c r="C511">
        <v>3578882.71073008</v>
      </c>
      <c r="E511" s="10" t="s">
        <v>1744</v>
      </c>
      <c r="F511" s="151">
        <f>IF(ISNUMBER(V69),V69/SUM($I$43:$AI$71),0)</f>
        <v>0</v>
      </c>
    </row>
    <row r="512" spans="1:6" x14ac:dyDescent="0.25">
      <c r="A512" s="150">
        <v>507</v>
      </c>
      <c r="B512" s="10" t="s">
        <v>1193</v>
      </c>
      <c r="C512">
        <v>241808.877833501</v>
      </c>
      <c r="E512" s="10" t="s">
        <v>1745</v>
      </c>
      <c r="F512" s="151">
        <f>IF(ISNUMBER(W69),W69/SUM($I$43:$AI$71),0)</f>
        <v>0</v>
      </c>
    </row>
    <row r="513" spans="1:6" x14ac:dyDescent="0.25">
      <c r="A513" s="150">
        <v>508</v>
      </c>
      <c r="B513" s="10" t="s">
        <v>1194</v>
      </c>
      <c r="C513">
        <v>138621.09293811</v>
      </c>
      <c r="E513" s="10" t="s">
        <v>1746</v>
      </c>
      <c r="F513" s="151">
        <f>IF(ISNUMBER(X69),X69/SUM($I$43:$AI$71),0)</f>
        <v>0</v>
      </c>
    </row>
    <row r="514" spans="1:6" x14ac:dyDescent="0.25">
      <c r="A514" s="150">
        <v>509</v>
      </c>
      <c r="B514" s="10" t="s">
        <v>1195</v>
      </c>
      <c r="C514">
        <v>8764.7429727176204</v>
      </c>
      <c r="E514" s="10" t="s">
        <v>1747</v>
      </c>
      <c r="F514" s="151">
        <f>IF(ISNUMBER(Y69),Y69/SUM($I$43:$AI$71),0)</f>
        <v>0</v>
      </c>
    </row>
    <row r="515" spans="1:6" x14ac:dyDescent="0.25">
      <c r="A515" s="150">
        <v>510</v>
      </c>
      <c r="B515" s="10" t="s">
        <v>1196</v>
      </c>
      <c r="C515">
        <v>1886.68684124737</v>
      </c>
      <c r="E515" s="10" t="s">
        <v>1748</v>
      </c>
      <c r="F515" s="151">
        <f>IF(ISNUMBER(Z69),Z69/SUM($I$43:$AI$71),0)</f>
        <v>0</v>
      </c>
    </row>
    <row r="516" spans="1:6" x14ac:dyDescent="0.25">
      <c r="A516" s="150">
        <v>511</v>
      </c>
      <c r="B516" s="10" t="s">
        <v>757</v>
      </c>
      <c r="C516">
        <v>4524497.8790898304</v>
      </c>
      <c r="E516" s="10" t="s">
        <v>1749</v>
      </c>
      <c r="F516" s="151">
        <f>IF(ISNUMBER(AA69),AA69/SUM($I$43:$AI$71),0)</f>
        <v>0</v>
      </c>
    </row>
    <row r="517" spans="1:6" x14ac:dyDescent="0.25">
      <c r="A517" s="150">
        <v>512</v>
      </c>
      <c r="B517" s="10" t="s">
        <v>758</v>
      </c>
      <c r="C517">
        <v>2887507.24080873</v>
      </c>
      <c r="E517" s="10" t="s">
        <v>1750</v>
      </c>
      <c r="F517" s="151">
        <f>IF(ISNUMBER(AB69),AB69/SUM($I$43:$AI$71),0)</f>
        <v>0</v>
      </c>
    </row>
    <row r="518" spans="1:6" x14ac:dyDescent="0.25">
      <c r="A518" s="150">
        <v>513</v>
      </c>
      <c r="B518" s="10" t="s">
        <v>301</v>
      </c>
      <c r="C518">
        <v>19751768.280919999</v>
      </c>
      <c r="E518" s="10" t="s">
        <v>1751</v>
      </c>
      <c r="F518" s="151">
        <f>IF(ISNUMBER(AC69),AC69/SUM($I$43:$AI$71),0)</f>
        <v>0</v>
      </c>
    </row>
    <row r="519" spans="1:6" x14ac:dyDescent="0.25">
      <c r="A519" s="150">
        <v>514</v>
      </c>
      <c r="B519" s="10" t="s">
        <v>302</v>
      </c>
      <c r="C519">
        <v>15587263.7763767</v>
      </c>
      <c r="E519" s="10" t="s">
        <v>1752</v>
      </c>
      <c r="F519" s="151">
        <f>IF(ISNUMBER(AD69),AD69/SUM($I$43:$AI$71),0)</f>
        <v>0</v>
      </c>
    </row>
    <row r="520" spans="1:6" x14ac:dyDescent="0.25">
      <c r="A520" s="150">
        <v>515</v>
      </c>
      <c r="B520" s="10" t="s">
        <v>303</v>
      </c>
      <c r="C520">
        <v>65378901.312511399</v>
      </c>
      <c r="E520" s="10" t="s">
        <v>1753</v>
      </c>
      <c r="F520" s="151">
        <f>IF(ISNUMBER(AE69),AE69/SUM($I$43:$AI$71),0)</f>
        <v>0</v>
      </c>
    </row>
    <row r="521" spans="1:6" x14ac:dyDescent="0.25">
      <c r="A521" s="150">
        <v>516</v>
      </c>
      <c r="B521" s="10" t="s">
        <v>304</v>
      </c>
      <c r="C521">
        <v>63814187.598041497</v>
      </c>
      <c r="E521" s="10" t="s">
        <v>1754</v>
      </c>
      <c r="F521" s="151">
        <f>IF(ISNUMBER(AF69),AF69/SUM($I$43:$AI$71),0)</f>
        <v>0</v>
      </c>
    </row>
    <row r="522" spans="1:6" x14ac:dyDescent="0.25">
      <c r="A522" s="150">
        <v>517</v>
      </c>
      <c r="B522" s="10" t="s">
        <v>305</v>
      </c>
      <c r="C522">
        <v>118040797.63131</v>
      </c>
      <c r="E522" s="10" t="s">
        <v>1755</v>
      </c>
      <c r="F522" s="151">
        <f>IF(ISNUMBER(AG69),AG69/SUM($I$43:$AI$71),0)</f>
        <v>0</v>
      </c>
    </row>
    <row r="523" spans="1:6" x14ac:dyDescent="0.25">
      <c r="A523" s="150">
        <v>518</v>
      </c>
      <c r="B523" s="10" t="s">
        <v>306</v>
      </c>
      <c r="C523">
        <v>105807399.611885</v>
      </c>
      <c r="E523" s="10" t="s">
        <v>1756</v>
      </c>
      <c r="F523" s="151">
        <f>IF(ISNUMBER(AH69),AH69/SUM($I$43:$AI$71),0)</f>
        <v>0</v>
      </c>
    </row>
    <row r="524" spans="1:6" x14ac:dyDescent="0.25">
      <c r="A524" s="150">
        <v>519</v>
      </c>
      <c r="B524" s="10" t="s">
        <v>307</v>
      </c>
      <c r="C524">
        <v>101869119.99176</v>
      </c>
      <c r="E524" s="10" t="s">
        <v>1757</v>
      </c>
      <c r="F524" s="151">
        <f>IF(ISNUMBER(AI69),AI69/SUM($I$43:$AI$71),0)</f>
        <v>0</v>
      </c>
    </row>
    <row r="525" spans="1:6" x14ac:dyDescent="0.25">
      <c r="A525" s="150">
        <v>520</v>
      </c>
      <c r="B525" s="10" t="s">
        <v>308</v>
      </c>
      <c r="C525">
        <v>79742989.231086701</v>
      </c>
      <c r="E525" s="10" t="s">
        <v>644</v>
      </c>
      <c r="F525" s="151">
        <f>IF(ISNUMBER(I70),I70/SUM($I$43:$AI$71),0)</f>
        <v>0</v>
      </c>
    </row>
    <row r="526" spans="1:6" x14ac:dyDescent="0.25">
      <c r="A526" s="150">
        <v>521</v>
      </c>
      <c r="B526" s="10" t="s">
        <v>309</v>
      </c>
      <c r="C526">
        <v>49767398.683708198</v>
      </c>
      <c r="E526" s="10" t="s">
        <v>645</v>
      </c>
      <c r="F526" s="151">
        <f>IF(ISNUMBER(J70),J70/SUM($I$43:$AI$71),0)</f>
        <v>0</v>
      </c>
    </row>
    <row r="527" spans="1:6" x14ac:dyDescent="0.25">
      <c r="A527" s="150">
        <v>522</v>
      </c>
      <c r="B527" s="10" t="s">
        <v>310</v>
      </c>
      <c r="C527">
        <v>42146241.442279801</v>
      </c>
      <c r="E527" s="10" t="s">
        <v>646</v>
      </c>
      <c r="F527" s="151">
        <f>IF(ISNUMBER(K70),K70/SUM($I$43:$AI$71),0)</f>
        <v>0</v>
      </c>
    </row>
    <row r="528" spans="1:6" x14ac:dyDescent="0.25">
      <c r="A528" s="150">
        <v>523</v>
      </c>
      <c r="B528" s="10" t="s">
        <v>311</v>
      </c>
      <c r="C528">
        <v>14420898.1896095</v>
      </c>
      <c r="E528" s="10" t="s">
        <v>647</v>
      </c>
      <c r="F528" s="151">
        <f>IF(ISNUMBER(L70),L70/SUM($I$43:$AI$71),0)</f>
        <v>2.0170825481174645E-4</v>
      </c>
    </row>
    <row r="529" spans="1:6" x14ac:dyDescent="0.25">
      <c r="A529" s="150">
        <v>524</v>
      </c>
      <c r="B529" s="10" t="s">
        <v>312</v>
      </c>
      <c r="C529">
        <v>13672676.874736801</v>
      </c>
      <c r="E529" s="10" t="s">
        <v>648</v>
      </c>
      <c r="F529" s="151">
        <f>IF(ISNUMBER(M70),M70/SUM($I$43:$AI$71),0)</f>
        <v>0</v>
      </c>
    </row>
    <row r="530" spans="1:6" x14ac:dyDescent="0.25">
      <c r="A530" s="150">
        <v>525</v>
      </c>
      <c r="B530" s="10" t="s">
        <v>313</v>
      </c>
      <c r="C530">
        <v>2463302.3172583599</v>
      </c>
      <c r="E530" s="10" t="s">
        <v>649</v>
      </c>
      <c r="F530" s="151">
        <f>IF(ISNUMBER(N70),N70/SUM($I$43:$AI$71),0)</f>
        <v>1.5883595389686093E-4</v>
      </c>
    </row>
    <row r="531" spans="1:6" x14ac:dyDescent="0.25">
      <c r="A531" s="150">
        <v>526</v>
      </c>
      <c r="B531" s="10" t="s">
        <v>314</v>
      </c>
      <c r="C531">
        <v>2237463.1938858</v>
      </c>
      <c r="E531" s="10" t="s">
        <v>650</v>
      </c>
      <c r="F531" s="151">
        <f>IF(ISNUMBER(O70),O70/SUM($I$43:$AI$71),0)</f>
        <v>0</v>
      </c>
    </row>
    <row r="532" spans="1:6" x14ac:dyDescent="0.25">
      <c r="A532" s="150">
        <v>527</v>
      </c>
      <c r="B532" s="10" t="s">
        <v>315</v>
      </c>
      <c r="C532">
        <v>127525.580554202</v>
      </c>
      <c r="E532" s="10" t="s">
        <v>651</v>
      </c>
      <c r="F532" s="151">
        <f>IF(ISNUMBER(P70),P70/SUM($I$43:$AI$71),0)</f>
        <v>0</v>
      </c>
    </row>
    <row r="533" spans="1:6" x14ac:dyDescent="0.25">
      <c r="A533" s="150">
        <v>528</v>
      </c>
      <c r="B533" s="10" t="s">
        <v>316</v>
      </c>
      <c r="C533">
        <v>60103.8860600591</v>
      </c>
      <c r="E533" s="10" t="s">
        <v>652</v>
      </c>
      <c r="F533" s="151">
        <f>IF(ISNUMBER(Q70),Q70/SUM($I$43:$AI$71),0)</f>
        <v>0</v>
      </c>
    </row>
    <row r="534" spans="1:6" x14ac:dyDescent="0.25">
      <c r="A534" s="150">
        <v>529</v>
      </c>
      <c r="B534" s="10" t="s">
        <v>317</v>
      </c>
      <c r="C534">
        <v>0</v>
      </c>
      <c r="E534" s="10" t="s">
        <v>653</v>
      </c>
      <c r="F534" s="151">
        <f>IF(ISNUMBER(R70),R70/SUM($I$43:$AI$71),0)</f>
        <v>0</v>
      </c>
    </row>
    <row r="535" spans="1:6" x14ac:dyDescent="0.25">
      <c r="A535" s="150">
        <v>530</v>
      </c>
      <c r="B535" s="10" t="s">
        <v>318</v>
      </c>
      <c r="C535">
        <v>19271.321255859501</v>
      </c>
      <c r="E535" s="10" t="s">
        <v>1758</v>
      </c>
      <c r="F535" s="151">
        <f>IF(ISNUMBER(S70),S70/SUM($I$43:$AI$71),0)</f>
        <v>0</v>
      </c>
    </row>
    <row r="536" spans="1:6" x14ac:dyDescent="0.25">
      <c r="A536" s="150">
        <v>531</v>
      </c>
      <c r="B536" s="10" t="s">
        <v>319</v>
      </c>
      <c r="C536">
        <v>4430.6529196777301</v>
      </c>
      <c r="E536" s="10" t="s">
        <v>1759</v>
      </c>
      <c r="F536" s="151">
        <f>IF(ISNUMBER(T70),T70/SUM($I$43:$AI$71),0)</f>
        <v>0</v>
      </c>
    </row>
    <row r="537" spans="1:6" x14ac:dyDescent="0.25">
      <c r="A537" s="150">
        <v>532</v>
      </c>
      <c r="B537" s="10" t="s">
        <v>320</v>
      </c>
      <c r="C537">
        <v>0</v>
      </c>
      <c r="E537" s="10" t="s">
        <v>1760</v>
      </c>
      <c r="F537" s="151">
        <f>IF(ISNUMBER(U70),U70/SUM($I$43:$AI$71),0)</f>
        <v>0</v>
      </c>
    </row>
    <row r="538" spans="1:6" x14ac:dyDescent="0.25">
      <c r="A538" s="150">
        <v>533</v>
      </c>
      <c r="B538" s="10" t="s">
        <v>759</v>
      </c>
      <c r="C538">
        <v>0</v>
      </c>
      <c r="E538" s="10" t="s">
        <v>1761</v>
      </c>
      <c r="F538" s="151">
        <f>IF(ISNUMBER(V70),V70/SUM($I$43:$AI$71),0)</f>
        <v>0</v>
      </c>
    </row>
    <row r="539" spans="1:6" x14ac:dyDescent="0.25">
      <c r="A539" s="150">
        <v>534</v>
      </c>
      <c r="B539" s="10" t="s">
        <v>760</v>
      </c>
      <c r="C539">
        <v>13328.899959959999</v>
      </c>
      <c r="E539" s="10" t="s">
        <v>1762</v>
      </c>
      <c r="F539" s="151">
        <f>IF(ISNUMBER(W70),W70/SUM($I$43:$AI$71),0)</f>
        <v>0</v>
      </c>
    </row>
    <row r="540" spans="1:6" x14ac:dyDescent="0.25">
      <c r="A540" s="150">
        <v>535</v>
      </c>
      <c r="B540" s="10" t="s">
        <v>761</v>
      </c>
      <c r="C540">
        <v>0</v>
      </c>
      <c r="E540" s="10" t="s">
        <v>1763</v>
      </c>
      <c r="F540" s="151">
        <f>IF(ISNUMBER(X70),X70/SUM($I$43:$AI$71),0)</f>
        <v>0</v>
      </c>
    </row>
    <row r="541" spans="1:6" x14ac:dyDescent="0.25">
      <c r="A541" s="150">
        <v>536</v>
      </c>
      <c r="B541" s="10" t="s">
        <v>762</v>
      </c>
      <c r="C541">
        <v>3434.37401385559</v>
      </c>
      <c r="E541" s="10" t="s">
        <v>1764</v>
      </c>
      <c r="F541" s="151">
        <f>IF(ISNUMBER(Y70),Y70/SUM($I$43:$AI$71),0)</f>
        <v>0</v>
      </c>
    </row>
    <row r="542" spans="1:6" x14ac:dyDescent="0.25">
      <c r="A542" s="150">
        <v>537</v>
      </c>
      <c r="B542" s="10" t="s">
        <v>1051</v>
      </c>
      <c r="C542">
        <v>935639.30969381297</v>
      </c>
      <c r="E542" s="10" t="s">
        <v>1765</v>
      </c>
      <c r="F542" s="151">
        <f>IF(ISNUMBER(Z70),Z70/SUM($I$43:$AI$71),0)</f>
        <v>0</v>
      </c>
    </row>
    <row r="543" spans="1:6" x14ac:dyDescent="0.25">
      <c r="A543" s="150">
        <v>538</v>
      </c>
      <c r="B543" s="10" t="s">
        <v>1052</v>
      </c>
      <c r="C543">
        <v>172642.135198548</v>
      </c>
      <c r="E543" s="10" t="s">
        <v>1766</v>
      </c>
      <c r="F543" s="151">
        <f>IF(ISNUMBER(AA70),AA70/SUM($I$43:$AI$71),0)</f>
        <v>0</v>
      </c>
    </row>
    <row r="544" spans="1:6" x14ac:dyDescent="0.25">
      <c r="A544" s="150">
        <v>539</v>
      </c>
      <c r="B544" s="10" t="s">
        <v>1197</v>
      </c>
      <c r="C544">
        <v>1661016.2102421499</v>
      </c>
      <c r="E544" s="10" t="s">
        <v>1767</v>
      </c>
      <c r="F544" s="151">
        <f>IF(ISNUMBER(AB70),AB70/SUM($I$43:$AI$71),0)</f>
        <v>0</v>
      </c>
    </row>
    <row r="545" spans="1:6" x14ac:dyDescent="0.25">
      <c r="A545" s="150">
        <v>540</v>
      </c>
      <c r="B545" s="10" t="s">
        <v>1198</v>
      </c>
      <c r="C545">
        <v>1508461.28947556</v>
      </c>
      <c r="E545" s="10" t="s">
        <v>1768</v>
      </c>
      <c r="F545" s="151">
        <f>IF(ISNUMBER(AC70),AC70/SUM($I$43:$AI$71),0)</f>
        <v>0</v>
      </c>
    </row>
    <row r="546" spans="1:6" x14ac:dyDescent="0.25">
      <c r="A546" s="150">
        <v>541</v>
      </c>
      <c r="B546" s="10" t="s">
        <v>1199</v>
      </c>
      <c r="C546">
        <v>15509557.4765759</v>
      </c>
      <c r="E546" s="10" t="s">
        <v>1769</v>
      </c>
      <c r="F546" s="151">
        <f>IF(ISNUMBER(AD70),AD70/SUM($I$43:$AI$71),0)</f>
        <v>0</v>
      </c>
    </row>
    <row r="547" spans="1:6" x14ac:dyDescent="0.25">
      <c r="A547" s="150">
        <v>542</v>
      </c>
      <c r="B547" s="10" t="s">
        <v>1200</v>
      </c>
      <c r="C547">
        <v>14587386.334386799</v>
      </c>
      <c r="E547" s="10" t="s">
        <v>1770</v>
      </c>
      <c r="F547" s="151">
        <f>IF(ISNUMBER(AE70),AE70/SUM($I$43:$AI$71),0)</f>
        <v>0</v>
      </c>
    </row>
    <row r="548" spans="1:6" x14ac:dyDescent="0.25">
      <c r="A548" s="150">
        <v>543</v>
      </c>
      <c r="B548" s="10" t="s">
        <v>1201</v>
      </c>
      <c r="C548">
        <v>47154190.666984603</v>
      </c>
      <c r="E548" s="10" t="s">
        <v>1771</v>
      </c>
      <c r="F548" s="151">
        <f>IF(ISNUMBER(AF70),AF70/SUM($I$43:$AI$71),0)</f>
        <v>0</v>
      </c>
    </row>
    <row r="549" spans="1:6" x14ac:dyDescent="0.25">
      <c r="A549" s="150">
        <v>544</v>
      </c>
      <c r="B549" s="10" t="s">
        <v>1202</v>
      </c>
      <c r="C549">
        <v>42227708.532814004</v>
      </c>
      <c r="E549" s="10" t="s">
        <v>1772</v>
      </c>
      <c r="F549" s="151">
        <f>IF(ISNUMBER(AG70),AG70/SUM($I$43:$AI$71),0)</f>
        <v>0</v>
      </c>
    </row>
    <row r="550" spans="1:6" x14ac:dyDescent="0.25">
      <c r="A550" s="150">
        <v>545</v>
      </c>
      <c r="B550" s="10" t="s">
        <v>1203</v>
      </c>
      <c r="C550">
        <v>76112935.802009597</v>
      </c>
      <c r="E550" s="10" t="s">
        <v>1773</v>
      </c>
      <c r="F550" s="151">
        <f>IF(ISNUMBER(AH70),AH70/SUM($I$43:$AI$71),0)</f>
        <v>0</v>
      </c>
    </row>
    <row r="551" spans="1:6" x14ac:dyDescent="0.25">
      <c r="A551" s="150">
        <v>546</v>
      </c>
      <c r="B551" s="10" t="s">
        <v>1204</v>
      </c>
      <c r="C551">
        <v>71137040.495281205</v>
      </c>
      <c r="E551" s="10" t="s">
        <v>1774</v>
      </c>
      <c r="F551" s="151">
        <f>IF(ISNUMBER(AI70),AI70/SUM($I$43:$AI$71),0)</f>
        <v>0</v>
      </c>
    </row>
    <row r="552" spans="1:6" x14ac:dyDescent="0.25">
      <c r="A552" s="150">
        <v>547</v>
      </c>
      <c r="B552" s="10" t="s">
        <v>1205</v>
      </c>
      <c r="C552">
        <v>74241735.470031694</v>
      </c>
      <c r="E552" s="10" t="s">
        <v>654</v>
      </c>
      <c r="F552" s="151">
        <f>IF(ISNUMBER(I71),I71/SUM($I$43:$AI$71),0)</f>
        <v>0</v>
      </c>
    </row>
    <row r="553" spans="1:6" x14ac:dyDescent="0.25">
      <c r="A553" s="150">
        <v>548</v>
      </c>
      <c r="B553" s="10" t="s">
        <v>1206</v>
      </c>
      <c r="C553">
        <v>71791752.031738296</v>
      </c>
      <c r="E553" s="10" t="s">
        <v>655</v>
      </c>
      <c r="F553" s="151">
        <f>IF(ISNUMBER(J71),J71/SUM($I$43:$AI$71),0)</f>
        <v>0</v>
      </c>
    </row>
    <row r="554" spans="1:6" x14ac:dyDescent="0.25">
      <c r="A554" s="150">
        <v>549</v>
      </c>
      <c r="B554" s="10" t="s">
        <v>1207</v>
      </c>
      <c r="C554">
        <v>43413464.978839897</v>
      </c>
      <c r="E554" s="10" t="s">
        <v>656</v>
      </c>
      <c r="F554" s="151">
        <f>IF(ISNUMBER(K71),K71/SUM($I$43:$AI$71),0)</f>
        <v>0</v>
      </c>
    </row>
    <row r="555" spans="1:6" x14ac:dyDescent="0.25">
      <c r="A555" s="150">
        <v>550</v>
      </c>
      <c r="B555" s="10" t="s">
        <v>1208</v>
      </c>
      <c r="C555">
        <v>41618972.147903398</v>
      </c>
      <c r="E555" s="10" t="s">
        <v>657</v>
      </c>
      <c r="F555" s="151">
        <f>IF(ISNUMBER(L71),L71/SUM($I$43:$AI$71),0)</f>
        <v>0</v>
      </c>
    </row>
    <row r="556" spans="1:6" x14ac:dyDescent="0.25">
      <c r="A556" s="150">
        <v>551</v>
      </c>
      <c r="B556" s="10" t="s">
        <v>1209</v>
      </c>
      <c r="C556">
        <v>16436025.406713501</v>
      </c>
      <c r="E556" s="10" t="s">
        <v>658</v>
      </c>
      <c r="F556" s="151">
        <f>IF(ISNUMBER(M71),M71/SUM($I$43:$AI$71),0)</f>
        <v>0</v>
      </c>
    </row>
    <row r="557" spans="1:6" x14ac:dyDescent="0.25">
      <c r="A557" s="150">
        <v>552</v>
      </c>
      <c r="B557" s="10" t="s">
        <v>1210</v>
      </c>
      <c r="C557">
        <v>14513218.40522</v>
      </c>
      <c r="E557" s="10" t="s">
        <v>659</v>
      </c>
      <c r="F557" s="151">
        <f>IF(ISNUMBER(N71),N71/SUM($I$43:$AI$71),0)</f>
        <v>1.15856573459209E-4</v>
      </c>
    </row>
    <row r="558" spans="1:6" x14ac:dyDescent="0.25">
      <c r="A558" s="150">
        <v>553</v>
      </c>
      <c r="B558" s="10" t="s">
        <v>1211</v>
      </c>
      <c r="C558">
        <v>3272849.7122917199</v>
      </c>
      <c r="E558" s="10" t="s">
        <v>660</v>
      </c>
      <c r="F558" s="151">
        <f>IF(ISNUMBER(O71),O71/SUM($I$43:$AI$71),0)</f>
        <v>0</v>
      </c>
    </row>
    <row r="559" spans="1:6" x14ac:dyDescent="0.25">
      <c r="A559" s="150">
        <v>554</v>
      </c>
      <c r="B559" s="10" t="s">
        <v>1212</v>
      </c>
      <c r="C559">
        <v>3039355.3159463401</v>
      </c>
      <c r="E559" s="10" t="s">
        <v>661</v>
      </c>
      <c r="F559" s="151">
        <f>IF(ISNUMBER(P71),P71/SUM($I$43:$AI$71),0)</f>
        <v>0</v>
      </c>
    </row>
    <row r="560" spans="1:6" x14ac:dyDescent="0.25">
      <c r="A560" s="150">
        <v>555</v>
      </c>
      <c r="B560" s="10" t="s">
        <v>1213</v>
      </c>
      <c r="C560">
        <v>143165.256493166</v>
      </c>
      <c r="E560" s="10" t="s">
        <v>662</v>
      </c>
      <c r="F560" s="151">
        <f>IF(ISNUMBER(Q71),Q71/SUM($I$43:$AI$71),0)</f>
        <v>0</v>
      </c>
    </row>
    <row r="561" spans="1:6" x14ac:dyDescent="0.25">
      <c r="A561" s="150">
        <v>556</v>
      </c>
      <c r="B561" s="10" t="s">
        <v>1214</v>
      </c>
      <c r="C561">
        <v>165883.67003937101</v>
      </c>
      <c r="E561" s="10" t="s">
        <v>1775</v>
      </c>
      <c r="F561" s="151">
        <f>IF(ISNUMBER(R71),R71/SUM($I$43:$AI$71),0)</f>
        <v>0</v>
      </c>
    </row>
    <row r="562" spans="1:6" x14ac:dyDescent="0.25">
      <c r="A562" s="150">
        <v>557</v>
      </c>
      <c r="B562" s="10" t="s">
        <v>1215</v>
      </c>
      <c r="C562">
        <v>50097.211184631997</v>
      </c>
      <c r="E562" s="10" t="s">
        <v>1776</v>
      </c>
      <c r="F562" s="151">
        <f>IF(ISNUMBER(S71),S71/SUM($I$43:$AI$71),0)</f>
        <v>0</v>
      </c>
    </row>
    <row r="563" spans="1:6" x14ac:dyDescent="0.25">
      <c r="A563" s="150">
        <v>558</v>
      </c>
      <c r="B563" s="10" t="s">
        <v>1216</v>
      </c>
      <c r="C563">
        <v>571873.88928157103</v>
      </c>
      <c r="E563" s="10" t="s">
        <v>1777</v>
      </c>
      <c r="F563" s="151">
        <f>IF(ISNUMBER(T71),T71/SUM($I$43:$AI$71),0)</f>
        <v>0</v>
      </c>
    </row>
    <row r="564" spans="1:6" x14ac:dyDescent="0.25">
      <c r="A564" s="150">
        <v>559</v>
      </c>
      <c r="B564" s="10" t="s">
        <v>763</v>
      </c>
      <c r="C564">
        <v>3243070.0079879798</v>
      </c>
      <c r="E564" s="10" t="s">
        <v>1778</v>
      </c>
      <c r="F564" s="151">
        <f>IF(ISNUMBER(U71),U71/SUM($I$43:$AI$71),0)</f>
        <v>0</v>
      </c>
    </row>
    <row r="565" spans="1:6" x14ac:dyDescent="0.25">
      <c r="A565" s="150">
        <v>560</v>
      </c>
      <c r="B565" s="10" t="s">
        <v>764</v>
      </c>
      <c r="C565">
        <v>1984653.5949621201</v>
      </c>
      <c r="E565" s="10" t="s">
        <v>1779</v>
      </c>
      <c r="F565" s="151">
        <f>IF(ISNUMBER(V71),V71/SUM($I$43:$AI$71),0)</f>
        <v>0</v>
      </c>
    </row>
    <row r="566" spans="1:6" x14ac:dyDescent="0.25">
      <c r="A566" s="150">
        <v>561</v>
      </c>
      <c r="B566" s="10" t="s">
        <v>765</v>
      </c>
      <c r="C566">
        <v>12856898.1247501</v>
      </c>
      <c r="E566" s="10" t="s">
        <v>1780</v>
      </c>
      <c r="F566" s="151">
        <f>IF(ISNUMBER(W71),W71/SUM($I$43:$AI$71),0)</f>
        <v>0</v>
      </c>
    </row>
    <row r="567" spans="1:6" x14ac:dyDescent="0.25">
      <c r="A567" s="150">
        <v>562</v>
      </c>
      <c r="B567" s="10" t="s">
        <v>766</v>
      </c>
      <c r="C567">
        <v>9902346.3347558994</v>
      </c>
      <c r="E567" s="10" t="s">
        <v>1781</v>
      </c>
      <c r="F567" s="151">
        <f>IF(ISNUMBER(X71),X71/SUM($I$43:$AI$71),0)</f>
        <v>0</v>
      </c>
    </row>
    <row r="568" spans="1:6" x14ac:dyDescent="0.25">
      <c r="A568" s="150">
        <v>563</v>
      </c>
      <c r="B568" s="10" t="s">
        <v>767</v>
      </c>
      <c r="C568">
        <v>45604760.692886397</v>
      </c>
      <c r="E568" s="10" t="s">
        <v>1782</v>
      </c>
      <c r="F568" s="151">
        <f>IF(ISNUMBER(Y71),Y71/SUM($I$43:$AI$71),0)</f>
        <v>0</v>
      </c>
    </row>
    <row r="569" spans="1:6" x14ac:dyDescent="0.25">
      <c r="A569" s="150">
        <v>564</v>
      </c>
      <c r="B569" s="10" t="s">
        <v>768</v>
      </c>
      <c r="C569">
        <v>43816181.854995698</v>
      </c>
      <c r="E569" s="10" t="s">
        <v>1783</v>
      </c>
      <c r="F569" s="151">
        <f>IF(ISNUMBER(Z71),Z71/SUM($I$43:$AI$71),0)</f>
        <v>0</v>
      </c>
    </row>
    <row r="570" spans="1:6" x14ac:dyDescent="0.25">
      <c r="A570" s="150">
        <v>565</v>
      </c>
      <c r="B570" s="10" t="s">
        <v>769</v>
      </c>
      <c r="C570">
        <v>96154006.137176499</v>
      </c>
      <c r="E570" s="10" t="s">
        <v>1784</v>
      </c>
      <c r="F570" s="151">
        <f>IF(ISNUMBER(AA71),AA71/SUM($I$43:$AI$71),0)</f>
        <v>0</v>
      </c>
    </row>
    <row r="571" spans="1:6" x14ac:dyDescent="0.25">
      <c r="A571" s="150">
        <v>566</v>
      </c>
      <c r="B571" s="10" t="s">
        <v>770</v>
      </c>
      <c r="C571">
        <v>85535531.554084793</v>
      </c>
      <c r="E571" s="10" t="s">
        <v>1785</v>
      </c>
      <c r="F571" s="151">
        <f>IF(ISNUMBER(AB71),AB71/SUM($I$43:$AI$71),0)</f>
        <v>0</v>
      </c>
    </row>
    <row r="572" spans="1:6" x14ac:dyDescent="0.25">
      <c r="A572" s="150">
        <v>567</v>
      </c>
      <c r="B572" s="10" t="s">
        <v>771</v>
      </c>
      <c r="C572">
        <v>91585706.2823257</v>
      </c>
      <c r="E572" s="10" t="s">
        <v>1786</v>
      </c>
      <c r="F572" s="151">
        <f>IF(ISNUMBER(AC71),AC71/SUM($I$43:$AI$71),0)</f>
        <v>0</v>
      </c>
    </row>
    <row r="573" spans="1:6" x14ac:dyDescent="0.25">
      <c r="A573" s="150">
        <v>568</v>
      </c>
      <c r="B573" s="10" t="s">
        <v>772</v>
      </c>
      <c r="C573">
        <v>71639511.007068604</v>
      </c>
      <c r="E573" s="10" t="s">
        <v>1787</v>
      </c>
      <c r="F573" s="151">
        <f>IF(ISNUMBER(AD71),AD71/SUM($I$43:$AI$71),0)</f>
        <v>0</v>
      </c>
    </row>
    <row r="574" spans="1:6" x14ac:dyDescent="0.25">
      <c r="A574" s="150">
        <v>569</v>
      </c>
      <c r="B574" s="10" t="s">
        <v>773</v>
      </c>
      <c r="C574">
        <v>50509600.965988196</v>
      </c>
      <c r="E574" s="10" t="s">
        <v>1788</v>
      </c>
      <c r="F574" s="151">
        <f>IF(ISNUMBER(AE71),AE71/SUM($I$43:$AI$71),0)</f>
        <v>0</v>
      </c>
    </row>
    <row r="575" spans="1:6" x14ac:dyDescent="0.25">
      <c r="A575" s="150">
        <v>570</v>
      </c>
      <c r="B575" s="10" t="s">
        <v>774</v>
      </c>
      <c r="C575">
        <v>42404544.144180298</v>
      </c>
      <c r="E575" s="10" t="s">
        <v>1789</v>
      </c>
      <c r="F575" s="151">
        <f>IF(ISNUMBER(AF71),AF71/SUM($I$43:$AI$71),0)</f>
        <v>0</v>
      </c>
    </row>
    <row r="576" spans="1:6" x14ac:dyDescent="0.25">
      <c r="A576" s="150">
        <v>571</v>
      </c>
      <c r="B576" s="10" t="s">
        <v>775</v>
      </c>
      <c r="C576">
        <v>17685051.914148301</v>
      </c>
      <c r="E576" s="10" t="s">
        <v>1790</v>
      </c>
      <c r="F576" s="151">
        <f>IF(ISNUMBER(AG71),AG71/SUM($I$43:$AI$71),0)</f>
        <v>0</v>
      </c>
    </row>
    <row r="577" spans="1:6" x14ac:dyDescent="0.25">
      <c r="A577" s="150">
        <v>572</v>
      </c>
      <c r="B577" s="10" t="s">
        <v>776</v>
      </c>
      <c r="C577">
        <v>15990524.0482044</v>
      </c>
      <c r="E577" s="10" t="s">
        <v>1791</v>
      </c>
      <c r="F577" s="151">
        <f>IF(ISNUMBER(AH71),AH71/SUM($I$43:$AI$71),0)</f>
        <v>0</v>
      </c>
    </row>
    <row r="578" spans="1:6" x14ac:dyDescent="0.25">
      <c r="A578" s="150">
        <v>573</v>
      </c>
      <c r="B578" s="10" t="s">
        <v>777</v>
      </c>
      <c r="C578">
        <v>3729333.2425723099</v>
      </c>
      <c r="E578" s="165" t="s">
        <v>1792</v>
      </c>
      <c r="F578" s="166">
        <f>IF(ISNUMBER(AI71),AI71/SUM($I$43:$AI$71),0)</f>
        <v>0</v>
      </c>
    </row>
    <row r="579" spans="1:6" x14ac:dyDescent="0.25">
      <c r="A579" s="150">
        <v>574</v>
      </c>
      <c r="B579" s="10" t="s">
        <v>778</v>
      </c>
      <c r="C579">
        <v>3680913.6794075998</v>
      </c>
    </row>
    <row r="580" spans="1:6" x14ac:dyDescent="0.25">
      <c r="A580" s="150">
        <v>575</v>
      </c>
      <c r="B580" s="10" t="s">
        <v>779</v>
      </c>
      <c r="C580">
        <v>185615.93130664501</v>
      </c>
    </row>
    <row r="581" spans="1:6" x14ac:dyDescent="0.25">
      <c r="A581" s="150">
        <v>576</v>
      </c>
      <c r="B581" s="10" t="s">
        <v>780</v>
      </c>
      <c r="C581">
        <v>101466.884655274</v>
      </c>
    </row>
    <row r="582" spans="1:6" x14ac:dyDescent="0.25">
      <c r="A582" s="150">
        <v>577</v>
      </c>
      <c r="B582" s="10" t="s">
        <v>781</v>
      </c>
      <c r="C582">
        <v>4684.5336152343098</v>
      </c>
    </row>
    <row r="583" spans="1:6" x14ac:dyDescent="0.25">
      <c r="A583" s="150">
        <v>578</v>
      </c>
      <c r="B583" s="10" t="s">
        <v>782</v>
      </c>
      <c r="C583">
        <v>0</v>
      </c>
    </row>
    <row r="584" spans="1:6" x14ac:dyDescent="0.25">
      <c r="A584" s="150">
        <v>579</v>
      </c>
      <c r="B584" s="10" t="s">
        <v>783</v>
      </c>
      <c r="C584">
        <v>0</v>
      </c>
    </row>
    <row r="585" spans="1:6" x14ac:dyDescent="0.25">
      <c r="A585" s="150">
        <v>580</v>
      </c>
      <c r="B585" s="10" t="s">
        <v>784</v>
      </c>
      <c r="C585">
        <v>0</v>
      </c>
    </row>
    <row r="586" spans="1:6" x14ac:dyDescent="0.25">
      <c r="A586" s="150">
        <v>581</v>
      </c>
      <c r="B586" s="10" t="s">
        <v>785</v>
      </c>
      <c r="C586">
        <v>0</v>
      </c>
    </row>
    <row r="587" spans="1:6" x14ac:dyDescent="0.25">
      <c r="A587" s="150">
        <v>582</v>
      </c>
      <c r="B587" s="10" t="s">
        <v>786</v>
      </c>
      <c r="C587">
        <v>0</v>
      </c>
    </row>
    <row r="588" spans="1:6" x14ac:dyDescent="0.25">
      <c r="A588" s="150">
        <v>583</v>
      </c>
      <c r="B588" s="10" t="s">
        <v>787</v>
      </c>
      <c r="C588">
        <v>445.82369525142701</v>
      </c>
    </row>
    <row r="589" spans="1:6" x14ac:dyDescent="0.25">
      <c r="A589" s="150">
        <v>584</v>
      </c>
      <c r="B589" s="10" t="s">
        <v>788</v>
      </c>
      <c r="C589">
        <v>0</v>
      </c>
    </row>
    <row r="590" spans="1:6" x14ac:dyDescent="0.25">
      <c r="A590" s="150">
        <v>585</v>
      </c>
      <c r="B590" s="10" t="s">
        <v>1217</v>
      </c>
      <c r="C590">
        <v>42454.293627407402</v>
      </c>
    </row>
    <row r="591" spans="1:6" x14ac:dyDescent="0.25">
      <c r="A591" s="150">
        <v>586</v>
      </c>
      <c r="B591" s="10" t="s">
        <v>1218</v>
      </c>
      <c r="C591">
        <v>20237.702449951299</v>
      </c>
    </row>
    <row r="592" spans="1:6" x14ac:dyDescent="0.25">
      <c r="A592" s="150">
        <v>587</v>
      </c>
      <c r="B592" s="10" t="s">
        <v>1219</v>
      </c>
      <c r="C592">
        <v>53491.934475585796</v>
      </c>
    </row>
    <row r="593" spans="1:3" x14ac:dyDescent="0.25">
      <c r="A593" s="150">
        <v>588</v>
      </c>
      <c r="B593" s="10" t="s">
        <v>1220</v>
      </c>
      <c r="C593">
        <v>26591.0955908205</v>
      </c>
    </row>
    <row r="594" spans="1:3" x14ac:dyDescent="0.25">
      <c r="A594" s="150">
        <v>589</v>
      </c>
      <c r="B594" s="10" t="s">
        <v>1221</v>
      </c>
      <c r="C594">
        <v>4682136.1898064604</v>
      </c>
    </row>
    <row r="595" spans="1:3" x14ac:dyDescent="0.25">
      <c r="A595" s="150">
        <v>590</v>
      </c>
      <c r="B595" s="10" t="s">
        <v>1222</v>
      </c>
      <c r="C595">
        <v>3957071.9429707499</v>
      </c>
    </row>
    <row r="596" spans="1:3" x14ac:dyDescent="0.25">
      <c r="A596" s="150">
        <v>591</v>
      </c>
      <c r="B596" s="10" t="s">
        <v>1223</v>
      </c>
      <c r="C596">
        <v>26275183.3027534</v>
      </c>
    </row>
    <row r="597" spans="1:3" x14ac:dyDescent="0.25">
      <c r="A597" s="150">
        <v>592</v>
      </c>
      <c r="B597" s="10" t="s">
        <v>1224</v>
      </c>
      <c r="C597">
        <v>23119504.741508499</v>
      </c>
    </row>
    <row r="598" spans="1:3" x14ac:dyDescent="0.25">
      <c r="A598" s="150">
        <v>593</v>
      </c>
      <c r="B598" s="10" t="s">
        <v>1225</v>
      </c>
      <c r="C598">
        <v>68979226.653240204</v>
      </c>
    </row>
    <row r="599" spans="1:3" x14ac:dyDescent="0.25">
      <c r="A599" s="150">
        <v>594</v>
      </c>
      <c r="B599" s="10" t="s">
        <v>1226</v>
      </c>
      <c r="C599">
        <v>62767483.574806198</v>
      </c>
    </row>
    <row r="600" spans="1:3" x14ac:dyDescent="0.25">
      <c r="A600" s="150">
        <v>595</v>
      </c>
      <c r="B600" s="10" t="s">
        <v>1227</v>
      </c>
      <c r="C600">
        <v>103400873.714935</v>
      </c>
    </row>
    <row r="601" spans="1:3" x14ac:dyDescent="0.25">
      <c r="A601" s="150">
        <v>596</v>
      </c>
      <c r="B601" s="10" t="s">
        <v>1228</v>
      </c>
      <c r="C601">
        <v>101263579.138474</v>
      </c>
    </row>
    <row r="602" spans="1:3" x14ac:dyDescent="0.25">
      <c r="A602" s="150">
        <v>597</v>
      </c>
      <c r="B602" s="10" t="s">
        <v>1229</v>
      </c>
      <c r="C602">
        <v>96469546.833122298</v>
      </c>
    </row>
    <row r="603" spans="1:3" x14ac:dyDescent="0.25">
      <c r="A603" s="150">
        <v>598</v>
      </c>
      <c r="B603" s="10" t="s">
        <v>1230</v>
      </c>
      <c r="C603">
        <v>94523655.102027893</v>
      </c>
    </row>
    <row r="604" spans="1:3" x14ac:dyDescent="0.25">
      <c r="A604" s="150">
        <v>599</v>
      </c>
      <c r="B604" s="10" t="s">
        <v>1231</v>
      </c>
      <c r="C604">
        <v>57107229.617416397</v>
      </c>
    </row>
    <row r="605" spans="1:3" x14ac:dyDescent="0.25">
      <c r="A605" s="150">
        <v>600</v>
      </c>
      <c r="B605" s="10" t="s">
        <v>1232</v>
      </c>
      <c r="C605">
        <v>52363901.100688897</v>
      </c>
    </row>
    <row r="606" spans="1:3" x14ac:dyDescent="0.25">
      <c r="A606" s="150">
        <v>601</v>
      </c>
      <c r="B606" s="10" t="s">
        <v>1233</v>
      </c>
      <c r="C606">
        <v>21364553.578939401</v>
      </c>
    </row>
    <row r="607" spans="1:3" x14ac:dyDescent="0.25">
      <c r="A607" s="150">
        <v>602</v>
      </c>
      <c r="B607" s="10" t="s">
        <v>1234</v>
      </c>
      <c r="C607">
        <v>20463534.1105804</v>
      </c>
    </row>
    <row r="608" spans="1:3" x14ac:dyDescent="0.25">
      <c r="A608" s="150">
        <v>603</v>
      </c>
      <c r="B608" s="10" t="s">
        <v>1235</v>
      </c>
      <c r="C608">
        <v>4276445.2391037904</v>
      </c>
    </row>
    <row r="609" spans="1:3" x14ac:dyDescent="0.25">
      <c r="A609" s="150">
        <v>604</v>
      </c>
      <c r="B609" s="10" t="s">
        <v>1236</v>
      </c>
      <c r="C609">
        <v>4904047.8029785203</v>
      </c>
    </row>
    <row r="610" spans="1:3" x14ac:dyDescent="0.25">
      <c r="A610" s="150">
        <v>605</v>
      </c>
      <c r="B610" s="10" t="s">
        <v>1237</v>
      </c>
      <c r="C610">
        <v>375386.89513629698</v>
      </c>
    </row>
    <row r="611" spans="1:3" x14ac:dyDescent="0.25">
      <c r="A611" s="150">
        <v>606</v>
      </c>
      <c r="B611" s="10" t="s">
        <v>1238</v>
      </c>
      <c r="C611">
        <v>307256.91930034797</v>
      </c>
    </row>
    <row r="612" spans="1:3" x14ac:dyDescent="0.25">
      <c r="A612" s="150">
        <v>607</v>
      </c>
      <c r="B612" s="10" t="s">
        <v>1239</v>
      </c>
      <c r="C612">
        <v>1057.56074340804</v>
      </c>
    </row>
    <row r="613" spans="1:3" x14ac:dyDescent="0.25">
      <c r="A613" s="150">
        <v>608</v>
      </c>
      <c r="B613" s="10" t="s">
        <v>1240</v>
      </c>
      <c r="C613">
        <v>1710.8289294431499</v>
      </c>
    </row>
    <row r="614" spans="1:3" x14ac:dyDescent="0.25">
      <c r="A614" s="150">
        <v>609</v>
      </c>
      <c r="B614" s="10" t="s">
        <v>789</v>
      </c>
      <c r="C614">
        <v>3069285.2474720501</v>
      </c>
    </row>
    <row r="615" spans="1:3" x14ac:dyDescent="0.25">
      <c r="A615" s="150">
        <v>610</v>
      </c>
      <c r="B615" s="10" t="s">
        <v>790</v>
      </c>
      <c r="C615">
        <v>1635185.56236446</v>
      </c>
    </row>
    <row r="616" spans="1:3" x14ac:dyDescent="0.25">
      <c r="A616" s="150">
        <v>611</v>
      </c>
      <c r="B616" s="10" t="s">
        <v>791</v>
      </c>
      <c r="C616">
        <v>8473475.38600922</v>
      </c>
    </row>
    <row r="617" spans="1:3" x14ac:dyDescent="0.25">
      <c r="A617" s="150">
        <v>612</v>
      </c>
      <c r="B617" s="10" t="s">
        <v>792</v>
      </c>
      <c r="C617">
        <v>6764127.7885999698</v>
      </c>
    </row>
    <row r="618" spans="1:3" x14ac:dyDescent="0.25">
      <c r="A618" s="150">
        <v>613</v>
      </c>
      <c r="B618" s="10" t="s">
        <v>793</v>
      </c>
      <c r="C618">
        <v>28741508.665058099</v>
      </c>
    </row>
    <row r="619" spans="1:3" x14ac:dyDescent="0.25">
      <c r="A619" s="150">
        <v>614</v>
      </c>
      <c r="B619" s="10" t="s">
        <v>794</v>
      </c>
      <c r="C619">
        <v>27684248.480371501</v>
      </c>
    </row>
    <row r="620" spans="1:3" x14ac:dyDescent="0.25">
      <c r="A620" s="150">
        <v>615</v>
      </c>
      <c r="B620" s="10" t="s">
        <v>795</v>
      </c>
      <c r="C620">
        <v>68279893.924263</v>
      </c>
    </row>
    <row r="621" spans="1:3" x14ac:dyDescent="0.25">
      <c r="A621" s="150">
        <v>616</v>
      </c>
      <c r="B621" s="10" t="s">
        <v>796</v>
      </c>
      <c r="C621">
        <v>59213011.571216598</v>
      </c>
    </row>
    <row r="622" spans="1:3" x14ac:dyDescent="0.25">
      <c r="A622" s="150">
        <v>617</v>
      </c>
      <c r="B622" s="10" t="s">
        <v>797</v>
      </c>
      <c r="C622">
        <v>74641403.613700897</v>
      </c>
    </row>
    <row r="623" spans="1:3" x14ac:dyDescent="0.25">
      <c r="A623" s="150">
        <v>618</v>
      </c>
      <c r="B623" s="10" t="s">
        <v>798</v>
      </c>
      <c r="C623">
        <v>58650002.551654801</v>
      </c>
    </row>
    <row r="624" spans="1:3" x14ac:dyDescent="0.25">
      <c r="A624" s="150">
        <v>619</v>
      </c>
      <c r="B624" s="10" t="s">
        <v>799</v>
      </c>
      <c r="C624">
        <v>45898403.902942702</v>
      </c>
    </row>
    <row r="625" spans="1:3" x14ac:dyDescent="0.25">
      <c r="A625" s="150">
        <v>620</v>
      </c>
      <c r="B625" s="10" t="s">
        <v>800</v>
      </c>
      <c r="C625">
        <v>38716082.5598564</v>
      </c>
    </row>
    <row r="626" spans="1:3" x14ac:dyDescent="0.25">
      <c r="A626" s="150">
        <v>621</v>
      </c>
      <c r="B626" s="10" t="s">
        <v>801</v>
      </c>
      <c r="C626">
        <v>17634065.936737102</v>
      </c>
    </row>
    <row r="627" spans="1:3" x14ac:dyDescent="0.25">
      <c r="A627" s="150">
        <v>622</v>
      </c>
      <c r="B627" s="10" t="s">
        <v>802</v>
      </c>
      <c r="C627">
        <v>16952716.466868401</v>
      </c>
    </row>
    <row r="628" spans="1:3" x14ac:dyDescent="0.25">
      <c r="A628" s="150">
        <v>623</v>
      </c>
      <c r="B628" s="10" t="s">
        <v>803</v>
      </c>
      <c r="C628">
        <v>4331987.3227739297</v>
      </c>
    </row>
    <row r="629" spans="1:3" x14ac:dyDescent="0.25">
      <c r="A629" s="150">
        <v>624</v>
      </c>
      <c r="B629" s="10" t="s">
        <v>804</v>
      </c>
      <c r="C629">
        <v>4340858.6497845603</v>
      </c>
    </row>
    <row r="630" spans="1:3" x14ac:dyDescent="0.25">
      <c r="A630" s="150">
        <v>625</v>
      </c>
      <c r="B630" s="10" t="s">
        <v>805</v>
      </c>
      <c r="C630">
        <v>401323.78027927899</v>
      </c>
    </row>
    <row r="631" spans="1:3" x14ac:dyDescent="0.25">
      <c r="A631" s="150">
        <v>626</v>
      </c>
      <c r="B631" s="10" t="s">
        <v>806</v>
      </c>
      <c r="C631">
        <v>221949.06471143701</v>
      </c>
    </row>
    <row r="632" spans="1:3" x14ac:dyDescent="0.25">
      <c r="A632" s="150">
        <v>627</v>
      </c>
      <c r="B632" s="10" t="s">
        <v>807</v>
      </c>
      <c r="C632">
        <v>4576.6609189452101</v>
      </c>
    </row>
    <row r="633" spans="1:3" x14ac:dyDescent="0.25">
      <c r="A633" s="150">
        <v>628</v>
      </c>
      <c r="B633" s="10" t="s">
        <v>808</v>
      </c>
      <c r="C633">
        <v>33521.598086425998</v>
      </c>
    </row>
    <row r="634" spans="1:3" x14ac:dyDescent="0.25">
      <c r="A634" s="150">
        <v>629</v>
      </c>
      <c r="B634" s="10" t="s">
        <v>809</v>
      </c>
      <c r="C634">
        <v>0</v>
      </c>
    </row>
    <row r="635" spans="1:3" x14ac:dyDescent="0.25">
      <c r="A635" s="150">
        <v>630</v>
      </c>
      <c r="B635" s="10" t="s">
        <v>810</v>
      </c>
      <c r="C635">
        <v>0</v>
      </c>
    </row>
    <row r="636" spans="1:3" x14ac:dyDescent="0.25">
      <c r="A636" s="150">
        <v>631</v>
      </c>
      <c r="B636" s="10" t="s">
        <v>811</v>
      </c>
      <c r="C636">
        <v>24779.993917236101</v>
      </c>
    </row>
    <row r="637" spans="1:3" x14ac:dyDescent="0.25">
      <c r="A637" s="150">
        <v>632</v>
      </c>
      <c r="B637" s="10" t="s">
        <v>812</v>
      </c>
      <c r="C637">
        <v>1318.67477270518</v>
      </c>
    </row>
    <row r="638" spans="1:3" x14ac:dyDescent="0.25">
      <c r="A638" s="150">
        <v>633</v>
      </c>
      <c r="B638" s="10" t="s">
        <v>813</v>
      </c>
      <c r="C638">
        <v>10614.704806640701</v>
      </c>
    </row>
    <row r="639" spans="1:3" x14ac:dyDescent="0.25">
      <c r="A639" s="150">
        <v>634</v>
      </c>
      <c r="B639" s="10" t="s">
        <v>814</v>
      </c>
      <c r="C639">
        <v>681.26642559818004</v>
      </c>
    </row>
    <row r="640" spans="1:3" x14ac:dyDescent="0.25">
      <c r="A640" s="150">
        <v>635</v>
      </c>
      <c r="B640" s="10" t="s">
        <v>1241</v>
      </c>
      <c r="C640">
        <v>558289.51538115705</v>
      </c>
    </row>
    <row r="641" spans="1:3" x14ac:dyDescent="0.25">
      <c r="A641" s="150">
        <v>636</v>
      </c>
      <c r="B641" s="10" t="s">
        <v>1242</v>
      </c>
      <c r="C641">
        <v>83832.972664825604</v>
      </c>
    </row>
    <row r="642" spans="1:3" x14ac:dyDescent="0.25">
      <c r="A642" s="150">
        <v>637</v>
      </c>
      <c r="B642" s="10" t="s">
        <v>1243</v>
      </c>
      <c r="C642">
        <v>1261.2918365478999</v>
      </c>
    </row>
    <row r="643" spans="1:3" x14ac:dyDescent="0.25">
      <c r="A643" s="150">
        <v>638</v>
      </c>
      <c r="B643" s="10" t="s">
        <v>1244</v>
      </c>
      <c r="C643">
        <v>42071.247681304798</v>
      </c>
    </row>
    <row r="644" spans="1:3" x14ac:dyDescent="0.25">
      <c r="A644" s="150">
        <v>639</v>
      </c>
      <c r="B644" s="10" t="s">
        <v>1245</v>
      </c>
      <c r="C644">
        <v>3172.9365673828902</v>
      </c>
    </row>
    <row r="645" spans="1:3" x14ac:dyDescent="0.25">
      <c r="A645" s="150">
        <v>640</v>
      </c>
      <c r="B645" s="10" t="s">
        <v>1246</v>
      </c>
      <c r="C645">
        <v>15333.4028691407</v>
      </c>
    </row>
    <row r="646" spans="1:3" x14ac:dyDescent="0.25">
      <c r="A646" s="150">
        <v>641</v>
      </c>
      <c r="B646" s="10" t="s">
        <v>1247</v>
      </c>
      <c r="C646">
        <v>3684415.3392612902</v>
      </c>
    </row>
    <row r="647" spans="1:3" x14ac:dyDescent="0.25">
      <c r="A647" s="150">
        <v>642</v>
      </c>
      <c r="B647" s="10" t="s">
        <v>1248</v>
      </c>
      <c r="C647">
        <v>2386683.1117706299</v>
      </c>
    </row>
    <row r="648" spans="1:3" x14ac:dyDescent="0.25">
      <c r="A648" s="150">
        <v>643</v>
      </c>
      <c r="B648" s="10" t="s">
        <v>1249</v>
      </c>
      <c r="C648">
        <v>16862279.922420502</v>
      </c>
    </row>
    <row r="649" spans="1:3" x14ac:dyDescent="0.25">
      <c r="A649" s="150">
        <v>644</v>
      </c>
      <c r="B649" s="10" t="s">
        <v>1250</v>
      </c>
      <c r="C649">
        <v>14981447.890406599</v>
      </c>
    </row>
    <row r="650" spans="1:3" x14ac:dyDescent="0.25">
      <c r="A650" s="150">
        <v>645</v>
      </c>
      <c r="B650" s="10" t="s">
        <v>1251</v>
      </c>
      <c r="C650">
        <v>37140617.969547302</v>
      </c>
    </row>
    <row r="651" spans="1:3" x14ac:dyDescent="0.25">
      <c r="A651" s="150">
        <v>646</v>
      </c>
      <c r="B651" s="10" t="s">
        <v>1252</v>
      </c>
      <c r="C651">
        <v>36868754.937183402</v>
      </c>
    </row>
    <row r="652" spans="1:3" x14ac:dyDescent="0.25">
      <c r="A652" s="150">
        <v>647</v>
      </c>
      <c r="B652" s="10" t="s">
        <v>1253</v>
      </c>
      <c r="C652">
        <v>50804678.480571702</v>
      </c>
    </row>
    <row r="653" spans="1:3" x14ac:dyDescent="0.25">
      <c r="A653" s="150">
        <v>648</v>
      </c>
      <c r="B653" s="10" t="s">
        <v>1254</v>
      </c>
      <c r="C653">
        <v>49515598.2638245</v>
      </c>
    </row>
    <row r="654" spans="1:3" x14ac:dyDescent="0.25">
      <c r="A654" s="150">
        <v>649</v>
      </c>
      <c r="B654" s="10" t="s">
        <v>1255</v>
      </c>
      <c r="C654">
        <v>44849522.123806</v>
      </c>
    </row>
    <row r="655" spans="1:3" x14ac:dyDescent="0.25">
      <c r="A655" s="150">
        <v>650</v>
      </c>
      <c r="B655" s="10" t="s">
        <v>1256</v>
      </c>
      <c r="C655">
        <v>40474694.045700103</v>
      </c>
    </row>
    <row r="656" spans="1:3" x14ac:dyDescent="0.25">
      <c r="A656" s="150">
        <v>651</v>
      </c>
      <c r="B656" s="10" t="s">
        <v>1257</v>
      </c>
      <c r="C656">
        <v>24988719.6344948</v>
      </c>
    </row>
    <row r="657" spans="1:3" x14ac:dyDescent="0.25">
      <c r="A657" s="150">
        <v>652</v>
      </c>
      <c r="B657" s="10" t="s">
        <v>1258</v>
      </c>
      <c r="C657">
        <v>23270237.651659001</v>
      </c>
    </row>
    <row r="658" spans="1:3" x14ac:dyDescent="0.25">
      <c r="A658" s="150">
        <v>653</v>
      </c>
      <c r="B658" s="10" t="s">
        <v>1259</v>
      </c>
      <c r="C658">
        <v>8428699.2139759101</v>
      </c>
    </row>
    <row r="659" spans="1:3" x14ac:dyDescent="0.25">
      <c r="A659" s="150">
        <v>654</v>
      </c>
      <c r="B659" s="10" t="s">
        <v>1260</v>
      </c>
      <c r="C659">
        <v>8828214.6726322193</v>
      </c>
    </row>
    <row r="660" spans="1:3" x14ac:dyDescent="0.25">
      <c r="A660" s="150">
        <v>655</v>
      </c>
      <c r="B660" s="10" t="s">
        <v>1261</v>
      </c>
      <c r="C660">
        <v>11526857.834383</v>
      </c>
    </row>
    <row r="661" spans="1:3" x14ac:dyDescent="0.25">
      <c r="A661" s="150">
        <v>656</v>
      </c>
      <c r="B661" s="10" t="s">
        <v>1262</v>
      </c>
      <c r="C661">
        <v>16604459.6804762</v>
      </c>
    </row>
    <row r="662" spans="1:3" x14ac:dyDescent="0.25">
      <c r="A662" s="150">
        <v>657</v>
      </c>
      <c r="B662" s="10" t="s">
        <v>1263</v>
      </c>
      <c r="C662">
        <v>63250.521362364299</v>
      </c>
    </row>
    <row r="663" spans="1:3" x14ac:dyDescent="0.25">
      <c r="A663" s="150">
        <v>658</v>
      </c>
      <c r="B663" s="10" t="s">
        <v>1264</v>
      </c>
      <c r="C663">
        <v>21650.3898880612</v>
      </c>
    </row>
    <row r="664" spans="1:3" x14ac:dyDescent="0.25">
      <c r="A664" s="150">
        <v>659</v>
      </c>
      <c r="B664" s="10" t="s">
        <v>1265</v>
      </c>
      <c r="C664">
        <v>2004.39264794928</v>
      </c>
    </row>
    <row r="665" spans="1:3" x14ac:dyDescent="0.25">
      <c r="A665" s="150">
        <v>660</v>
      </c>
      <c r="B665" s="10" t="s">
        <v>1266</v>
      </c>
      <c r="C665">
        <v>22678.206087890099</v>
      </c>
    </row>
    <row r="666" spans="1:3" x14ac:dyDescent="0.25">
      <c r="A666" s="150">
        <v>661</v>
      </c>
      <c r="B666" s="10" t="s">
        <v>815</v>
      </c>
      <c r="C666">
        <v>2387076.2597825499</v>
      </c>
    </row>
    <row r="667" spans="1:3" x14ac:dyDescent="0.25">
      <c r="A667" s="150">
        <v>662</v>
      </c>
      <c r="B667" s="10" t="s">
        <v>816</v>
      </c>
      <c r="C667">
        <v>1530169.14549553</v>
      </c>
    </row>
    <row r="668" spans="1:3" x14ac:dyDescent="0.25">
      <c r="A668" s="150">
        <v>663</v>
      </c>
      <c r="B668" s="10" t="s">
        <v>817</v>
      </c>
      <c r="C668">
        <v>6624315.8041768102</v>
      </c>
    </row>
    <row r="669" spans="1:3" x14ac:dyDescent="0.25">
      <c r="A669" s="150">
        <v>664</v>
      </c>
      <c r="B669" s="10" t="s">
        <v>818</v>
      </c>
      <c r="C669">
        <v>5190662.2004976301</v>
      </c>
    </row>
    <row r="670" spans="1:3" x14ac:dyDescent="0.25">
      <c r="A670" s="150">
        <v>665</v>
      </c>
      <c r="B670" s="10" t="s">
        <v>819</v>
      </c>
      <c r="C670">
        <v>18351359.6404934</v>
      </c>
    </row>
    <row r="671" spans="1:3" x14ac:dyDescent="0.25">
      <c r="A671" s="150">
        <v>666</v>
      </c>
      <c r="B671" s="10" t="s">
        <v>820</v>
      </c>
      <c r="C671">
        <v>17664559.126386601</v>
      </c>
    </row>
    <row r="672" spans="1:3" x14ac:dyDescent="0.25">
      <c r="A672" s="150">
        <v>667</v>
      </c>
      <c r="B672" s="10" t="s">
        <v>821</v>
      </c>
      <c r="C672">
        <v>41005557.184936501</v>
      </c>
    </row>
    <row r="673" spans="1:3" x14ac:dyDescent="0.25">
      <c r="A673" s="150">
        <v>668</v>
      </c>
      <c r="B673" s="10" t="s">
        <v>822</v>
      </c>
      <c r="C673">
        <v>35937852.700431801</v>
      </c>
    </row>
    <row r="674" spans="1:3" x14ac:dyDescent="0.25">
      <c r="A674" s="150">
        <v>669</v>
      </c>
      <c r="B674" s="10" t="s">
        <v>823</v>
      </c>
      <c r="C674">
        <v>53614010.967536896</v>
      </c>
    </row>
    <row r="675" spans="1:3" x14ac:dyDescent="0.25">
      <c r="A675" s="150">
        <v>670</v>
      </c>
      <c r="B675" s="10" t="s">
        <v>824</v>
      </c>
      <c r="C675">
        <v>41611177.964504197</v>
      </c>
    </row>
    <row r="676" spans="1:3" x14ac:dyDescent="0.25">
      <c r="A676" s="150">
        <v>671</v>
      </c>
      <c r="B676" s="10" t="s">
        <v>825</v>
      </c>
      <c r="C676">
        <v>39169393.297794297</v>
      </c>
    </row>
    <row r="677" spans="1:3" x14ac:dyDescent="0.25">
      <c r="A677" s="150">
        <v>672</v>
      </c>
      <c r="B677" s="10" t="s">
        <v>826</v>
      </c>
      <c r="C677">
        <v>32037252.605491601</v>
      </c>
    </row>
    <row r="678" spans="1:3" x14ac:dyDescent="0.25">
      <c r="A678" s="150">
        <v>673</v>
      </c>
      <c r="B678" s="10" t="s">
        <v>827</v>
      </c>
      <c r="C678">
        <v>17121160.437882401</v>
      </c>
    </row>
    <row r="679" spans="1:3" x14ac:dyDescent="0.25">
      <c r="A679" s="150">
        <v>674</v>
      </c>
      <c r="B679" s="10" t="s">
        <v>828</v>
      </c>
      <c r="C679">
        <v>16338936.021643599</v>
      </c>
    </row>
    <row r="680" spans="1:3" x14ac:dyDescent="0.25">
      <c r="A680" s="150">
        <v>675</v>
      </c>
      <c r="B680" s="10" t="s">
        <v>829</v>
      </c>
      <c r="C680">
        <v>4777646.9432265796</v>
      </c>
    </row>
    <row r="681" spans="1:3" x14ac:dyDescent="0.25">
      <c r="A681" s="150">
        <v>676</v>
      </c>
      <c r="B681" s="10" t="s">
        <v>830</v>
      </c>
      <c r="C681">
        <v>4773780.1055185804</v>
      </c>
    </row>
    <row r="682" spans="1:3" x14ac:dyDescent="0.25">
      <c r="A682" s="150">
        <v>677</v>
      </c>
      <c r="B682" s="10" t="s">
        <v>831</v>
      </c>
      <c r="C682">
        <v>441447.84479978698</v>
      </c>
    </row>
    <row r="683" spans="1:3" x14ac:dyDescent="0.25">
      <c r="A683" s="150">
        <v>678</v>
      </c>
      <c r="B683" s="10" t="s">
        <v>832</v>
      </c>
      <c r="C683">
        <v>328855.75668457203</v>
      </c>
    </row>
    <row r="684" spans="1:3" x14ac:dyDescent="0.25">
      <c r="A684" s="150">
        <v>679</v>
      </c>
      <c r="B684" s="10" t="s">
        <v>833</v>
      </c>
      <c r="C684">
        <v>48009.091086909197</v>
      </c>
    </row>
    <row r="685" spans="1:3" x14ac:dyDescent="0.25">
      <c r="A685" s="150">
        <v>680</v>
      </c>
      <c r="B685" s="10" t="s">
        <v>834</v>
      </c>
      <c r="C685">
        <v>15668.9316679686</v>
      </c>
    </row>
    <row r="686" spans="1:3" x14ac:dyDescent="0.25">
      <c r="A686" s="150">
        <v>681</v>
      </c>
      <c r="B686" s="10" t="s">
        <v>835</v>
      </c>
      <c r="C686">
        <v>6236.28014794923</v>
      </c>
    </row>
    <row r="687" spans="1:3" x14ac:dyDescent="0.25">
      <c r="A687" s="150">
        <v>682</v>
      </c>
      <c r="B687" s="10" t="s">
        <v>836</v>
      </c>
      <c r="C687">
        <v>0</v>
      </c>
    </row>
    <row r="688" spans="1:3" x14ac:dyDescent="0.25">
      <c r="A688" s="150">
        <v>683</v>
      </c>
      <c r="B688" s="10" t="s">
        <v>837</v>
      </c>
      <c r="C688">
        <v>20692.378365234501</v>
      </c>
    </row>
    <row r="689" spans="1:3" x14ac:dyDescent="0.25">
      <c r="A689" s="150">
        <v>684</v>
      </c>
      <c r="B689" s="10" t="s">
        <v>838</v>
      </c>
      <c r="C689">
        <v>766.39238739007897</v>
      </c>
    </row>
    <row r="690" spans="1:3" x14ac:dyDescent="0.25">
      <c r="A690" s="150">
        <v>685</v>
      </c>
      <c r="B690" s="10" t="s">
        <v>839</v>
      </c>
      <c r="C690">
        <v>1885.1937941894901</v>
      </c>
    </row>
    <row r="691" spans="1:3" x14ac:dyDescent="0.25">
      <c r="A691" s="150">
        <v>686</v>
      </c>
      <c r="B691" s="10" t="s">
        <v>840</v>
      </c>
      <c r="C691">
        <v>0</v>
      </c>
    </row>
    <row r="692" spans="1:3" x14ac:dyDescent="0.25">
      <c r="A692" s="150">
        <v>687</v>
      </c>
      <c r="B692" s="10" t="s">
        <v>1267</v>
      </c>
      <c r="C692">
        <v>16168.787557587</v>
      </c>
    </row>
    <row r="693" spans="1:3" x14ac:dyDescent="0.25">
      <c r="A693" s="150">
        <v>688</v>
      </c>
      <c r="B693" s="10" t="s">
        <v>1268</v>
      </c>
      <c r="C693">
        <v>5967.8514331055303</v>
      </c>
    </row>
    <row r="694" spans="1:3" x14ac:dyDescent="0.25">
      <c r="A694" s="150">
        <v>689</v>
      </c>
      <c r="B694" s="10" t="s">
        <v>1269</v>
      </c>
      <c r="C694">
        <v>0</v>
      </c>
    </row>
    <row r="695" spans="1:3" x14ac:dyDescent="0.25">
      <c r="A695" s="150">
        <v>690</v>
      </c>
      <c r="B695" s="10" t="s">
        <v>1270</v>
      </c>
      <c r="C695">
        <v>15104.379943358699</v>
      </c>
    </row>
    <row r="696" spans="1:3" x14ac:dyDescent="0.25">
      <c r="A696" s="150">
        <v>691</v>
      </c>
      <c r="B696" s="10" t="s">
        <v>1271</v>
      </c>
      <c r="C696">
        <v>0</v>
      </c>
    </row>
    <row r="697" spans="1:3" x14ac:dyDescent="0.25">
      <c r="A697" s="150">
        <v>692</v>
      </c>
      <c r="B697" s="10" t="s">
        <v>1272</v>
      </c>
      <c r="C697">
        <v>0</v>
      </c>
    </row>
    <row r="698" spans="1:3" x14ac:dyDescent="0.25">
      <c r="A698" s="150">
        <v>693</v>
      </c>
      <c r="B698" s="10" t="s">
        <v>1273</v>
      </c>
      <c r="C698">
        <v>281725.32828125398</v>
      </c>
    </row>
    <row r="699" spans="1:3" x14ac:dyDescent="0.25">
      <c r="A699" s="150">
        <v>694</v>
      </c>
      <c r="B699" s="10" t="s">
        <v>1274</v>
      </c>
      <c r="C699">
        <v>176405.52883008099</v>
      </c>
    </row>
    <row r="700" spans="1:3" x14ac:dyDescent="0.25">
      <c r="A700" s="150">
        <v>695</v>
      </c>
      <c r="B700" s="10" t="s">
        <v>1275</v>
      </c>
      <c r="C700">
        <v>5302335.7399134599</v>
      </c>
    </row>
    <row r="701" spans="1:3" x14ac:dyDescent="0.25">
      <c r="A701" s="150">
        <v>696</v>
      </c>
      <c r="B701" s="10" t="s">
        <v>1276</v>
      </c>
      <c r="C701">
        <v>4589920.3417649297</v>
      </c>
    </row>
    <row r="702" spans="1:3" x14ac:dyDescent="0.25">
      <c r="A702" s="150">
        <v>697</v>
      </c>
      <c r="B702" s="10" t="s">
        <v>1277</v>
      </c>
      <c r="C702">
        <v>21641996.116951</v>
      </c>
    </row>
    <row r="703" spans="1:3" x14ac:dyDescent="0.25">
      <c r="A703" s="150">
        <v>698</v>
      </c>
      <c r="B703" s="10" t="s">
        <v>1278</v>
      </c>
      <c r="C703">
        <v>20097545.062624</v>
      </c>
    </row>
    <row r="704" spans="1:3" x14ac:dyDescent="0.25">
      <c r="A704" s="150">
        <v>699</v>
      </c>
      <c r="B704" s="10" t="s">
        <v>1279</v>
      </c>
      <c r="C704">
        <v>46366872.932750702</v>
      </c>
    </row>
    <row r="705" spans="1:3" x14ac:dyDescent="0.25">
      <c r="A705" s="150">
        <v>700</v>
      </c>
      <c r="B705" s="10" t="s">
        <v>1280</v>
      </c>
      <c r="C705">
        <v>44739077.310051002</v>
      </c>
    </row>
    <row r="706" spans="1:3" x14ac:dyDescent="0.25">
      <c r="A706" s="150">
        <v>701</v>
      </c>
      <c r="B706" s="10" t="s">
        <v>1281</v>
      </c>
      <c r="C706">
        <v>60646310.214546204</v>
      </c>
    </row>
    <row r="707" spans="1:3" x14ac:dyDescent="0.25">
      <c r="A707" s="150">
        <v>702</v>
      </c>
      <c r="B707" s="10" t="s">
        <v>1282</v>
      </c>
      <c r="C707">
        <v>56018430.903022803</v>
      </c>
    </row>
    <row r="708" spans="1:3" x14ac:dyDescent="0.25">
      <c r="A708" s="150">
        <v>703</v>
      </c>
      <c r="B708" s="10" t="s">
        <v>1283</v>
      </c>
      <c r="C708">
        <v>50971301.386070304</v>
      </c>
    </row>
    <row r="709" spans="1:3" x14ac:dyDescent="0.25">
      <c r="A709" s="150">
        <v>704</v>
      </c>
      <c r="B709" s="10" t="s">
        <v>1284</v>
      </c>
      <c r="C709">
        <v>46692139.876079597</v>
      </c>
    </row>
    <row r="710" spans="1:3" x14ac:dyDescent="0.25">
      <c r="A710" s="150">
        <v>705</v>
      </c>
      <c r="B710" s="10" t="s">
        <v>1285</v>
      </c>
      <c r="C710">
        <v>27406602.608476602</v>
      </c>
    </row>
    <row r="711" spans="1:3" x14ac:dyDescent="0.25">
      <c r="A711" s="150">
        <v>706</v>
      </c>
      <c r="B711" s="10" t="s">
        <v>1286</v>
      </c>
      <c r="C711">
        <v>27372378.166984599</v>
      </c>
    </row>
    <row r="712" spans="1:3" x14ac:dyDescent="0.25">
      <c r="A712" s="150">
        <v>707</v>
      </c>
      <c r="B712" s="10" t="s">
        <v>1287</v>
      </c>
      <c r="C712">
        <v>9936424.5816926993</v>
      </c>
    </row>
    <row r="713" spans="1:3" x14ac:dyDescent="0.25">
      <c r="A713" s="150">
        <v>708</v>
      </c>
      <c r="B713" s="10" t="s">
        <v>1288</v>
      </c>
      <c r="C713">
        <v>9419932.9408597909</v>
      </c>
    </row>
    <row r="714" spans="1:3" x14ac:dyDescent="0.25">
      <c r="A714" s="150">
        <v>709</v>
      </c>
      <c r="B714" s="10" t="s">
        <v>1289</v>
      </c>
      <c r="C714">
        <v>2024209.7824435199</v>
      </c>
    </row>
    <row r="715" spans="1:3" x14ac:dyDescent="0.25">
      <c r="A715" s="150">
        <v>710</v>
      </c>
      <c r="B715" s="10" t="s">
        <v>1290</v>
      </c>
      <c r="C715">
        <v>1831381.1534526299</v>
      </c>
    </row>
    <row r="716" spans="1:3" x14ac:dyDescent="0.25">
      <c r="A716" s="150">
        <v>711</v>
      </c>
      <c r="B716" s="10" t="s">
        <v>1291</v>
      </c>
      <c r="C716">
        <v>62637.314841851599</v>
      </c>
    </row>
    <row r="717" spans="1:3" x14ac:dyDescent="0.25">
      <c r="A717" s="150">
        <v>712</v>
      </c>
      <c r="B717" s="10" t="s">
        <v>1292</v>
      </c>
      <c r="C717">
        <v>101168.45569854999</v>
      </c>
    </row>
    <row r="718" spans="1:3" x14ac:dyDescent="0.25">
      <c r="A718" s="150">
        <v>713</v>
      </c>
      <c r="B718" s="10" t="s">
        <v>1293</v>
      </c>
      <c r="C718">
        <v>0</v>
      </c>
    </row>
    <row r="719" spans="1:3" x14ac:dyDescent="0.25">
      <c r="A719" s="150">
        <v>714</v>
      </c>
      <c r="B719" s="10" t="s">
        <v>1294</v>
      </c>
      <c r="C719">
        <v>0</v>
      </c>
    </row>
    <row r="720" spans="1:3" x14ac:dyDescent="0.25">
      <c r="A720" s="150">
        <v>715</v>
      </c>
      <c r="B720" s="10" t="s">
        <v>841</v>
      </c>
      <c r="C720">
        <v>2552505.9580991301</v>
      </c>
    </row>
    <row r="721" spans="1:3" x14ac:dyDescent="0.25">
      <c r="A721" s="150">
        <v>716</v>
      </c>
      <c r="B721" s="10" t="s">
        <v>842</v>
      </c>
      <c r="C721">
        <v>1317143.6956791901</v>
      </c>
    </row>
    <row r="722" spans="1:3" x14ac:dyDescent="0.25">
      <c r="A722" s="150">
        <v>717</v>
      </c>
      <c r="B722" s="10" t="s">
        <v>843</v>
      </c>
      <c r="C722">
        <v>6120973.3271861104</v>
      </c>
    </row>
    <row r="723" spans="1:3" x14ac:dyDescent="0.25">
      <c r="A723" s="150">
        <v>718</v>
      </c>
      <c r="B723" s="10" t="s">
        <v>844</v>
      </c>
      <c r="C723">
        <v>4864271.7005658103</v>
      </c>
    </row>
    <row r="724" spans="1:3" x14ac:dyDescent="0.25">
      <c r="A724" s="150">
        <v>719</v>
      </c>
      <c r="B724" s="10" t="s">
        <v>845</v>
      </c>
      <c r="C724">
        <v>13409689.3134575</v>
      </c>
    </row>
    <row r="725" spans="1:3" x14ac:dyDescent="0.25">
      <c r="A725" s="150">
        <v>720</v>
      </c>
      <c r="B725" s="10" t="s">
        <v>846</v>
      </c>
      <c r="C725">
        <v>13421670.346847501</v>
      </c>
    </row>
    <row r="726" spans="1:3" x14ac:dyDescent="0.25">
      <c r="A726" s="150">
        <v>721</v>
      </c>
      <c r="B726" s="10" t="s">
        <v>847</v>
      </c>
      <c r="C726">
        <v>26650357.033716202</v>
      </c>
    </row>
    <row r="727" spans="1:3" x14ac:dyDescent="0.25">
      <c r="A727" s="150">
        <v>722</v>
      </c>
      <c r="B727" s="10" t="s">
        <v>848</v>
      </c>
      <c r="C727">
        <v>23088008.436857201</v>
      </c>
    </row>
    <row r="728" spans="1:3" x14ac:dyDescent="0.25">
      <c r="A728" s="150">
        <v>723</v>
      </c>
      <c r="B728" s="10" t="s">
        <v>849</v>
      </c>
      <c r="C728">
        <v>36382707.741577096</v>
      </c>
    </row>
    <row r="729" spans="1:3" x14ac:dyDescent="0.25">
      <c r="A729" s="150">
        <v>724</v>
      </c>
      <c r="B729" s="10" t="s">
        <v>850</v>
      </c>
      <c r="C729">
        <v>27462828.442035701</v>
      </c>
    </row>
    <row r="730" spans="1:3" x14ac:dyDescent="0.25">
      <c r="A730" s="150">
        <v>725</v>
      </c>
      <c r="B730" s="10" t="s">
        <v>851</v>
      </c>
      <c r="C730">
        <v>30439315.704156902</v>
      </c>
    </row>
    <row r="731" spans="1:3" x14ac:dyDescent="0.25">
      <c r="A731" s="150">
        <v>726</v>
      </c>
      <c r="B731" s="10" t="s">
        <v>852</v>
      </c>
      <c r="C731">
        <v>26095744.398586299</v>
      </c>
    </row>
    <row r="732" spans="1:3" x14ac:dyDescent="0.25">
      <c r="A732" s="150">
        <v>727</v>
      </c>
      <c r="B732" s="10" t="s">
        <v>853</v>
      </c>
      <c r="C732">
        <v>16286206.792275401</v>
      </c>
    </row>
    <row r="733" spans="1:3" x14ac:dyDescent="0.25">
      <c r="A733" s="150">
        <v>728</v>
      </c>
      <c r="B733" s="10" t="s">
        <v>854</v>
      </c>
      <c r="C733">
        <v>14872428.7188129</v>
      </c>
    </row>
    <row r="734" spans="1:3" x14ac:dyDescent="0.25">
      <c r="A734" s="150">
        <v>729</v>
      </c>
      <c r="B734" s="10" t="s">
        <v>855</v>
      </c>
      <c r="C734">
        <v>5223883.9853162803</v>
      </c>
    </row>
    <row r="735" spans="1:3" x14ac:dyDescent="0.25">
      <c r="A735" s="150">
        <v>730</v>
      </c>
      <c r="B735" s="10" t="s">
        <v>856</v>
      </c>
      <c r="C735">
        <v>5109010.4390349397</v>
      </c>
    </row>
    <row r="736" spans="1:3" x14ac:dyDescent="0.25">
      <c r="A736" s="150">
        <v>731</v>
      </c>
      <c r="B736" s="10" t="s">
        <v>857</v>
      </c>
      <c r="C736">
        <v>721246.14333593799</v>
      </c>
    </row>
    <row r="737" spans="1:3" x14ac:dyDescent="0.25">
      <c r="A737" s="150">
        <v>732</v>
      </c>
      <c r="B737" s="10" t="s">
        <v>858</v>
      </c>
      <c r="C737">
        <v>470567.94492578501</v>
      </c>
    </row>
    <row r="738" spans="1:3" x14ac:dyDescent="0.25">
      <c r="A738" s="150">
        <v>733</v>
      </c>
      <c r="B738" s="10" t="s">
        <v>859</v>
      </c>
      <c r="C738">
        <v>44991.864999998397</v>
      </c>
    </row>
    <row r="739" spans="1:3" x14ac:dyDescent="0.25">
      <c r="A739" s="150">
        <v>734</v>
      </c>
      <c r="B739" s="10" t="s">
        <v>860</v>
      </c>
      <c r="C739">
        <v>0</v>
      </c>
    </row>
    <row r="740" spans="1:3" x14ac:dyDescent="0.25">
      <c r="A740" s="150">
        <v>735</v>
      </c>
      <c r="B740" s="10" t="s">
        <v>861</v>
      </c>
      <c r="C740">
        <v>59056.706756835803</v>
      </c>
    </row>
    <row r="741" spans="1:3" x14ac:dyDescent="0.25">
      <c r="A741" s="150">
        <v>736</v>
      </c>
      <c r="B741" s="10" t="s">
        <v>862</v>
      </c>
      <c r="C741">
        <v>41729.826910645701</v>
      </c>
    </row>
    <row r="742" spans="1:3" x14ac:dyDescent="0.25">
      <c r="A742" s="150">
        <v>737</v>
      </c>
      <c r="B742" s="10" t="s">
        <v>863</v>
      </c>
      <c r="C742">
        <v>0</v>
      </c>
    </row>
    <row r="743" spans="1:3" x14ac:dyDescent="0.25">
      <c r="A743" s="150">
        <v>738</v>
      </c>
      <c r="B743" s="10" t="s">
        <v>864</v>
      </c>
      <c r="C743">
        <v>35789.681917969101</v>
      </c>
    </row>
    <row r="744" spans="1:3" x14ac:dyDescent="0.25">
      <c r="A744" s="150">
        <v>739</v>
      </c>
      <c r="B744" s="10" t="s">
        <v>1295</v>
      </c>
      <c r="C744">
        <v>1441.8877699586999</v>
      </c>
    </row>
    <row r="745" spans="1:3" x14ac:dyDescent="0.25">
      <c r="A745" s="150">
        <v>740</v>
      </c>
      <c r="B745" s="10" t="s">
        <v>1296</v>
      </c>
      <c r="C745">
        <v>0</v>
      </c>
    </row>
    <row r="746" spans="1:3" x14ac:dyDescent="0.25">
      <c r="A746" s="150">
        <v>741</v>
      </c>
      <c r="B746" s="10" t="s">
        <v>1297</v>
      </c>
      <c r="C746">
        <v>14752.575564025899</v>
      </c>
    </row>
    <row r="747" spans="1:3" x14ac:dyDescent="0.25">
      <c r="A747" s="150">
        <v>742</v>
      </c>
      <c r="B747" s="10" t="s">
        <v>1298</v>
      </c>
      <c r="C747">
        <v>0</v>
      </c>
    </row>
    <row r="748" spans="1:3" x14ac:dyDescent="0.25">
      <c r="A748" s="150">
        <v>743</v>
      </c>
      <c r="B748" s="10" t="s">
        <v>1299</v>
      </c>
      <c r="C748">
        <v>0</v>
      </c>
    </row>
    <row r="749" spans="1:3" x14ac:dyDescent="0.25">
      <c r="A749" s="150">
        <v>744</v>
      </c>
      <c r="B749" s="10" t="s">
        <v>1300</v>
      </c>
      <c r="C749">
        <v>607.42134228511702</v>
      </c>
    </row>
    <row r="750" spans="1:3" x14ac:dyDescent="0.25">
      <c r="A750" s="150">
        <v>745</v>
      </c>
      <c r="B750" s="10" t="s">
        <v>1301</v>
      </c>
      <c r="C750">
        <v>9047.1893701176195</v>
      </c>
    </row>
    <row r="751" spans="1:3" x14ac:dyDescent="0.25">
      <c r="A751" s="150">
        <v>746</v>
      </c>
      <c r="B751" s="10" t="s">
        <v>1302</v>
      </c>
      <c r="C751">
        <v>0</v>
      </c>
    </row>
    <row r="752" spans="1:3" x14ac:dyDescent="0.25">
      <c r="A752" s="150">
        <v>747</v>
      </c>
      <c r="B752" s="10" t="s">
        <v>1303</v>
      </c>
      <c r="C752">
        <v>4884.8193984375102</v>
      </c>
    </row>
    <row r="753" spans="1:3" x14ac:dyDescent="0.25">
      <c r="A753" s="150">
        <v>748</v>
      </c>
      <c r="B753" s="10" t="s">
        <v>1304</v>
      </c>
      <c r="C753">
        <v>19024.486916016798</v>
      </c>
    </row>
    <row r="754" spans="1:3" x14ac:dyDescent="0.25">
      <c r="A754" s="150">
        <v>749</v>
      </c>
      <c r="B754" s="10" t="s">
        <v>1305</v>
      </c>
      <c r="C754">
        <v>230440.03955419399</v>
      </c>
    </row>
    <row r="755" spans="1:3" x14ac:dyDescent="0.25">
      <c r="A755" s="150">
        <v>750</v>
      </c>
      <c r="B755" s="10" t="s">
        <v>1306</v>
      </c>
      <c r="C755">
        <v>106818.39278954999</v>
      </c>
    </row>
    <row r="756" spans="1:3" x14ac:dyDescent="0.25">
      <c r="A756" s="150">
        <v>751</v>
      </c>
      <c r="B756" s="10" t="s">
        <v>1307</v>
      </c>
      <c r="C756">
        <v>3379949.7398023601</v>
      </c>
    </row>
    <row r="757" spans="1:3" x14ac:dyDescent="0.25">
      <c r="A757" s="150">
        <v>752</v>
      </c>
      <c r="B757" s="10" t="s">
        <v>1308</v>
      </c>
      <c r="C757">
        <v>2848318.0468931198</v>
      </c>
    </row>
    <row r="758" spans="1:3" x14ac:dyDescent="0.25">
      <c r="A758" s="150">
        <v>753</v>
      </c>
      <c r="B758" s="10" t="s">
        <v>1309</v>
      </c>
      <c r="C758">
        <v>12934012.125411</v>
      </c>
    </row>
    <row r="759" spans="1:3" x14ac:dyDescent="0.25">
      <c r="A759" s="150">
        <v>754</v>
      </c>
      <c r="B759" s="10" t="s">
        <v>1310</v>
      </c>
      <c r="C759">
        <v>12538394.9407511</v>
      </c>
    </row>
    <row r="760" spans="1:3" x14ac:dyDescent="0.25">
      <c r="A760" s="150">
        <v>755</v>
      </c>
      <c r="B760" s="10" t="s">
        <v>1311</v>
      </c>
      <c r="C760">
        <v>25289622.408573199</v>
      </c>
    </row>
    <row r="761" spans="1:3" x14ac:dyDescent="0.25">
      <c r="A761" s="150">
        <v>756</v>
      </c>
      <c r="B761" s="10" t="s">
        <v>1312</v>
      </c>
      <c r="C761">
        <v>23254742.657382999</v>
      </c>
    </row>
    <row r="762" spans="1:3" x14ac:dyDescent="0.25">
      <c r="A762" s="150">
        <v>757</v>
      </c>
      <c r="B762" s="10" t="s">
        <v>1313</v>
      </c>
      <c r="C762">
        <v>29361255.123487499</v>
      </c>
    </row>
    <row r="763" spans="1:3" x14ac:dyDescent="0.25">
      <c r="A763" s="150">
        <v>758</v>
      </c>
      <c r="B763" s="10" t="s">
        <v>1314</v>
      </c>
      <c r="C763">
        <v>27391677.042682599</v>
      </c>
    </row>
    <row r="764" spans="1:3" x14ac:dyDescent="0.25">
      <c r="A764" s="150">
        <v>759</v>
      </c>
      <c r="B764" s="10" t="s">
        <v>1315</v>
      </c>
      <c r="C764">
        <v>22736743.614471398</v>
      </c>
    </row>
    <row r="765" spans="1:3" x14ac:dyDescent="0.25">
      <c r="A765" s="150">
        <v>760</v>
      </c>
      <c r="B765" s="10" t="s">
        <v>1316</v>
      </c>
      <c r="C765">
        <v>22279219.027107202</v>
      </c>
    </row>
    <row r="766" spans="1:3" x14ac:dyDescent="0.25">
      <c r="A766" s="150">
        <v>761</v>
      </c>
      <c r="B766" s="10" t="s">
        <v>1317</v>
      </c>
      <c r="C766">
        <v>11940593.7724609</v>
      </c>
    </row>
    <row r="767" spans="1:3" x14ac:dyDescent="0.25">
      <c r="A767" s="150">
        <v>762</v>
      </c>
      <c r="B767" s="10" t="s">
        <v>1318</v>
      </c>
      <c r="C767">
        <v>11279456.5758905</v>
      </c>
    </row>
    <row r="768" spans="1:3" x14ac:dyDescent="0.25">
      <c r="A768" s="150">
        <v>763</v>
      </c>
      <c r="B768" s="10" t="s">
        <v>1319</v>
      </c>
      <c r="C768">
        <v>3913129.86259556</v>
      </c>
    </row>
    <row r="769" spans="1:3" x14ac:dyDescent="0.25">
      <c r="A769" s="150">
        <v>764</v>
      </c>
      <c r="B769" s="10" t="s">
        <v>1320</v>
      </c>
      <c r="C769">
        <v>3065034.03198242</v>
      </c>
    </row>
    <row r="770" spans="1:3" x14ac:dyDescent="0.25">
      <c r="A770" s="150">
        <v>765</v>
      </c>
      <c r="B770" s="10" t="s">
        <v>1321</v>
      </c>
      <c r="C770">
        <v>616942.09878492402</v>
      </c>
    </row>
    <row r="771" spans="1:3" x14ac:dyDescent="0.25">
      <c r="A771" s="150">
        <v>766</v>
      </c>
      <c r="B771" s="10" t="s">
        <v>1322</v>
      </c>
      <c r="C771">
        <v>577976.89962345397</v>
      </c>
    </row>
    <row r="772" spans="1:3" x14ac:dyDescent="0.25">
      <c r="A772" s="150">
        <v>767</v>
      </c>
      <c r="B772" s="10" t="s">
        <v>1323</v>
      </c>
      <c r="C772">
        <v>9774.1922034295294</v>
      </c>
    </row>
    <row r="773" spans="1:3" x14ac:dyDescent="0.25">
      <c r="A773" s="150">
        <v>768</v>
      </c>
      <c r="B773" s="10" t="s">
        <v>1324</v>
      </c>
      <c r="C773">
        <v>11800.7975776978</v>
      </c>
    </row>
    <row r="774" spans="1:3" x14ac:dyDescent="0.25">
      <c r="A774" s="150">
        <v>769</v>
      </c>
      <c r="B774" s="10" t="s">
        <v>865</v>
      </c>
      <c r="C774">
        <v>2426651.17303658</v>
      </c>
    </row>
    <row r="775" spans="1:3" x14ac:dyDescent="0.25">
      <c r="A775" s="150">
        <v>770</v>
      </c>
      <c r="B775" s="10" t="s">
        <v>866</v>
      </c>
      <c r="C775">
        <v>1015066.6505268801</v>
      </c>
    </row>
    <row r="776" spans="1:3" x14ac:dyDescent="0.25">
      <c r="A776" s="150">
        <v>771</v>
      </c>
      <c r="B776" s="10" t="s">
        <v>867</v>
      </c>
      <c r="C776">
        <v>5722361.6794233304</v>
      </c>
    </row>
    <row r="777" spans="1:3" x14ac:dyDescent="0.25">
      <c r="A777" s="150">
        <v>772</v>
      </c>
      <c r="B777" s="10" t="s">
        <v>868</v>
      </c>
      <c r="C777">
        <v>4432948.3537373496</v>
      </c>
    </row>
    <row r="778" spans="1:3" x14ac:dyDescent="0.25">
      <c r="A778" s="150">
        <v>773</v>
      </c>
      <c r="B778" s="10" t="s">
        <v>869</v>
      </c>
      <c r="C778">
        <v>9761634.7871246301</v>
      </c>
    </row>
    <row r="779" spans="1:3" x14ac:dyDescent="0.25">
      <c r="A779" s="150">
        <v>774</v>
      </c>
      <c r="B779" s="10" t="s">
        <v>870</v>
      </c>
      <c r="C779">
        <v>9966221.1289825402</v>
      </c>
    </row>
    <row r="780" spans="1:3" x14ac:dyDescent="0.25">
      <c r="A780" s="150">
        <v>775</v>
      </c>
      <c r="B780" s="10" t="s">
        <v>871</v>
      </c>
      <c r="C780">
        <v>17523281.980251301</v>
      </c>
    </row>
    <row r="781" spans="1:3" x14ac:dyDescent="0.25">
      <c r="A781" s="150">
        <v>776</v>
      </c>
      <c r="B781" s="10" t="s">
        <v>872</v>
      </c>
      <c r="C781">
        <v>14246626.037187601</v>
      </c>
    </row>
    <row r="782" spans="1:3" x14ac:dyDescent="0.25">
      <c r="A782" s="150">
        <v>777</v>
      </c>
      <c r="B782" s="10" t="s">
        <v>873</v>
      </c>
      <c r="C782">
        <v>22311142.599250801</v>
      </c>
    </row>
    <row r="783" spans="1:3" x14ac:dyDescent="0.25">
      <c r="A783" s="150">
        <v>778</v>
      </c>
      <c r="B783" s="10" t="s">
        <v>874</v>
      </c>
      <c r="C783">
        <v>15918817.0794592</v>
      </c>
    </row>
    <row r="784" spans="1:3" x14ac:dyDescent="0.25">
      <c r="A784" s="150">
        <v>779</v>
      </c>
      <c r="B784" s="10" t="s">
        <v>875</v>
      </c>
      <c r="C784">
        <v>20772685.9491539</v>
      </c>
    </row>
    <row r="785" spans="1:3" x14ac:dyDescent="0.25">
      <c r="A785" s="150">
        <v>780</v>
      </c>
      <c r="B785" s="10" t="s">
        <v>876</v>
      </c>
      <c r="C785">
        <v>17247131.7027454</v>
      </c>
    </row>
    <row r="786" spans="1:3" x14ac:dyDescent="0.25">
      <c r="A786" s="150">
        <v>781</v>
      </c>
      <c r="B786" s="10" t="s">
        <v>877</v>
      </c>
      <c r="C786">
        <v>11487147.100987401</v>
      </c>
    </row>
    <row r="787" spans="1:3" x14ac:dyDescent="0.25">
      <c r="A787" s="150">
        <v>782</v>
      </c>
      <c r="B787" s="10" t="s">
        <v>878</v>
      </c>
      <c r="C787">
        <v>11370863.5536079</v>
      </c>
    </row>
    <row r="788" spans="1:3" x14ac:dyDescent="0.25">
      <c r="A788" s="150">
        <v>783</v>
      </c>
      <c r="B788" s="10" t="s">
        <v>879</v>
      </c>
      <c r="C788">
        <v>4614707.5668067904</v>
      </c>
    </row>
    <row r="789" spans="1:3" x14ac:dyDescent="0.25">
      <c r="A789" s="150">
        <v>784</v>
      </c>
      <c r="B789" s="10" t="s">
        <v>880</v>
      </c>
      <c r="C789">
        <v>4267416.2210362004</v>
      </c>
    </row>
    <row r="790" spans="1:3" x14ac:dyDescent="0.25">
      <c r="A790" s="150">
        <v>785</v>
      </c>
      <c r="B790" s="10" t="s">
        <v>881</v>
      </c>
      <c r="C790">
        <v>653842.39627635502</v>
      </c>
    </row>
    <row r="791" spans="1:3" x14ac:dyDescent="0.25">
      <c r="A791" s="150">
        <v>786</v>
      </c>
      <c r="B791" s="10" t="s">
        <v>882</v>
      </c>
      <c r="C791">
        <v>548824.80340769899</v>
      </c>
    </row>
    <row r="792" spans="1:3" x14ac:dyDescent="0.25">
      <c r="A792" s="150">
        <v>787</v>
      </c>
      <c r="B792" s="10" t="s">
        <v>883</v>
      </c>
      <c r="C792">
        <v>35365.959647461801</v>
      </c>
    </row>
    <row r="793" spans="1:3" x14ac:dyDescent="0.25">
      <c r="A793" s="150">
        <v>788</v>
      </c>
      <c r="B793" s="10" t="s">
        <v>884</v>
      </c>
      <c r="C793">
        <v>14714.707272461599</v>
      </c>
    </row>
    <row r="794" spans="1:3" x14ac:dyDescent="0.25">
      <c r="A794" s="150">
        <v>789</v>
      </c>
      <c r="B794" s="10" t="s">
        <v>885</v>
      </c>
      <c r="C794">
        <v>6190.2601767578199</v>
      </c>
    </row>
    <row r="795" spans="1:3" x14ac:dyDescent="0.25">
      <c r="A795" s="150">
        <v>790</v>
      </c>
      <c r="B795" s="10" t="s">
        <v>886</v>
      </c>
      <c r="C795">
        <v>10630.186910156401</v>
      </c>
    </row>
    <row r="796" spans="1:3" x14ac:dyDescent="0.25">
      <c r="A796" s="150">
        <v>791</v>
      </c>
      <c r="B796" s="10" t="s">
        <v>887</v>
      </c>
      <c r="C796">
        <v>22322.8228789065</v>
      </c>
    </row>
    <row r="797" spans="1:3" x14ac:dyDescent="0.25">
      <c r="A797" s="150">
        <v>792</v>
      </c>
      <c r="B797" s="10" t="s">
        <v>888</v>
      </c>
      <c r="C797">
        <v>10674.721218750799</v>
      </c>
    </row>
    <row r="798" spans="1:3" x14ac:dyDescent="0.25">
      <c r="A798" s="150">
        <v>793</v>
      </c>
      <c r="B798" s="10" t="s">
        <v>1325</v>
      </c>
      <c r="C798">
        <v>0</v>
      </c>
    </row>
    <row r="799" spans="1:3" x14ac:dyDescent="0.25">
      <c r="A799" s="150">
        <v>794</v>
      </c>
      <c r="B799" s="10" t="s">
        <v>1326</v>
      </c>
      <c r="C799">
        <v>0</v>
      </c>
    </row>
    <row r="800" spans="1:3" x14ac:dyDescent="0.25">
      <c r="A800" s="150">
        <v>795</v>
      </c>
      <c r="B800" s="10" t="s">
        <v>1327</v>
      </c>
      <c r="C800">
        <v>0</v>
      </c>
    </row>
    <row r="801" spans="1:3" x14ac:dyDescent="0.25">
      <c r="A801" s="150">
        <v>796</v>
      </c>
      <c r="B801" s="10" t="s">
        <v>1328</v>
      </c>
      <c r="C801">
        <v>19362.245384033798</v>
      </c>
    </row>
    <row r="802" spans="1:3" x14ac:dyDescent="0.25">
      <c r="A802" s="150">
        <v>797</v>
      </c>
      <c r="B802" s="10" t="s">
        <v>1329</v>
      </c>
      <c r="C802">
        <v>541.77680877689295</v>
      </c>
    </row>
    <row r="803" spans="1:3" x14ac:dyDescent="0.25">
      <c r="A803" s="150">
        <v>798</v>
      </c>
      <c r="B803" s="10" t="s">
        <v>1330</v>
      </c>
      <c r="C803">
        <v>0</v>
      </c>
    </row>
    <row r="804" spans="1:3" x14ac:dyDescent="0.25">
      <c r="A804" s="150">
        <v>799</v>
      </c>
      <c r="B804" s="10" t="s">
        <v>1331</v>
      </c>
      <c r="C804">
        <v>0</v>
      </c>
    </row>
    <row r="805" spans="1:3" x14ac:dyDescent="0.25">
      <c r="A805" s="150">
        <v>800</v>
      </c>
      <c r="B805" s="10" t="s">
        <v>1332</v>
      </c>
      <c r="C805">
        <v>6394.25036279298</v>
      </c>
    </row>
    <row r="806" spans="1:3" x14ac:dyDescent="0.25">
      <c r="A806" s="150">
        <v>801</v>
      </c>
      <c r="B806" s="10" t="s">
        <v>1333</v>
      </c>
      <c r="C806">
        <v>5185.9663520507702</v>
      </c>
    </row>
    <row r="807" spans="1:3" x14ac:dyDescent="0.25">
      <c r="A807" s="150">
        <v>802</v>
      </c>
      <c r="B807" s="10" t="s">
        <v>1334</v>
      </c>
      <c r="C807">
        <v>18806.326470702901</v>
      </c>
    </row>
    <row r="808" spans="1:3" x14ac:dyDescent="0.25">
      <c r="A808" s="150">
        <v>803</v>
      </c>
      <c r="B808" s="10" t="s">
        <v>1335</v>
      </c>
      <c r="C808">
        <v>0</v>
      </c>
    </row>
    <row r="809" spans="1:3" x14ac:dyDescent="0.25">
      <c r="A809" s="150">
        <v>804</v>
      </c>
      <c r="B809" s="10" t="s">
        <v>1336</v>
      </c>
      <c r="C809">
        <v>0</v>
      </c>
    </row>
    <row r="810" spans="1:3" x14ac:dyDescent="0.25">
      <c r="A810" s="150">
        <v>805</v>
      </c>
      <c r="B810" s="10" t="s">
        <v>1337</v>
      </c>
      <c r="C810">
        <v>381367.10243895598</v>
      </c>
    </row>
    <row r="811" spans="1:3" x14ac:dyDescent="0.25">
      <c r="A811" s="150">
        <v>806</v>
      </c>
      <c r="B811" s="10" t="s">
        <v>1338</v>
      </c>
      <c r="C811">
        <v>225630.535997689</v>
      </c>
    </row>
    <row r="812" spans="1:3" x14ac:dyDescent="0.25">
      <c r="A812" s="150">
        <v>807</v>
      </c>
      <c r="B812" s="10" t="s">
        <v>1339</v>
      </c>
      <c r="C812">
        <v>3184876.7467739601</v>
      </c>
    </row>
    <row r="813" spans="1:3" x14ac:dyDescent="0.25">
      <c r="A813" s="150">
        <v>808</v>
      </c>
      <c r="B813" s="10" t="s">
        <v>1340</v>
      </c>
      <c r="C813">
        <v>3004807.75716019</v>
      </c>
    </row>
    <row r="814" spans="1:3" x14ac:dyDescent="0.25">
      <c r="A814" s="150">
        <v>809</v>
      </c>
      <c r="B814" s="10" t="s">
        <v>1341</v>
      </c>
      <c r="C814">
        <v>12208988.8696032</v>
      </c>
    </row>
    <row r="815" spans="1:3" x14ac:dyDescent="0.25">
      <c r="A815" s="150">
        <v>810</v>
      </c>
      <c r="B815" s="10" t="s">
        <v>1342</v>
      </c>
      <c r="C815">
        <v>11177528.5113125</v>
      </c>
    </row>
    <row r="816" spans="1:3" x14ac:dyDescent="0.25">
      <c r="A816" s="150">
        <v>811</v>
      </c>
      <c r="B816" s="10" t="s">
        <v>1343</v>
      </c>
      <c r="C816">
        <v>22056165.2135754</v>
      </c>
    </row>
    <row r="817" spans="1:3" x14ac:dyDescent="0.25">
      <c r="A817" s="150">
        <v>812</v>
      </c>
      <c r="B817" s="10" t="s">
        <v>1344</v>
      </c>
      <c r="C817">
        <v>19444931.853528999</v>
      </c>
    </row>
    <row r="818" spans="1:3" x14ac:dyDescent="0.25">
      <c r="A818" s="150">
        <v>813</v>
      </c>
      <c r="B818" s="10" t="s">
        <v>1345</v>
      </c>
      <c r="C818">
        <v>24281108.818727501</v>
      </c>
    </row>
    <row r="819" spans="1:3" x14ac:dyDescent="0.25">
      <c r="A819" s="150">
        <v>814</v>
      </c>
      <c r="B819" s="10" t="s">
        <v>1346</v>
      </c>
      <c r="C819">
        <v>22253433.155847501</v>
      </c>
    </row>
    <row r="820" spans="1:3" x14ac:dyDescent="0.25">
      <c r="A820" s="150">
        <v>815</v>
      </c>
      <c r="B820" s="10" t="s">
        <v>1347</v>
      </c>
      <c r="C820">
        <v>17163255.399499901</v>
      </c>
    </row>
    <row r="821" spans="1:3" x14ac:dyDescent="0.25">
      <c r="A821" s="150">
        <v>816</v>
      </c>
      <c r="B821" s="10" t="s">
        <v>1348</v>
      </c>
      <c r="C821">
        <v>16534960.214880001</v>
      </c>
    </row>
    <row r="822" spans="1:3" x14ac:dyDescent="0.25">
      <c r="A822" s="150">
        <v>817</v>
      </c>
      <c r="B822" s="10" t="s">
        <v>1349</v>
      </c>
      <c r="C822">
        <v>8182480.2836704301</v>
      </c>
    </row>
    <row r="823" spans="1:3" x14ac:dyDescent="0.25">
      <c r="A823" s="150">
        <v>818</v>
      </c>
      <c r="B823" s="10" t="s">
        <v>1350</v>
      </c>
      <c r="C823">
        <v>7545620.6600542096</v>
      </c>
    </row>
    <row r="824" spans="1:3" x14ac:dyDescent="0.25">
      <c r="A824" s="150">
        <v>819</v>
      </c>
      <c r="B824" s="10" t="s">
        <v>1351</v>
      </c>
      <c r="C824">
        <v>2526283.3922083401</v>
      </c>
    </row>
    <row r="825" spans="1:3" x14ac:dyDescent="0.25">
      <c r="A825" s="150">
        <v>820</v>
      </c>
      <c r="B825" s="10" t="s">
        <v>1352</v>
      </c>
      <c r="C825">
        <v>2498077.5418350701</v>
      </c>
    </row>
    <row r="826" spans="1:3" x14ac:dyDescent="0.25">
      <c r="A826" s="150">
        <v>821</v>
      </c>
      <c r="B826" s="10" t="s">
        <v>1353</v>
      </c>
      <c r="C826">
        <v>291513.77682414697</v>
      </c>
    </row>
    <row r="827" spans="1:3" x14ac:dyDescent="0.25">
      <c r="A827" s="150">
        <v>822</v>
      </c>
      <c r="B827" s="10" t="s">
        <v>1354</v>
      </c>
      <c r="C827">
        <v>279494.53960132599</v>
      </c>
    </row>
    <row r="828" spans="1:3" x14ac:dyDescent="0.25">
      <c r="A828" s="150">
        <v>823</v>
      </c>
      <c r="B828" s="10" t="s">
        <v>889</v>
      </c>
      <c r="C828">
        <v>1291153.75790811</v>
      </c>
    </row>
    <row r="829" spans="1:3" x14ac:dyDescent="0.25">
      <c r="A829" s="150">
        <v>824</v>
      </c>
      <c r="B829" s="10" t="s">
        <v>890</v>
      </c>
      <c r="C829">
        <v>742514.25485199702</v>
      </c>
    </row>
    <row r="830" spans="1:3" x14ac:dyDescent="0.25">
      <c r="A830" s="150">
        <v>825</v>
      </c>
      <c r="B830" s="10" t="s">
        <v>891</v>
      </c>
      <c r="C830">
        <v>5203773.6769623803</v>
      </c>
    </row>
    <row r="831" spans="1:3" x14ac:dyDescent="0.25">
      <c r="A831" s="150">
        <v>826</v>
      </c>
      <c r="B831" s="10" t="s">
        <v>892</v>
      </c>
      <c r="C831">
        <v>3905818.7573976498</v>
      </c>
    </row>
    <row r="832" spans="1:3" x14ac:dyDescent="0.25">
      <c r="A832" s="150">
        <v>827</v>
      </c>
      <c r="B832" s="10" t="s">
        <v>893</v>
      </c>
      <c r="C832">
        <v>8637035.7764129601</v>
      </c>
    </row>
    <row r="833" spans="1:3" x14ac:dyDescent="0.25">
      <c r="A833" s="150">
        <v>828</v>
      </c>
      <c r="B833" s="10" t="s">
        <v>894</v>
      </c>
      <c r="C833">
        <v>8774083.8862056695</v>
      </c>
    </row>
    <row r="834" spans="1:3" x14ac:dyDescent="0.25">
      <c r="A834" s="150">
        <v>829</v>
      </c>
      <c r="B834" s="10" t="s">
        <v>895</v>
      </c>
      <c r="C834">
        <v>12221559.867742499</v>
      </c>
    </row>
    <row r="835" spans="1:3" x14ac:dyDescent="0.25">
      <c r="A835" s="150">
        <v>830</v>
      </c>
      <c r="B835" s="10" t="s">
        <v>896</v>
      </c>
      <c r="C835">
        <v>8725765.1022825204</v>
      </c>
    </row>
    <row r="836" spans="1:3" x14ac:dyDescent="0.25">
      <c r="A836" s="150">
        <v>831</v>
      </c>
      <c r="B836" s="10" t="s">
        <v>897</v>
      </c>
      <c r="C836">
        <v>15009894.278650301</v>
      </c>
    </row>
    <row r="837" spans="1:3" x14ac:dyDescent="0.25">
      <c r="A837" s="150">
        <v>832</v>
      </c>
      <c r="B837" s="10" t="s">
        <v>898</v>
      </c>
      <c r="C837">
        <v>10248501.3401947</v>
      </c>
    </row>
    <row r="838" spans="1:3" x14ac:dyDescent="0.25">
      <c r="A838" s="150">
        <v>833</v>
      </c>
      <c r="B838" s="10" t="s">
        <v>899</v>
      </c>
      <c r="C838">
        <v>14302566.308979999</v>
      </c>
    </row>
    <row r="839" spans="1:3" x14ac:dyDescent="0.25">
      <c r="A839" s="150">
        <v>834</v>
      </c>
      <c r="B839" s="10" t="s">
        <v>900</v>
      </c>
      <c r="C839">
        <v>11541769.772381799</v>
      </c>
    </row>
    <row r="840" spans="1:3" x14ac:dyDescent="0.25">
      <c r="A840" s="150">
        <v>835</v>
      </c>
      <c r="B840" s="10" t="s">
        <v>901</v>
      </c>
      <c r="C840">
        <v>9112568.7872686405</v>
      </c>
    </row>
    <row r="841" spans="1:3" x14ac:dyDescent="0.25">
      <c r="A841" s="150">
        <v>836</v>
      </c>
      <c r="B841" s="10" t="s">
        <v>902</v>
      </c>
      <c r="C841">
        <v>8640945.1023945808</v>
      </c>
    </row>
    <row r="842" spans="1:3" x14ac:dyDescent="0.25">
      <c r="A842" s="150">
        <v>837</v>
      </c>
      <c r="B842" s="10" t="s">
        <v>903</v>
      </c>
      <c r="C842">
        <v>3755357.27882767</v>
      </c>
    </row>
    <row r="843" spans="1:3" x14ac:dyDescent="0.25">
      <c r="A843" s="150">
        <v>838</v>
      </c>
      <c r="B843" s="10" t="s">
        <v>904</v>
      </c>
      <c r="C843">
        <v>3517250.4872181402</v>
      </c>
    </row>
    <row r="844" spans="1:3" x14ac:dyDescent="0.25">
      <c r="A844" s="150">
        <v>839</v>
      </c>
      <c r="B844" s="10" t="s">
        <v>905</v>
      </c>
      <c r="C844">
        <v>540101.90758985304</v>
      </c>
    </row>
    <row r="845" spans="1:3" x14ac:dyDescent="0.25">
      <c r="A845" s="150">
        <v>840</v>
      </c>
      <c r="B845" s="10" t="s">
        <v>906</v>
      </c>
      <c r="C845">
        <v>393494.937382787</v>
      </c>
    </row>
    <row r="846" spans="1:3" x14ac:dyDescent="0.25">
      <c r="A846" s="150">
        <v>841</v>
      </c>
      <c r="B846" s="10" t="s">
        <v>907</v>
      </c>
      <c r="C846">
        <v>30785.562145020798</v>
      </c>
    </row>
    <row r="847" spans="1:3" x14ac:dyDescent="0.25">
      <c r="A847" s="150">
        <v>842</v>
      </c>
      <c r="B847" s="10" t="s">
        <v>908</v>
      </c>
      <c r="C847">
        <v>0</v>
      </c>
    </row>
    <row r="848" spans="1:3" x14ac:dyDescent="0.25">
      <c r="A848" s="150">
        <v>843</v>
      </c>
      <c r="B848" s="10" t="s">
        <v>909</v>
      </c>
      <c r="C848">
        <v>0</v>
      </c>
    </row>
    <row r="849" spans="1:3" x14ac:dyDescent="0.25">
      <c r="A849" s="150">
        <v>844</v>
      </c>
      <c r="B849" s="10" t="s">
        <v>910</v>
      </c>
      <c r="C849">
        <v>0</v>
      </c>
    </row>
    <row r="850" spans="1:3" x14ac:dyDescent="0.25">
      <c r="A850" s="150">
        <v>845</v>
      </c>
      <c r="B850" s="10" t="s">
        <v>1355</v>
      </c>
      <c r="C850">
        <v>21673.904535919399</v>
      </c>
    </row>
    <row r="851" spans="1:3" x14ac:dyDescent="0.25">
      <c r="A851" s="150">
        <v>846</v>
      </c>
      <c r="B851" s="10" t="s">
        <v>1356</v>
      </c>
      <c r="C851">
        <v>9665.6841708985194</v>
      </c>
    </row>
    <row r="852" spans="1:3" x14ac:dyDescent="0.25">
      <c r="A852" s="150">
        <v>847</v>
      </c>
      <c r="B852" s="10" t="s">
        <v>1357</v>
      </c>
      <c r="C852">
        <v>2956.02570703113</v>
      </c>
    </row>
    <row r="853" spans="1:3" x14ac:dyDescent="0.25">
      <c r="A853" s="150">
        <v>848</v>
      </c>
      <c r="B853" s="10" t="s">
        <v>1358</v>
      </c>
      <c r="C853">
        <v>12798.242733397499</v>
      </c>
    </row>
    <row r="854" spans="1:3" x14ac:dyDescent="0.25">
      <c r="A854" s="150">
        <v>849</v>
      </c>
      <c r="B854" s="10" t="s">
        <v>1359</v>
      </c>
      <c r="C854">
        <v>0</v>
      </c>
    </row>
    <row r="855" spans="1:3" x14ac:dyDescent="0.25">
      <c r="A855" s="150">
        <v>850</v>
      </c>
      <c r="B855" s="10" t="s">
        <v>1360</v>
      </c>
      <c r="C855">
        <v>5459.8289355467996</v>
      </c>
    </row>
    <row r="856" spans="1:3" x14ac:dyDescent="0.25">
      <c r="A856" s="150">
        <v>851</v>
      </c>
      <c r="B856" s="10" t="s">
        <v>1361</v>
      </c>
      <c r="C856">
        <v>27960.127315796901</v>
      </c>
    </row>
    <row r="857" spans="1:3" x14ac:dyDescent="0.25">
      <c r="A857" s="150">
        <v>852</v>
      </c>
      <c r="B857" s="10" t="s">
        <v>1362</v>
      </c>
      <c r="C857">
        <v>6011.1536762695796</v>
      </c>
    </row>
    <row r="858" spans="1:3" x14ac:dyDescent="0.25">
      <c r="A858" s="150">
        <v>853</v>
      </c>
      <c r="B858" s="10" t="s">
        <v>1363</v>
      </c>
      <c r="C858">
        <v>27272.385524412599</v>
      </c>
    </row>
    <row r="859" spans="1:3" x14ac:dyDescent="0.25">
      <c r="A859" s="150">
        <v>854</v>
      </c>
      <c r="B859" s="10" t="s">
        <v>1364</v>
      </c>
      <c r="C859">
        <v>0</v>
      </c>
    </row>
    <row r="860" spans="1:3" x14ac:dyDescent="0.25">
      <c r="A860" s="150">
        <v>855</v>
      </c>
      <c r="B860" s="10" t="s">
        <v>1365</v>
      </c>
      <c r="C860">
        <v>28496.551237792701</v>
      </c>
    </row>
    <row r="861" spans="1:3" x14ac:dyDescent="0.25">
      <c r="A861" s="150">
        <v>856</v>
      </c>
      <c r="B861" s="10" t="s">
        <v>1366</v>
      </c>
      <c r="C861">
        <v>0</v>
      </c>
    </row>
    <row r="862" spans="1:3" x14ac:dyDescent="0.25">
      <c r="A862" s="150">
        <v>857</v>
      </c>
      <c r="B862" s="10" t="s">
        <v>1367</v>
      </c>
      <c r="C862">
        <v>0</v>
      </c>
    </row>
    <row r="863" spans="1:3" x14ac:dyDescent="0.25">
      <c r="A863" s="150">
        <v>858</v>
      </c>
      <c r="B863" s="10" t="s">
        <v>1368</v>
      </c>
      <c r="C863">
        <v>0</v>
      </c>
    </row>
    <row r="864" spans="1:3" x14ac:dyDescent="0.25">
      <c r="A864" s="150">
        <v>859</v>
      </c>
      <c r="B864" s="10" t="s">
        <v>1369</v>
      </c>
      <c r="C864">
        <v>11390.6350751957</v>
      </c>
    </row>
    <row r="865" spans="1:3" x14ac:dyDescent="0.25">
      <c r="A865" s="150">
        <v>860</v>
      </c>
      <c r="B865" s="10" t="s">
        <v>1370</v>
      </c>
      <c r="C865">
        <v>1173.0066562499901</v>
      </c>
    </row>
    <row r="866" spans="1:3" x14ac:dyDescent="0.25">
      <c r="A866" s="150">
        <v>861</v>
      </c>
      <c r="B866" s="10" t="s">
        <v>1371</v>
      </c>
      <c r="C866">
        <v>221511.505684078</v>
      </c>
    </row>
    <row r="867" spans="1:3" x14ac:dyDescent="0.25">
      <c r="A867" s="150">
        <v>862</v>
      </c>
      <c r="B867" s="10" t="s">
        <v>1372</v>
      </c>
      <c r="C867">
        <v>181087.01721532599</v>
      </c>
    </row>
    <row r="868" spans="1:3" x14ac:dyDescent="0.25">
      <c r="A868" s="150">
        <v>863</v>
      </c>
      <c r="B868" s="10" t="s">
        <v>1373</v>
      </c>
      <c r="C868">
        <v>2393109.22347331</v>
      </c>
    </row>
    <row r="869" spans="1:3" x14ac:dyDescent="0.25">
      <c r="A869" s="150">
        <v>864</v>
      </c>
      <c r="B869" s="10" t="s">
        <v>1374</v>
      </c>
      <c r="C869">
        <v>1916222.2911989701</v>
      </c>
    </row>
    <row r="870" spans="1:3" x14ac:dyDescent="0.25">
      <c r="A870" s="150">
        <v>865</v>
      </c>
      <c r="B870" s="10" t="s">
        <v>1375</v>
      </c>
      <c r="C870">
        <v>7986481.3366975803</v>
      </c>
    </row>
    <row r="871" spans="1:3" x14ac:dyDescent="0.25">
      <c r="A871" s="150">
        <v>866</v>
      </c>
      <c r="B871" s="10" t="s">
        <v>1376</v>
      </c>
      <c r="C871">
        <v>7026271.4437894803</v>
      </c>
    </row>
    <row r="872" spans="1:3" x14ac:dyDescent="0.25">
      <c r="A872" s="150">
        <v>867</v>
      </c>
      <c r="B872" s="10" t="s">
        <v>1377</v>
      </c>
      <c r="C872">
        <v>13725234.6994438</v>
      </c>
    </row>
    <row r="873" spans="1:3" x14ac:dyDescent="0.25">
      <c r="A873" s="150">
        <v>868</v>
      </c>
      <c r="B873" s="10" t="s">
        <v>1378</v>
      </c>
      <c r="C873">
        <v>12850048.6474094</v>
      </c>
    </row>
    <row r="874" spans="1:3" x14ac:dyDescent="0.25">
      <c r="A874" s="150">
        <v>869</v>
      </c>
      <c r="B874" s="10" t="s">
        <v>1379</v>
      </c>
      <c r="C874">
        <v>13790697.762952801</v>
      </c>
    </row>
    <row r="875" spans="1:3" x14ac:dyDescent="0.25">
      <c r="A875" s="150">
        <v>870</v>
      </c>
      <c r="B875" s="10" t="s">
        <v>1380</v>
      </c>
      <c r="C875">
        <v>13712369.8909445</v>
      </c>
    </row>
    <row r="876" spans="1:3" x14ac:dyDescent="0.25">
      <c r="A876" s="150">
        <v>871</v>
      </c>
      <c r="B876" s="10" t="s">
        <v>1381</v>
      </c>
      <c r="C876">
        <v>9602212.4350509606</v>
      </c>
    </row>
    <row r="877" spans="1:3" x14ac:dyDescent="0.25">
      <c r="A877" s="150">
        <v>872</v>
      </c>
      <c r="B877" s="10" t="s">
        <v>1382</v>
      </c>
      <c r="C877">
        <v>9065324.7233009301</v>
      </c>
    </row>
    <row r="878" spans="1:3" x14ac:dyDescent="0.25">
      <c r="A878" s="150">
        <v>873</v>
      </c>
      <c r="B878" s="10" t="s">
        <v>1383</v>
      </c>
      <c r="C878">
        <v>4688146.0054721804</v>
      </c>
    </row>
    <row r="879" spans="1:3" x14ac:dyDescent="0.25">
      <c r="A879" s="150">
        <v>874</v>
      </c>
      <c r="B879" s="10" t="s">
        <v>1384</v>
      </c>
      <c r="C879">
        <v>4276944.8286547698</v>
      </c>
    </row>
    <row r="880" spans="1:3" x14ac:dyDescent="0.25">
      <c r="A880" s="150">
        <v>875</v>
      </c>
      <c r="B880" s="10" t="s">
        <v>1385</v>
      </c>
      <c r="C880">
        <v>0</v>
      </c>
    </row>
    <row r="881" spans="1:3" x14ac:dyDescent="0.25">
      <c r="A881" s="150">
        <v>876</v>
      </c>
      <c r="B881" s="10" t="s">
        <v>1386</v>
      </c>
      <c r="C881">
        <v>0</v>
      </c>
    </row>
    <row r="882" spans="1:3" x14ac:dyDescent="0.25">
      <c r="A882" s="150">
        <v>877</v>
      </c>
      <c r="B882" s="10" t="s">
        <v>911</v>
      </c>
      <c r="C882">
        <v>1844635.1713230601</v>
      </c>
    </row>
    <row r="883" spans="1:3" x14ac:dyDescent="0.25">
      <c r="A883" s="150">
        <v>878</v>
      </c>
      <c r="B883" s="10" t="s">
        <v>912</v>
      </c>
      <c r="C883">
        <v>483208.87161964201</v>
      </c>
    </row>
    <row r="884" spans="1:3" x14ac:dyDescent="0.25">
      <c r="A884" s="150">
        <v>879</v>
      </c>
      <c r="B884" s="10" t="s">
        <v>913</v>
      </c>
      <c r="C884">
        <v>4581505.9012355804</v>
      </c>
    </row>
    <row r="885" spans="1:3" x14ac:dyDescent="0.25">
      <c r="A885" s="150">
        <v>880</v>
      </c>
      <c r="B885" s="10" t="s">
        <v>914</v>
      </c>
      <c r="C885">
        <v>3251831.3732259301</v>
      </c>
    </row>
    <row r="886" spans="1:3" x14ac:dyDescent="0.25">
      <c r="A886" s="150">
        <v>881</v>
      </c>
      <c r="B886" s="10" t="s">
        <v>915</v>
      </c>
      <c r="C886">
        <v>6618474.0505385399</v>
      </c>
    </row>
    <row r="887" spans="1:3" x14ac:dyDescent="0.25">
      <c r="A887" s="150">
        <v>882</v>
      </c>
      <c r="B887" s="10" t="s">
        <v>916</v>
      </c>
      <c r="C887">
        <v>7118360.0320949601</v>
      </c>
    </row>
    <row r="888" spans="1:3" x14ac:dyDescent="0.25">
      <c r="A888" s="150">
        <v>883</v>
      </c>
      <c r="B888" s="10" t="s">
        <v>917</v>
      </c>
      <c r="C888">
        <v>9165451.9193143807</v>
      </c>
    </row>
    <row r="889" spans="1:3" x14ac:dyDescent="0.25">
      <c r="A889" s="150">
        <v>884</v>
      </c>
      <c r="B889" s="10" t="s">
        <v>918</v>
      </c>
      <c r="C889">
        <v>6396192.6994638396</v>
      </c>
    </row>
    <row r="890" spans="1:3" x14ac:dyDescent="0.25">
      <c r="A890" s="150">
        <v>885</v>
      </c>
      <c r="B890" s="10" t="s">
        <v>919</v>
      </c>
      <c r="C890">
        <v>9893231.1738891602</v>
      </c>
    </row>
    <row r="891" spans="1:3" x14ac:dyDescent="0.25">
      <c r="A891" s="150">
        <v>886</v>
      </c>
      <c r="B891" s="10" t="s">
        <v>920</v>
      </c>
      <c r="C891">
        <v>5825520.5044236202</v>
      </c>
    </row>
    <row r="892" spans="1:3" x14ac:dyDescent="0.25">
      <c r="A892" s="150">
        <v>887</v>
      </c>
      <c r="B892" s="10" t="s">
        <v>921</v>
      </c>
      <c r="C892">
        <v>8583129.6926021595</v>
      </c>
    </row>
    <row r="893" spans="1:3" x14ac:dyDescent="0.25">
      <c r="A893" s="150">
        <v>888</v>
      </c>
      <c r="B893" s="10" t="s">
        <v>922</v>
      </c>
      <c r="C893">
        <v>7731425.4588546799</v>
      </c>
    </row>
    <row r="894" spans="1:3" x14ac:dyDescent="0.25">
      <c r="A894" s="150">
        <v>889</v>
      </c>
      <c r="B894" s="10" t="s">
        <v>923</v>
      </c>
      <c r="C894">
        <v>5644569.0705666495</v>
      </c>
    </row>
    <row r="895" spans="1:3" x14ac:dyDescent="0.25">
      <c r="A895" s="150">
        <v>890</v>
      </c>
      <c r="B895" s="10" t="s">
        <v>924</v>
      </c>
      <c r="C895">
        <v>5506429.84459305</v>
      </c>
    </row>
    <row r="896" spans="1:3" x14ac:dyDescent="0.25">
      <c r="A896" s="150">
        <v>891</v>
      </c>
      <c r="B896" s="10" t="s">
        <v>925</v>
      </c>
      <c r="C896">
        <v>2394978.9454326602</v>
      </c>
    </row>
    <row r="897" spans="1:3" x14ac:dyDescent="0.25">
      <c r="A897" s="150">
        <v>892</v>
      </c>
      <c r="B897" s="10" t="s">
        <v>926</v>
      </c>
      <c r="C897">
        <v>2181581.50621831</v>
      </c>
    </row>
    <row r="898" spans="1:3" x14ac:dyDescent="0.25">
      <c r="A898" s="150">
        <v>893</v>
      </c>
      <c r="B898" s="10" t="s">
        <v>927</v>
      </c>
      <c r="C898">
        <v>448946.03500783403</v>
      </c>
    </row>
    <row r="899" spans="1:3" x14ac:dyDescent="0.25">
      <c r="A899" s="150">
        <v>894</v>
      </c>
      <c r="B899" s="10" t="s">
        <v>928</v>
      </c>
      <c r="C899">
        <v>201817.160875008</v>
      </c>
    </row>
    <row r="900" spans="1:3" x14ac:dyDescent="0.25">
      <c r="A900" s="150">
        <v>895</v>
      </c>
      <c r="B900" s="10" t="s">
        <v>929</v>
      </c>
      <c r="C900">
        <v>52160.671738278099</v>
      </c>
    </row>
    <row r="901" spans="1:3" x14ac:dyDescent="0.25">
      <c r="A901" s="150">
        <v>896</v>
      </c>
      <c r="B901" s="10" t="s">
        <v>930</v>
      </c>
      <c r="C901">
        <v>23534.560066405698</v>
      </c>
    </row>
    <row r="902" spans="1:3" x14ac:dyDescent="0.25">
      <c r="A902" s="150">
        <v>897</v>
      </c>
      <c r="B902" s="10" t="s">
        <v>931</v>
      </c>
      <c r="C902">
        <v>0</v>
      </c>
    </row>
    <row r="903" spans="1:3" x14ac:dyDescent="0.25">
      <c r="A903" s="150">
        <v>898</v>
      </c>
      <c r="B903" s="10" t="s">
        <v>932</v>
      </c>
      <c r="C903">
        <v>0</v>
      </c>
    </row>
    <row r="904" spans="1:3" x14ac:dyDescent="0.25">
      <c r="A904" s="150">
        <v>899</v>
      </c>
      <c r="B904" s="10" t="s">
        <v>1387</v>
      </c>
      <c r="C904">
        <v>22027.734843750499</v>
      </c>
    </row>
    <row r="905" spans="1:3" x14ac:dyDescent="0.25">
      <c r="A905" s="150">
        <v>900</v>
      </c>
      <c r="B905" s="10" t="s">
        <v>1388</v>
      </c>
      <c r="C905">
        <v>0</v>
      </c>
    </row>
    <row r="906" spans="1:3" x14ac:dyDescent="0.25">
      <c r="A906" s="150">
        <v>901</v>
      </c>
      <c r="B906" s="10" t="s">
        <v>1389</v>
      </c>
      <c r="C906">
        <v>4186405.3312788</v>
      </c>
    </row>
    <row r="907" spans="1:3" x14ac:dyDescent="0.25">
      <c r="A907" s="150">
        <v>902</v>
      </c>
      <c r="B907" s="10" t="s">
        <v>1390</v>
      </c>
      <c r="C907">
        <v>0</v>
      </c>
    </row>
    <row r="908" spans="1:3" x14ac:dyDescent="0.25">
      <c r="A908" s="150">
        <v>903</v>
      </c>
      <c r="B908" s="10" t="s">
        <v>1391</v>
      </c>
      <c r="C908">
        <v>16629.801283995599</v>
      </c>
    </row>
    <row r="909" spans="1:3" x14ac:dyDescent="0.25">
      <c r="A909" s="150">
        <v>904</v>
      </c>
      <c r="B909" s="10" t="s">
        <v>1392</v>
      </c>
      <c r="C909">
        <v>56801.608210356899</v>
      </c>
    </row>
    <row r="910" spans="1:3" x14ac:dyDescent="0.25">
      <c r="A910" s="150">
        <v>905</v>
      </c>
      <c r="B910" s="10" t="s">
        <v>1393</v>
      </c>
      <c r="C910">
        <v>18337.881902343601</v>
      </c>
    </row>
    <row r="911" spans="1:3" x14ac:dyDescent="0.25">
      <c r="A911" s="150">
        <v>906</v>
      </c>
      <c r="B911" s="10" t="s">
        <v>1394</v>
      </c>
      <c r="C911">
        <v>0</v>
      </c>
    </row>
    <row r="912" spans="1:3" x14ac:dyDescent="0.25">
      <c r="A912" s="150">
        <v>907</v>
      </c>
      <c r="B912" s="10" t="s">
        <v>1395</v>
      </c>
      <c r="C912">
        <v>9016.31878857431</v>
      </c>
    </row>
    <row r="913" spans="1:3" x14ac:dyDescent="0.25">
      <c r="A913" s="150">
        <v>908</v>
      </c>
      <c r="B913" s="10" t="s">
        <v>1396</v>
      </c>
      <c r="C913">
        <v>0</v>
      </c>
    </row>
    <row r="914" spans="1:3" x14ac:dyDescent="0.25">
      <c r="A914" s="150">
        <v>909</v>
      </c>
      <c r="B914" s="10" t="s">
        <v>1397</v>
      </c>
      <c r="C914">
        <v>0</v>
      </c>
    </row>
    <row r="915" spans="1:3" x14ac:dyDescent="0.25">
      <c r="A915" s="150">
        <v>910</v>
      </c>
      <c r="B915" s="10" t="s">
        <v>1398</v>
      </c>
      <c r="C915">
        <v>0</v>
      </c>
    </row>
    <row r="916" spans="1:3" x14ac:dyDescent="0.25">
      <c r="A916" s="150">
        <v>911</v>
      </c>
      <c r="B916" s="10" t="s">
        <v>1399</v>
      </c>
      <c r="C916">
        <v>2894.9716149903802</v>
      </c>
    </row>
    <row r="917" spans="1:3" x14ac:dyDescent="0.25">
      <c r="A917" s="150">
        <v>912</v>
      </c>
      <c r="B917" s="10" t="s">
        <v>1400</v>
      </c>
      <c r="C917">
        <v>0</v>
      </c>
    </row>
    <row r="918" spans="1:3" x14ac:dyDescent="0.25">
      <c r="A918" s="150">
        <v>913</v>
      </c>
      <c r="B918" s="10" t="s">
        <v>1401</v>
      </c>
      <c r="C918">
        <v>0</v>
      </c>
    </row>
    <row r="919" spans="1:3" x14ac:dyDescent="0.25">
      <c r="A919" s="150">
        <v>914</v>
      </c>
      <c r="B919" s="10" t="s">
        <v>1402</v>
      </c>
      <c r="C919">
        <v>0</v>
      </c>
    </row>
    <row r="920" spans="1:3" x14ac:dyDescent="0.25">
      <c r="A920" s="150">
        <v>915</v>
      </c>
      <c r="B920" s="10" t="s">
        <v>1403</v>
      </c>
      <c r="C920">
        <v>623.44958258053498</v>
      </c>
    </row>
    <row r="921" spans="1:3" x14ac:dyDescent="0.25">
      <c r="A921" s="150">
        <v>916</v>
      </c>
      <c r="B921" s="10" t="s">
        <v>1404</v>
      </c>
      <c r="C921">
        <v>29596.014091918201</v>
      </c>
    </row>
    <row r="922" spans="1:3" x14ac:dyDescent="0.25">
      <c r="A922" s="150">
        <v>917</v>
      </c>
      <c r="B922" s="10" t="s">
        <v>1405</v>
      </c>
      <c r="C922">
        <v>208937.089715332</v>
      </c>
    </row>
    <row r="923" spans="1:3" x14ac:dyDescent="0.25">
      <c r="A923" s="150">
        <v>918</v>
      </c>
      <c r="B923" s="10" t="s">
        <v>1406</v>
      </c>
      <c r="C923">
        <v>181251.51019042701</v>
      </c>
    </row>
    <row r="924" spans="1:3" x14ac:dyDescent="0.25">
      <c r="A924" s="150">
        <v>919</v>
      </c>
      <c r="B924" s="10" t="s">
        <v>1407</v>
      </c>
      <c r="C924">
        <v>1874656.73950064</v>
      </c>
    </row>
    <row r="925" spans="1:3" x14ac:dyDescent="0.25">
      <c r="A925" s="150">
        <v>920</v>
      </c>
      <c r="B925" s="10" t="s">
        <v>1408</v>
      </c>
      <c r="C925">
        <v>1438452.7757965301</v>
      </c>
    </row>
    <row r="926" spans="1:3" x14ac:dyDescent="0.25">
      <c r="A926" s="150">
        <v>921</v>
      </c>
      <c r="B926" s="10" t="s">
        <v>1409</v>
      </c>
      <c r="C926">
        <v>3648792.0182456998</v>
      </c>
    </row>
    <row r="927" spans="1:3" x14ac:dyDescent="0.25">
      <c r="A927" s="150">
        <v>922</v>
      </c>
      <c r="B927" s="10" t="s">
        <v>1410</v>
      </c>
      <c r="C927">
        <v>4088135.7990393601</v>
      </c>
    </row>
    <row r="928" spans="1:3" x14ac:dyDescent="0.25">
      <c r="A928" s="150">
        <v>923</v>
      </c>
      <c r="B928" s="10" t="s">
        <v>1411</v>
      </c>
      <c r="C928">
        <v>8343786.4054832496</v>
      </c>
    </row>
    <row r="929" spans="1:3" x14ac:dyDescent="0.25">
      <c r="A929" s="150">
        <v>924</v>
      </c>
      <c r="B929" s="10" t="s">
        <v>1412</v>
      </c>
      <c r="C929">
        <v>8804068.6531076394</v>
      </c>
    </row>
    <row r="930" spans="1:3" x14ac:dyDescent="0.25">
      <c r="A930" s="150">
        <v>925</v>
      </c>
      <c r="B930" s="10" t="s">
        <v>1413</v>
      </c>
      <c r="C930">
        <v>8726343.0705289803</v>
      </c>
    </row>
    <row r="931" spans="1:3" x14ac:dyDescent="0.25">
      <c r="A931" s="150">
        <v>926</v>
      </c>
      <c r="B931" s="10" t="s">
        <v>1414</v>
      </c>
      <c r="C931">
        <v>8067814.1780424099</v>
      </c>
    </row>
    <row r="932" spans="1:3" x14ac:dyDescent="0.25">
      <c r="A932" s="150">
        <v>927</v>
      </c>
      <c r="B932" s="10" t="s">
        <v>1415</v>
      </c>
      <c r="C932">
        <v>5717834.1039080601</v>
      </c>
    </row>
    <row r="933" spans="1:3" x14ac:dyDescent="0.25">
      <c r="A933" s="150">
        <v>928</v>
      </c>
      <c r="B933" s="10" t="s">
        <v>1416</v>
      </c>
      <c r="C933">
        <v>5266846.5882868804</v>
      </c>
    </row>
    <row r="934" spans="1:3" x14ac:dyDescent="0.25">
      <c r="A934" s="150">
        <v>929</v>
      </c>
      <c r="B934" s="10" t="s">
        <v>1417</v>
      </c>
      <c r="C934">
        <v>0</v>
      </c>
    </row>
    <row r="935" spans="1:3" x14ac:dyDescent="0.25">
      <c r="A935" s="150">
        <v>930</v>
      </c>
      <c r="B935" s="10" t="s">
        <v>1418</v>
      </c>
      <c r="C935">
        <v>0</v>
      </c>
    </row>
    <row r="936" spans="1:3" x14ac:dyDescent="0.25">
      <c r="A936" s="150">
        <v>931</v>
      </c>
      <c r="B936" s="10" t="s">
        <v>933</v>
      </c>
      <c r="C936">
        <v>736786.02962684596</v>
      </c>
    </row>
    <row r="937" spans="1:3" x14ac:dyDescent="0.25">
      <c r="A937" s="150">
        <v>932</v>
      </c>
      <c r="B937" s="10" t="s">
        <v>934</v>
      </c>
      <c r="C937">
        <v>230240.50508582601</v>
      </c>
    </row>
    <row r="938" spans="1:3" x14ac:dyDescent="0.25">
      <c r="A938" s="150">
        <v>933</v>
      </c>
      <c r="B938" s="10" t="s">
        <v>935</v>
      </c>
      <c r="C938">
        <v>3185812.8999047298</v>
      </c>
    </row>
    <row r="939" spans="1:3" x14ac:dyDescent="0.25">
      <c r="A939" s="150">
        <v>934</v>
      </c>
      <c r="B939" s="10" t="s">
        <v>936</v>
      </c>
      <c r="C939">
        <v>2329587.7856972199</v>
      </c>
    </row>
    <row r="940" spans="1:3" x14ac:dyDescent="0.25">
      <c r="A940" s="150">
        <v>935</v>
      </c>
      <c r="B940" s="10" t="s">
        <v>937</v>
      </c>
      <c r="C940">
        <v>5197377.3926396398</v>
      </c>
    </row>
    <row r="941" spans="1:3" x14ac:dyDescent="0.25">
      <c r="A941" s="150">
        <v>936</v>
      </c>
      <c r="B941" s="10" t="s">
        <v>938</v>
      </c>
      <c r="C941">
        <v>5517090.85535431</v>
      </c>
    </row>
    <row r="942" spans="1:3" x14ac:dyDescent="0.25">
      <c r="A942" s="150">
        <v>937</v>
      </c>
      <c r="B942" s="10" t="s">
        <v>939</v>
      </c>
      <c r="C942">
        <v>7159546.2531981496</v>
      </c>
    </row>
    <row r="943" spans="1:3" x14ac:dyDescent="0.25">
      <c r="A943" s="150">
        <v>938</v>
      </c>
      <c r="B943" s="10" t="s">
        <v>940</v>
      </c>
      <c r="C943">
        <v>4811358.7439026805</v>
      </c>
    </row>
    <row r="944" spans="1:3" x14ac:dyDescent="0.25">
      <c r="A944" s="150">
        <v>939</v>
      </c>
      <c r="B944" s="10" t="s">
        <v>941</v>
      </c>
      <c r="C944">
        <v>6151547.5544629097</v>
      </c>
    </row>
    <row r="945" spans="1:3" x14ac:dyDescent="0.25">
      <c r="A945" s="150">
        <v>940</v>
      </c>
      <c r="B945" s="10" t="s">
        <v>942</v>
      </c>
      <c r="C945">
        <v>3686228.26360464</v>
      </c>
    </row>
    <row r="946" spans="1:3" x14ac:dyDescent="0.25">
      <c r="A946" s="150">
        <v>941</v>
      </c>
      <c r="B946" s="10" t="s">
        <v>943</v>
      </c>
      <c r="C946">
        <v>5791646.8509917296</v>
      </c>
    </row>
    <row r="947" spans="1:3" x14ac:dyDescent="0.25">
      <c r="A947" s="150">
        <v>942</v>
      </c>
      <c r="B947" s="10" t="s">
        <v>944</v>
      </c>
      <c r="C947">
        <v>5268108.1429710397</v>
      </c>
    </row>
    <row r="948" spans="1:3" x14ac:dyDescent="0.25">
      <c r="A948" s="150">
        <v>943</v>
      </c>
      <c r="B948" s="10" t="s">
        <v>945</v>
      </c>
      <c r="C948">
        <v>3600471.8176164599</v>
      </c>
    </row>
    <row r="949" spans="1:3" x14ac:dyDescent="0.25">
      <c r="A949" s="150">
        <v>944</v>
      </c>
      <c r="B949" s="10" t="s">
        <v>946</v>
      </c>
      <c r="C949">
        <v>3392486.0481767701</v>
      </c>
    </row>
    <row r="950" spans="1:3" x14ac:dyDescent="0.25">
      <c r="A950" s="150">
        <v>945</v>
      </c>
      <c r="B950" s="10" t="s">
        <v>947</v>
      </c>
      <c r="C950">
        <v>1062164.85067773</v>
      </c>
    </row>
    <row r="951" spans="1:3" x14ac:dyDescent="0.25">
      <c r="A951" s="150">
        <v>946</v>
      </c>
      <c r="B951" s="10" t="s">
        <v>948</v>
      </c>
      <c r="C951">
        <v>1205883.8979429</v>
      </c>
    </row>
    <row r="952" spans="1:3" x14ac:dyDescent="0.25">
      <c r="A952" s="150">
        <v>947</v>
      </c>
      <c r="B952" s="10" t="s">
        <v>949</v>
      </c>
      <c r="C952">
        <v>215314.82214111101</v>
      </c>
    </row>
    <row r="953" spans="1:3" x14ac:dyDescent="0.25">
      <c r="A953" s="150">
        <v>948</v>
      </c>
      <c r="B953" s="10" t="s">
        <v>950</v>
      </c>
      <c r="C953">
        <v>150164.06724219001</v>
      </c>
    </row>
    <row r="954" spans="1:3" x14ac:dyDescent="0.25">
      <c r="A954" s="150">
        <v>949</v>
      </c>
      <c r="B954" s="10" t="s">
        <v>951</v>
      </c>
      <c r="C954">
        <v>0</v>
      </c>
    </row>
    <row r="955" spans="1:3" x14ac:dyDescent="0.25">
      <c r="A955" s="150">
        <v>950</v>
      </c>
      <c r="B955" s="10" t="s">
        <v>952</v>
      </c>
      <c r="C955">
        <v>40937.085445314602</v>
      </c>
    </row>
    <row r="956" spans="1:3" x14ac:dyDescent="0.25">
      <c r="A956" s="150">
        <v>951</v>
      </c>
      <c r="B956" s="10" t="s">
        <v>1419</v>
      </c>
      <c r="C956">
        <v>18477.725929688699</v>
      </c>
    </row>
    <row r="957" spans="1:3" x14ac:dyDescent="0.25">
      <c r="A957" s="150">
        <v>952</v>
      </c>
      <c r="B957" s="10" t="s">
        <v>1420</v>
      </c>
      <c r="C957">
        <v>33937.695348633497</v>
      </c>
    </row>
    <row r="958" spans="1:3" x14ac:dyDescent="0.25">
      <c r="A958" s="150">
        <v>953</v>
      </c>
      <c r="B958" s="10" t="s">
        <v>1421</v>
      </c>
      <c r="C958">
        <v>15052.662764648399</v>
      </c>
    </row>
    <row r="959" spans="1:3" x14ac:dyDescent="0.25">
      <c r="A959" s="150">
        <v>954</v>
      </c>
      <c r="B959" s="10" t="s">
        <v>1422</v>
      </c>
      <c r="C959">
        <v>0</v>
      </c>
    </row>
    <row r="960" spans="1:3" x14ac:dyDescent="0.25">
      <c r="A960" s="150">
        <v>955</v>
      </c>
      <c r="B960" s="10" t="s">
        <v>1423</v>
      </c>
      <c r="C960">
        <v>341673.609157592</v>
      </c>
    </row>
    <row r="961" spans="1:3" x14ac:dyDescent="0.25">
      <c r="A961" s="150">
        <v>956</v>
      </c>
      <c r="B961" s="10" t="s">
        <v>1424</v>
      </c>
      <c r="C961">
        <v>21902.845330077202</v>
      </c>
    </row>
    <row r="962" spans="1:3" x14ac:dyDescent="0.25">
      <c r="A962" s="150">
        <v>957</v>
      </c>
      <c r="B962" s="10" t="s">
        <v>1425</v>
      </c>
      <c r="C962">
        <v>805.41919226082996</v>
      </c>
    </row>
    <row r="963" spans="1:3" x14ac:dyDescent="0.25">
      <c r="A963" s="150">
        <v>958</v>
      </c>
      <c r="B963" s="10" t="s">
        <v>1426</v>
      </c>
      <c r="C963">
        <v>2407.8924404294198</v>
      </c>
    </row>
    <row r="964" spans="1:3" x14ac:dyDescent="0.25">
      <c r="A964" s="150">
        <v>959</v>
      </c>
      <c r="B964" s="10" t="s">
        <v>1427</v>
      </c>
      <c r="C964">
        <v>1270.19311871333</v>
      </c>
    </row>
    <row r="965" spans="1:3" x14ac:dyDescent="0.25">
      <c r="A965" s="150">
        <v>960</v>
      </c>
      <c r="B965" s="10" t="s">
        <v>1428</v>
      </c>
      <c r="C965">
        <v>26204.743388671399</v>
      </c>
    </row>
    <row r="966" spans="1:3" x14ac:dyDescent="0.25">
      <c r="A966" s="150">
        <v>961</v>
      </c>
      <c r="B966" s="10" t="s">
        <v>1429</v>
      </c>
      <c r="C966">
        <v>0</v>
      </c>
    </row>
    <row r="967" spans="1:3" x14ac:dyDescent="0.25">
      <c r="A967" s="150">
        <v>962</v>
      </c>
      <c r="B967" s="10" t="s">
        <v>1430</v>
      </c>
      <c r="C967">
        <v>4807.9017070313002</v>
      </c>
    </row>
    <row r="968" spans="1:3" x14ac:dyDescent="0.25">
      <c r="A968" s="150">
        <v>963</v>
      </c>
      <c r="B968" s="10" t="s">
        <v>1431</v>
      </c>
      <c r="C968">
        <v>0</v>
      </c>
    </row>
    <row r="969" spans="1:3" x14ac:dyDescent="0.25">
      <c r="A969" s="150">
        <v>964</v>
      </c>
      <c r="B969" s="10" t="s">
        <v>1432</v>
      </c>
      <c r="C969">
        <v>0</v>
      </c>
    </row>
    <row r="970" spans="1:3" x14ac:dyDescent="0.25">
      <c r="A970" s="150">
        <v>965</v>
      </c>
      <c r="B970" s="10" t="s">
        <v>1433</v>
      </c>
      <c r="C970">
        <v>6436.1380312503297</v>
      </c>
    </row>
    <row r="971" spans="1:3" x14ac:dyDescent="0.25">
      <c r="A971" s="150">
        <v>966</v>
      </c>
      <c r="B971" s="10" t="s">
        <v>1434</v>
      </c>
      <c r="C971">
        <v>0</v>
      </c>
    </row>
    <row r="972" spans="1:3" x14ac:dyDescent="0.25">
      <c r="A972" s="150">
        <v>967</v>
      </c>
      <c r="B972" s="10" t="s">
        <v>1435</v>
      </c>
      <c r="C972">
        <v>0</v>
      </c>
    </row>
    <row r="973" spans="1:3" x14ac:dyDescent="0.25">
      <c r="A973" s="150">
        <v>968</v>
      </c>
      <c r="B973" s="10" t="s">
        <v>1436</v>
      </c>
      <c r="C973">
        <v>0</v>
      </c>
    </row>
    <row r="974" spans="1:3" x14ac:dyDescent="0.25">
      <c r="A974" s="150">
        <v>969</v>
      </c>
      <c r="B974" s="10" t="s">
        <v>1437</v>
      </c>
      <c r="C974">
        <v>0</v>
      </c>
    </row>
    <row r="975" spans="1:3" x14ac:dyDescent="0.25">
      <c r="A975" s="150">
        <v>970</v>
      </c>
      <c r="B975" s="10" t="s">
        <v>1438</v>
      </c>
      <c r="C975">
        <v>2093.46609411598</v>
      </c>
    </row>
    <row r="976" spans="1:3" x14ac:dyDescent="0.25">
      <c r="A976" s="150">
        <v>971</v>
      </c>
      <c r="B976" s="10" t="s">
        <v>1439</v>
      </c>
      <c r="C976">
        <v>0</v>
      </c>
    </row>
    <row r="977" spans="1:3" x14ac:dyDescent="0.25">
      <c r="A977" s="150">
        <v>972</v>
      </c>
      <c r="B977" s="10" t="s">
        <v>1440</v>
      </c>
      <c r="C977">
        <v>19450.712538575801</v>
      </c>
    </row>
    <row r="978" spans="1:3" x14ac:dyDescent="0.25">
      <c r="A978" s="150">
        <v>973</v>
      </c>
      <c r="B978" s="10" t="s">
        <v>1441</v>
      </c>
      <c r="C978">
        <v>87160.387580320195</v>
      </c>
    </row>
    <row r="979" spans="1:3" x14ac:dyDescent="0.25">
      <c r="A979" s="150">
        <v>974</v>
      </c>
      <c r="B979" s="10" t="s">
        <v>1442</v>
      </c>
      <c r="C979">
        <v>91458.839202389107</v>
      </c>
    </row>
    <row r="980" spans="1:3" x14ac:dyDescent="0.25">
      <c r="A980" s="150">
        <v>975</v>
      </c>
      <c r="B980" s="10" t="s">
        <v>1443</v>
      </c>
      <c r="C980">
        <v>836312.15918576706</v>
      </c>
    </row>
    <row r="981" spans="1:3" x14ac:dyDescent="0.25">
      <c r="A981" s="150">
        <v>976</v>
      </c>
      <c r="B981" s="10" t="s">
        <v>1444</v>
      </c>
      <c r="C981">
        <v>794263.22726619197</v>
      </c>
    </row>
    <row r="982" spans="1:3" x14ac:dyDescent="0.25">
      <c r="A982" s="150">
        <v>977</v>
      </c>
      <c r="B982" s="10" t="s">
        <v>1445</v>
      </c>
      <c r="C982">
        <v>2437253.4430041299</v>
      </c>
    </row>
    <row r="983" spans="1:3" x14ac:dyDescent="0.25">
      <c r="A983" s="150">
        <v>978</v>
      </c>
      <c r="B983" s="10" t="s">
        <v>1446</v>
      </c>
      <c r="C983">
        <v>2942788.87799716</v>
      </c>
    </row>
    <row r="984" spans="1:3" x14ac:dyDescent="0.25">
      <c r="A984" s="150">
        <v>979</v>
      </c>
      <c r="B984" s="10" t="s">
        <v>1447</v>
      </c>
      <c r="C984">
        <v>4761088.37053442</v>
      </c>
    </row>
    <row r="985" spans="1:3" x14ac:dyDescent="0.25">
      <c r="A985" s="150">
        <v>980</v>
      </c>
      <c r="B985" s="10" t="s">
        <v>1448</v>
      </c>
      <c r="C985">
        <v>5058091.1477899598</v>
      </c>
    </row>
    <row r="986" spans="1:3" x14ac:dyDescent="0.25">
      <c r="A986" s="150">
        <v>981</v>
      </c>
      <c r="B986" s="10" t="s">
        <v>1449</v>
      </c>
      <c r="C986">
        <v>3107917.8659586902</v>
      </c>
    </row>
    <row r="987" spans="1:3" x14ac:dyDescent="0.25">
      <c r="A987" s="150">
        <v>982</v>
      </c>
      <c r="B987" s="10" t="s">
        <v>1450</v>
      </c>
      <c r="C987">
        <v>0</v>
      </c>
    </row>
    <row r="988" spans="1:3" x14ac:dyDescent="0.25">
      <c r="A988" s="150">
        <v>983</v>
      </c>
      <c r="B988" s="10" t="s">
        <v>1451</v>
      </c>
      <c r="C988">
        <v>0</v>
      </c>
    </row>
    <row r="989" spans="1:3" x14ac:dyDescent="0.25">
      <c r="A989" s="150">
        <v>984</v>
      </c>
      <c r="B989" s="10" t="s">
        <v>1452</v>
      </c>
      <c r="C989">
        <v>0</v>
      </c>
    </row>
    <row r="990" spans="1:3" x14ac:dyDescent="0.25">
      <c r="A990" s="150">
        <v>985</v>
      </c>
      <c r="B990" s="10" t="s">
        <v>953</v>
      </c>
      <c r="C990">
        <v>21463.702242156502</v>
      </c>
    </row>
    <row r="991" spans="1:3" x14ac:dyDescent="0.25">
      <c r="A991" s="150">
        <v>986</v>
      </c>
      <c r="B991" s="10" t="s">
        <v>954</v>
      </c>
      <c r="C991">
        <v>9023.4198096310702</v>
      </c>
    </row>
    <row r="992" spans="1:3" x14ac:dyDescent="0.25">
      <c r="A992" s="150">
        <v>987</v>
      </c>
      <c r="B992" s="10" t="s">
        <v>955</v>
      </c>
      <c r="C992">
        <v>1689150.2864773299</v>
      </c>
    </row>
    <row r="993" spans="1:3" x14ac:dyDescent="0.25">
      <c r="A993" s="150">
        <v>988</v>
      </c>
      <c r="B993" s="10" t="s">
        <v>956</v>
      </c>
      <c r="C993">
        <v>1338421.7132881901</v>
      </c>
    </row>
    <row r="994" spans="1:3" x14ac:dyDescent="0.25">
      <c r="A994" s="150">
        <v>989</v>
      </c>
      <c r="B994" s="10" t="s">
        <v>957</v>
      </c>
      <c r="C994">
        <v>3419313.30820513</v>
      </c>
    </row>
    <row r="995" spans="1:3" x14ac:dyDescent="0.25">
      <c r="A995" s="150">
        <v>990</v>
      </c>
      <c r="B995" s="10" t="s">
        <v>958</v>
      </c>
      <c r="C995">
        <v>3591677.11402321</v>
      </c>
    </row>
    <row r="996" spans="1:3" x14ac:dyDescent="0.25">
      <c r="A996" s="150">
        <v>991</v>
      </c>
      <c r="B996" s="10" t="s">
        <v>959</v>
      </c>
      <c r="C996">
        <v>5211206.5435581198</v>
      </c>
    </row>
    <row r="997" spans="1:3" x14ac:dyDescent="0.25">
      <c r="A997" s="150">
        <v>992</v>
      </c>
      <c r="B997" s="10" t="s">
        <v>960</v>
      </c>
      <c r="C997">
        <v>3678345.3459000601</v>
      </c>
    </row>
    <row r="998" spans="1:3" x14ac:dyDescent="0.25">
      <c r="A998" s="150">
        <v>993</v>
      </c>
      <c r="B998" s="10" t="s">
        <v>961</v>
      </c>
      <c r="C998">
        <v>4517455.8217644701</v>
      </c>
    </row>
    <row r="999" spans="1:3" x14ac:dyDescent="0.25">
      <c r="A999" s="150">
        <v>994</v>
      </c>
      <c r="B999" s="10" t="s">
        <v>962</v>
      </c>
      <c r="C999">
        <v>2502874.4297773801</v>
      </c>
    </row>
    <row r="1000" spans="1:3" x14ac:dyDescent="0.25">
      <c r="A1000" s="150">
        <v>995</v>
      </c>
      <c r="B1000" s="10" t="s">
        <v>963</v>
      </c>
      <c r="C1000">
        <v>3640892.6915521598</v>
      </c>
    </row>
    <row r="1001" spans="1:3" x14ac:dyDescent="0.25">
      <c r="A1001" s="150">
        <v>996</v>
      </c>
      <c r="B1001" s="10" t="s">
        <v>964</v>
      </c>
      <c r="C1001">
        <v>3450095.8890511999</v>
      </c>
    </row>
    <row r="1002" spans="1:3" x14ac:dyDescent="0.25">
      <c r="A1002" s="150">
        <v>997</v>
      </c>
      <c r="B1002" s="10" t="s">
        <v>965</v>
      </c>
      <c r="C1002">
        <v>1795857.9327199501</v>
      </c>
    </row>
    <row r="1003" spans="1:3" x14ac:dyDescent="0.25">
      <c r="A1003" s="150">
        <v>998</v>
      </c>
      <c r="B1003" s="10" t="s">
        <v>966</v>
      </c>
      <c r="C1003">
        <v>2006098.8068647401</v>
      </c>
    </row>
    <row r="1004" spans="1:3" x14ac:dyDescent="0.25">
      <c r="A1004" s="150">
        <v>999</v>
      </c>
      <c r="B1004" s="10" t="s">
        <v>967</v>
      </c>
      <c r="C1004">
        <v>706269.75401461101</v>
      </c>
    </row>
    <row r="1005" spans="1:3" x14ac:dyDescent="0.25">
      <c r="A1005" s="150">
        <v>1000</v>
      </c>
      <c r="B1005" s="10" t="s">
        <v>968</v>
      </c>
      <c r="C1005">
        <v>618863.59456104005</v>
      </c>
    </row>
    <row r="1006" spans="1:3" x14ac:dyDescent="0.25">
      <c r="A1006" s="150">
        <v>1001</v>
      </c>
      <c r="B1006" s="10" t="s">
        <v>969</v>
      </c>
      <c r="C1006">
        <v>93143.430104978397</v>
      </c>
    </row>
    <row r="1007" spans="1:3" x14ac:dyDescent="0.25">
      <c r="A1007" s="150">
        <v>1002</v>
      </c>
      <c r="B1007" s="10" t="s">
        <v>970</v>
      </c>
      <c r="C1007">
        <v>100768.153955072</v>
      </c>
    </row>
    <row r="1008" spans="1:3" x14ac:dyDescent="0.25">
      <c r="A1008" s="150">
        <v>1003</v>
      </c>
      <c r="B1008" s="10" t="s">
        <v>971</v>
      </c>
      <c r="C1008">
        <v>0</v>
      </c>
    </row>
    <row r="1009" spans="1:3" x14ac:dyDescent="0.25">
      <c r="A1009" s="150">
        <v>1004</v>
      </c>
      <c r="B1009" s="10" t="s">
        <v>972</v>
      </c>
      <c r="C1009">
        <v>0</v>
      </c>
    </row>
    <row r="1010" spans="1:3" x14ac:dyDescent="0.25">
      <c r="A1010" s="150">
        <v>1005</v>
      </c>
      <c r="B1010" s="10" t="s">
        <v>1453</v>
      </c>
      <c r="C1010">
        <v>0</v>
      </c>
    </row>
    <row r="1011" spans="1:3" x14ac:dyDescent="0.25">
      <c r="A1011" s="150">
        <v>1006</v>
      </c>
      <c r="B1011" s="10" t="s">
        <v>1454</v>
      </c>
      <c r="C1011">
        <v>0</v>
      </c>
    </row>
    <row r="1012" spans="1:3" x14ac:dyDescent="0.25">
      <c r="A1012" s="150">
        <v>1007</v>
      </c>
      <c r="B1012" s="10" t="s">
        <v>1455</v>
      </c>
      <c r="C1012">
        <v>0</v>
      </c>
    </row>
    <row r="1013" spans="1:3" x14ac:dyDescent="0.25">
      <c r="A1013" s="150">
        <v>1008</v>
      </c>
      <c r="B1013" s="10" t="s">
        <v>1456</v>
      </c>
      <c r="C1013">
        <v>6859.0074257812203</v>
      </c>
    </row>
    <row r="1014" spans="1:3" x14ac:dyDescent="0.25">
      <c r="A1014" s="150">
        <v>1009</v>
      </c>
      <c r="B1014" s="10" t="s">
        <v>1457</v>
      </c>
      <c r="C1014">
        <v>2673959.9772799001</v>
      </c>
    </row>
    <row r="1015" spans="1:3" x14ac:dyDescent="0.25">
      <c r="A1015" s="150">
        <v>1010</v>
      </c>
      <c r="B1015" s="10" t="s">
        <v>1458</v>
      </c>
      <c r="C1015">
        <v>0</v>
      </c>
    </row>
    <row r="1016" spans="1:3" x14ac:dyDescent="0.25">
      <c r="A1016" s="150">
        <v>1011</v>
      </c>
      <c r="B1016" s="10" t="s">
        <v>1459</v>
      </c>
      <c r="C1016">
        <v>7964.0307871094001</v>
      </c>
    </row>
    <row r="1017" spans="1:3" x14ac:dyDescent="0.25">
      <c r="A1017" s="150">
        <v>1012</v>
      </c>
      <c r="B1017" s="10" t="s">
        <v>1460</v>
      </c>
      <c r="C1017">
        <v>20977.180435607199</v>
      </c>
    </row>
    <row r="1018" spans="1:3" x14ac:dyDescent="0.25">
      <c r="A1018" s="150">
        <v>1013</v>
      </c>
      <c r="B1018" s="10" t="s">
        <v>1461</v>
      </c>
      <c r="C1018">
        <v>0</v>
      </c>
    </row>
    <row r="1019" spans="1:3" x14ac:dyDescent="0.25">
      <c r="A1019" s="150">
        <v>1014</v>
      </c>
      <c r="B1019" s="10" t="s">
        <v>1462</v>
      </c>
      <c r="C1019">
        <v>10997.4687373955</v>
      </c>
    </row>
    <row r="1020" spans="1:3" x14ac:dyDescent="0.25">
      <c r="A1020" s="150">
        <v>1015</v>
      </c>
      <c r="B1020" s="10" t="s">
        <v>1463</v>
      </c>
      <c r="C1020">
        <v>0</v>
      </c>
    </row>
    <row r="1021" spans="1:3" x14ac:dyDescent="0.25">
      <c r="A1021" s="150">
        <v>1016</v>
      </c>
      <c r="B1021" s="10" t="s">
        <v>1464</v>
      </c>
      <c r="C1021">
        <v>0</v>
      </c>
    </row>
    <row r="1022" spans="1:3" x14ac:dyDescent="0.25">
      <c r="A1022" s="150">
        <v>1017</v>
      </c>
      <c r="B1022" s="10" t="s">
        <v>1465</v>
      </c>
      <c r="C1022">
        <v>25700.574750975698</v>
      </c>
    </row>
    <row r="1023" spans="1:3" x14ac:dyDescent="0.25">
      <c r="A1023" s="150">
        <v>1018</v>
      </c>
      <c r="B1023" s="10" t="s">
        <v>1466</v>
      </c>
      <c r="C1023">
        <v>0</v>
      </c>
    </row>
    <row r="1024" spans="1:3" x14ac:dyDescent="0.25">
      <c r="A1024" s="150">
        <v>1019</v>
      </c>
      <c r="B1024" s="10" t="s">
        <v>1467</v>
      </c>
      <c r="C1024">
        <v>0</v>
      </c>
    </row>
    <row r="1025" spans="1:3" x14ac:dyDescent="0.25">
      <c r="A1025" s="150">
        <v>1020</v>
      </c>
      <c r="B1025" s="10" t="s">
        <v>1468</v>
      </c>
      <c r="C1025">
        <v>0</v>
      </c>
    </row>
    <row r="1026" spans="1:3" x14ac:dyDescent="0.25">
      <c r="A1026" s="150">
        <v>1021</v>
      </c>
      <c r="B1026" s="10" t="s">
        <v>1469</v>
      </c>
      <c r="C1026">
        <v>0</v>
      </c>
    </row>
    <row r="1027" spans="1:3" x14ac:dyDescent="0.25">
      <c r="A1027" s="150">
        <v>1022</v>
      </c>
      <c r="B1027" s="10" t="s">
        <v>1470</v>
      </c>
      <c r="C1027">
        <v>0</v>
      </c>
    </row>
    <row r="1028" spans="1:3" x14ac:dyDescent="0.25">
      <c r="A1028" s="150">
        <v>1023</v>
      </c>
      <c r="B1028" s="10" t="s">
        <v>1471</v>
      </c>
      <c r="C1028">
        <v>16270.341146483999</v>
      </c>
    </row>
    <row r="1029" spans="1:3" x14ac:dyDescent="0.25">
      <c r="A1029" s="150">
        <v>1024</v>
      </c>
      <c r="B1029" s="10" t="s">
        <v>1472</v>
      </c>
      <c r="C1029">
        <v>0</v>
      </c>
    </row>
    <row r="1030" spans="1:3" x14ac:dyDescent="0.25">
      <c r="A1030" s="150">
        <v>1025</v>
      </c>
      <c r="B1030" s="10" t="s">
        <v>1473</v>
      </c>
      <c r="C1030">
        <v>0</v>
      </c>
    </row>
    <row r="1031" spans="1:3" x14ac:dyDescent="0.25">
      <c r="A1031" s="150">
        <v>1026</v>
      </c>
      <c r="B1031" s="10" t="s">
        <v>1474</v>
      </c>
      <c r="C1031">
        <v>45888.476586425699</v>
      </c>
    </row>
    <row r="1032" spans="1:3" x14ac:dyDescent="0.25">
      <c r="A1032" s="150">
        <v>1027</v>
      </c>
      <c r="B1032" s="10" t="s">
        <v>1475</v>
      </c>
      <c r="C1032">
        <v>14872.7070834972</v>
      </c>
    </row>
    <row r="1033" spans="1:3" x14ac:dyDescent="0.25">
      <c r="A1033" s="150">
        <v>1028</v>
      </c>
      <c r="B1033" s="10" t="s">
        <v>1476</v>
      </c>
      <c r="C1033">
        <v>0</v>
      </c>
    </row>
    <row r="1034" spans="1:3" x14ac:dyDescent="0.25">
      <c r="A1034" s="150">
        <v>1029</v>
      </c>
      <c r="B1034" s="10" t="s">
        <v>1477</v>
      </c>
      <c r="C1034">
        <v>96593.580437012002</v>
      </c>
    </row>
    <row r="1035" spans="1:3" x14ac:dyDescent="0.25">
      <c r="A1035" s="150">
        <v>1030</v>
      </c>
      <c r="B1035" s="10" t="s">
        <v>1478</v>
      </c>
      <c r="C1035">
        <v>78185.045355953305</v>
      </c>
    </row>
    <row r="1036" spans="1:3" x14ac:dyDescent="0.25">
      <c r="A1036" s="150">
        <v>1031</v>
      </c>
      <c r="B1036" s="10" t="s">
        <v>1479</v>
      </c>
      <c r="C1036">
        <v>787591.29033654905</v>
      </c>
    </row>
    <row r="1037" spans="1:3" x14ac:dyDescent="0.25">
      <c r="A1037" s="150">
        <v>1032</v>
      </c>
      <c r="B1037" s="10" t="s">
        <v>1480</v>
      </c>
      <c r="C1037">
        <v>818327.92314535403</v>
      </c>
    </row>
    <row r="1038" spans="1:3" x14ac:dyDescent="0.25">
      <c r="A1038" s="150">
        <v>1033</v>
      </c>
      <c r="B1038" s="10" t="s">
        <v>1481</v>
      </c>
      <c r="C1038">
        <v>1304893.89295673</v>
      </c>
    </row>
    <row r="1039" spans="1:3" x14ac:dyDescent="0.25">
      <c r="A1039" s="150">
        <v>1034</v>
      </c>
      <c r="B1039" s="10" t="s">
        <v>1482</v>
      </c>
      <c r="C1039">
        <v>1752415.1985915899</v>
      </c>
    </row>
    <row r="1040" spans="1:3" x14ac:dyDescent="0.25">
      <c r="A1040" s="150">
        <v>1035</v>
      </c>
      <c r="B1040" s="10" t="s">
        <v>1483</v>
      </c>
      <c r="C1040">
        <v>0</v>
      </c>
    </row>
    <row r="1041" spans="1:3" x14ac:dyDescent="0.25">
      <c r="A1041" s="150">
        <v>1036</v>
      </c>
      <c r="B1041" s="10" t="s">
        <v>1484</v>
      </c>
      <c r="C1041">
        <v>0</v>
      </c>
    </row>
    <row r="1042" spans="1:3" x14ac:dyDescent="0.25">
      <c r="A1042" s="150">
        <v>1037</v>
      </c>
      <c r="B1042" s="10" t="s">
        <v>1485</v>
      </c>
      <c r="C1042">
        <v>0</v>
      </c>
    </row>
    <row r="1043" spans="1:3" x14ac:dyDescent="0.25">
      <c r="A1043" s="150">
        <v>1038</v>
      </c>
      <c r="B1043" s="10" t="s">
        <v>1486</v>
      </c>
      <c r="C1043">
        <v>0</v>
      </c>
    </row>
    <row r="1044" spans="1:3" x14ac:dyDescent="0.25">
      <c r="A1044" s="150">
        <v>1039</v>
      </c>
      <c r="B1044" s="10" t="s">
        <v>973</v>
      </c>
      <c r="C1044">
        <v>221988.28461202999</v>
      </c>
    </row>
    <row r="1045" spans="1:3" x14ac:dyDescent="0.25">
      <c r="A1045" s="150">
        <v>1040</v>
      </c>
      <c r="B1045" s="10" t="s">
        <v>974</v>
      </c>
      <c r="C1045">
        <v>553.18357470701403</v>
      </c>
    </row>
    <row r="1046" spans="1:3" x14ac:dyDescent="0.25">
      <c r="A1046" s="150">
        <v>1041</v>
      </c>
      <c r="B1046" s="10" t="s">
        <v>975</v>
      </c>
      <c r="C1046">
        <v>1027506.04440415</v>
      </c>
    </row>
    <row r="1047" spans="1:3" x14ac:dyDescent="0.25">
      <c r="A1047" s="150">
        <v>1042</v>
      </c>
      <c r="B1047" s="10" t="s">
        <v>976</v>
      </c>
      <c r="C1047">
        <v>636425.82994264399</v>
      </c>
    </row>
    <row r="1048" spans="1:3" x14ac:dyDescent="0.25">
      <c r="A1048" s="150">
        <v>1043</v>
      </c>
      <c r="B1048" s="10" t="s">
        <v>977</v>
      </c>
      <c r="C1048">
        <v>1937334.7509562999</v>
      </c>
    </row>
    <row r="1049" spans="1:3" x14ac:dyDescent="0.25">
      <c r="A1049" s="150">
        <v>1044</v>
      </c>
      <c r="B1049" s="10" t="s">
        <v>978</v>
      </c>
      <c r="C1049">
        <v>2326457.9758973098</v>
      </c>
    </row>
    <row r="1050" spans="1:3" x14ac:dyDescent="0.25">
      <c r="A1050" s="150">
        <v>1045</v>
      </c>
      <c r="B1050" s="10" t="s">
        <v>979</v>
      </c>
      <c r="C1050">
        <v>3419251.7485051202</v>
      </c>
    </row>
    <row r="1051" spans="1:3" x14ac:dyDescent="0.25">
      <c r="A1051" s="150">
        <v>1046</v>
      </c>
      <c r="B1051" s="10" t="s">
        <v>980</v>
      </c>
      <c r="C1051">
        <v>2550774.7298548198</v>
      </c>
    </row>
    <row r="1052" spans="1:3" x14ac:dyDescent="0.25">
      <c r="A1052" s="150">
        <v>1047</v>
      </c>
      <c r="B1052" s="10" t="s">
        <v>981</v>
      </c>
      <c r="C1052">
        <v>3326584.2148087001</v>
      </c>
    </row>
    <row r="1053" spans="1:3" x14ac:dyDescent="0.25">
      <c r="A1053" s="150">
        <v>1048</v>
      </c>
      <c r="B1053" s="10" t="s">
        <v>982</v>
      </c>
      <c r="C1053">
        <v>1781619.74508119</v>
      </c>
    </row>
    <row r="1054" spans="1:3" x14ac:dyDescent="0.25">
      <c r="A1054" s="150">
        <v>1049</v>
      </c>
      <c r="B1054" s="10" t="s">
        <v>983</v>
      </c>
      <c r="C1054">
        <v>2501313.80394554</v>
      </c>
    </row>
    <row r="1055" spans="1:3" x14ac:dyDescent="0.25">
      <c r="A1055" s="150">
        <v>1050</v>
      </c>
      <c r="B1055" s="10" t="s">
        <v>984</v>
      </c>
      <c r="C1055">
        <v>2451515.1944150901</v>
      </c>
    </row>
    <row r="1056" spans="1:3" x14ac:dyDescent="0.25">
      <c r="A1056" s="150">
        <v>1051</v>
      </c>
      <c r="B1056" s="10" t="s">
        <v>985</v>
      </c>
      <c r="C1056">
        <v>904000.59682333504</v>
      </c>
    </row>
    <row r="1057" spans="1:3" x14ac:dyDescent="0.25">
      <c r="A1057" s="150">
        <v>1052</v>
      </c>
      <c r="B1057" s="10" t="s">
        <v>986</v>
      </c>
      <c r="C1057">
        <v>1326223.41968</v>
      </c>
    </row>
    <row r="1058" spans="1:3" x14ac:dyDescent="0.25">
      <c r="A1058" s="150">
        <v>1053</v>
      </c>
      <c r="B1058" s="10" t="s">
        <v>987</v>
      </c>
      <c r="C1058">
        <v>240415.406270012</v>
      </c>
    </row>
    <row r="1059" spans="1:3" x14ac:dyDescent="0.25">
      <c r="A1059" s="150">
        <v>1054</v>
      </c>
      <c r="B1059" s="10" t="s">
        <v>988</v>
      </c>
      <c r="C1059">
        <v>266905.67558240902</v>
      </c>
    </row>
    <row r="1060" spans="1:3" x14ac:dyDescent="0.25">
      <c r="A1060" s="150">
        <v>1055</v>
      </c>
      <c r="B1060" s="10" t="s">
        <v>989</v>
      </c>
      <c r="C1060">
        <v>53729.056449707597</v>
      </c>
    </row>
    <row r="1061" spans="1:3" x14ac:dyDescent="0.25">
      <c r="A1061" s="150">
        <v>1056</v>
      </c>
      <c r="B1061" s="10" t="s">
        <v>990</v>
      </c>
      <c r="C1061">
        <v>18428.266426757</v>
      </c>
    </row>
    <row r="1062" spans="1:3" x14ac:dyDescent="0.25">
      <c r="A1062" s="150">
        <v>1057</v>
      </c>
      <c r="B1062" s="10" t="s">
        <v>991</v>
      </c>
      <c r="C1062">
        <v>0</v>
      </c>
    </row>
    <row r="1063" spans="1:3" x14ac:dyDescent="0.25">
      <c r="A1063" s="150">
        <v>1058</v>
      </c>
      <c r="B1063" s="10" t="s">
        <v>992</v>
      </c>
      <c r="C1063">
        <v>0</v>
      </c>
    </row>
    <row r="1064" spans="1:3" x14ac:dyDescent="0.25">
      <c r="A1064" s="150">
        <v>1059</v>
      </c>
      <c r="B1064" s="10" t="s">
        <v>1487</v>
      </c>
      <c r="C1064">
        <v>0</v>
      </c>
    </row>
    <row r="1065" spans="1:3" x14ac:dyDescent="0.25">
      <c r="A1065" s="150">
        <v>1060</v>
      </c>
      <c r="B1065" s="10" t="s">
        <v>1488</v>
      </c>
      <c r="C1065">
        <v>8921.1966210939008</v>
      </c>
    </row>
    <row r="1066" spans="1:3" x14ac:dyDescent="0.25">
      <c r="A1066" s="150">
        <v>1061</v>
      </c>
      <c r="B1066" s="10" t="s">
        <v>1489</v>
      </c>
      <c r="C1066">
        <v>0</v>
      </c>
    </row>
    <row r="1067" spans="1:3" x14ac:dyDescent="0.25">
      <c r="A1067" s="150">
        <v>1062</v>
      </c>
      <c r="B1067" s="10" t="s">
        <v>1490</v>
      </c>
      <c r="C1067">
        <v>0</v>
      </c>
    </row>
    <row r="1068" spans="1:3" x14ac:dyDescent="0.25">
      <c r="A1068" s="150">
        <v>1063</v>
      </c>
      <c r="B1068" s="10" t="s">
        <v>1491</v>
      </c>
      <c r="C1068">
        <v>0</v>
      </c>
    </row>
    <row r="1069" spans="1:3" x14ac:dyDescent="0.25">
      <c r="A1069" s="150">
        <v>1064</v>
      </c>
      <c r="B1069" s="10" t="s">
        <v>1492</v>
      </c>
      <c r="C1069">
        <v>794.84891638177203</v>
      </c>
    </row>
    <row r="1070" spans="1:3" x14ac:dyDescent="0.25">
      <c r="A1070" s="150">
        <v>1065</v>
      </c>
      <c r="B1070" s="10" t="s">
        <v>1493</v>
      </c>
      <c r="C1070">
        <v>17064.702232085201</v>
      </c>
    </row>
    <row r="1071" spans="1:3" x14ac:dyDescent="0.25">
      <c r="A1071" s="150">
        <v>1066</v>
      </c>
      <c r="B1071" s="10" t="s">
        <v>1494</v>
      </c>
      <c r="C1071">
        <v>22606.4902294315</v>
      </c>
    </row>
    <row r="1072" spans="1:3" x14ac:dyDescent="0.25">
      <c r="A1072" s="150">
        <v>1067</v>
      </c>
      <c r="B1072" s="10" t="s">
        <v>1495</v>
      </c>
      <c r="C1072">
        <v>0</v>
      </c>
    </row>
    <row r="1073" spans="1:3" x14ac:dyDescent="0.25">
      <c r="A1073" s="150">
        <v>1068</v>
      </c>
      <c r="B1073" s="10" t="s">
        <v>1496</v>
      </c>
      <c r="C1073">
        <v>0</v>
      </c>
    </row>
    <row r="1074" spans="1:3" x14ac:dyDescent="0.25">
      <c r="A1074" s="150">
        <v>1069</v>
      </c>
      <c r="B1074" s="10" t="s">
        <v>1497</v>
      </c>
      <c r="C1074">
        <v>16724.499890624498</v>
      </c>
    </row>
    <row r="1075" spans="1:3" x14ac:dyDescent="0.25">
      <c r="A1075" s="150">
        <v>1070</v>
      </c>
      <c r="B1075" s="10" t="s">
        <v>1498</v>
      </c>
      <c r="C1075">
        <v>21662.1089472659</v>
      </c>
    </row>
    <row r="1076" spans="1:3" x14ac:dyDescent="0.25">
      <c r="A1076" s="150">
        <v>1071</v>
      </c>
      <c r="B1076" s="10" t="s">
        <v>1499</v>
      </c>
      <c r="C1076">
        <v>0</v>
      </c>
    </row>
    <row r="1077" spans="1:3" x14ac:dyDescent="0.25">
      <c r="A1077" s="150">
        <v>1072</v>
      </c>
      <c r="B1077" s="10" t="s">
        <v>1500</v>
      </c>
      <c r="C1077">
        <v>20329.621494140501</v>
      </c>
    </row>
    <row r="1078" spans="1:3" x14ac:dyDescent="0.25">
      <c r="A1078" s="150">
        <v>1073</v>
      </c>
      <c r="B1078" s="10" t="s">
        <v>1501</v>
      </c>
      <c r="C1078">
        <v>25428.346366698901</v>
      </c>
    </row>
    <row r="1079" spans="1:3" x14ac:dyDescent="0.25">
      <c r="A1079" s="150">
        <v>1074</v>
      </c>
      <c r="B1079" s="10" t="s">
        <v>1502</v>
      </c>
      <c r="C1079">
        <v>21389.179359374601</v>
      </c>
    </row>
    <row r="1080" spans="1:3" x14ac:dyDescent="0.25">
      <c r="A1080" s="150">
        <v>1075</v>
      </c>
      <c r="B1080" s="10" t="s">
        <v>1503</v>
      </c>
      <c r="C1080">
        <v>0</v>
      </c>
    </row>
    <row r="1081" spans="1:3" x14ac:dyDescent="0.25">
      <c r="A1081" s="150">
        <v>1076</v>
      </c>
      <c r="B1081" s="10" t="s">
        <v>1504</v>
      </c>
      <c r="C1081">
        <v>0</v>
      </c>
    </row>
    <row r="1082" spans="1:3" x14ac:dyDescent="0.25">
      <c r="A1082" s="150">
        <v>1077</v>
      </c>
      <c r="B1082" s="10" t="s">
        <v>1505</v>
      </c>
      <c r="C1082">
        <v>0</v>
      </c>
    </row>
    <row r="1083" spans="1:3" x14ac:dyDescent="0.25">
      <c r="A1083" s="150">
        <v>1078</v>
      </c>
      <c r="B1083" s="10" t="s">
        <v>1506</v>
      </c>
      <c r="C1083">
        <v>0</v>
      </c>
    </row>
    <row r="1084" spans="1:3" x14ac:dyDescent="0.25">
      <c r="A1084" s="150">
        <v>1079</v>
      </c>
      <c r="B1084" s="10" t="s">
        <v>1507</v>
      </c>
      <c r="C1084">
        <v>0</v>
      </c>
    </row>
    <row r="1085" spans="1:3" x14ac:dyDescent="0.25">
      <c r="A1085" s="150">
        <v>1080</v>
      </c>
      <c r="B1085" s="10" t="s">
        <v>1508</v>
      </c>
      <c r="C1085">
        <v>0</v>
      </c>
    </row>
    <row r="1086" spans="1:3" x14ac:dyDescent="0.25">
      <c r="A1086" s="150">
        <v>1081</v>
      </c>
      <c r="B1086" s="10" t="s">
        <v>1509</v>
      </c>
      <c r="C1086">
        <v>11034.9372744141</v>
      </c>
    </row>
    <row r="1087" spans="1:3" x14ac:dyDescent="0.25">
      <c r="A1087" s="150">
        <v>1082</v>
      </c>
      <c r="B1087" s="10" t="s">
        <v>1510</v>
      </c>
      <c r="C1087">
        <v>0</v>
      </c>
    </row>
    <row r="1088" spans="1:3" x14ac:dyDescent="0.25">
      <c r="A1088" s="150">
        <v>1083</v>
      </c>
      <c r="B1088" s="10" t="s">
        <v>1511</v>
      </c>
      <c r="C1088">
        <v>5463.3508022460201</v>
      </c>
    </row>
    <row r="1089" spans="1:3" x14ac:dyDescent="0.25">
      <c r="A1089" s="150">
        <v>1084</v>
      </c>
      <c r="B1089" s="10" t="s">
        <v>1512</v>
      </c>
      <c r="C1089">
        <v>9446.4552539065498</v>
      </c>
    </row>
    <row r="1090" spans="1:3" x14ac:dyDescent="0.25">
      <c r="A1090" s="150">
        <v>1085</v>
      </c>
      <c r="B1090" s="10" t="s">
        <v>1513</v>
      </c>
      <c r="C1090">
        <v>114073.05844628801</v>
      </c>
    </row>
    <row r="1091" spans="1:3" x14ac:dyDescent="0.25">
      <c r="A1091" s="150">
        <v>1086</v>
      </c>
      <c r="B1091" s="10" t="s">
        <v>1514</v>
      </c>
      <c r="C1091">
        <v>60328.540507808299</v>
      </c>
    </row>
    <row r="1092" spans="1:3" x14ac:dyDescent="0.25">
      <c r="A1092" s="150">
        <v>1087</v>
      </c>
      <c r="B1092" s="10" t="s">
        <v>1515</v>
      </c>
      <c r="C1092">
        <v>208189.52545173501</v>
      </c>
    </row>
    <row r="1093" spans="1:3" x14ac:dyDescent="0.25">
      <c r="A1093" s="150">
        <v>1088</v>
      </c>
      <c r="B1093" s="10" t="s">
        <v>1516</v>
      </c>
      <c r="C1093">
        <v>229616.85997632099</v>
      </c>
    </row>
    <row r="1094" spans="1:3" x14ac:dyDescent="0.25">
      <c r="A1094" s="150">
        <v>1089</v>
      </c>
      <c r="B1094" s="10" t="s">
        <v>1517</v>
      </c>
      <c r="C1094">
        <v>0</v>
      </c>
    </row>
    <row r="1095" spans="1:3" x14ac:dyDescent="0.25">
      <c r="A1095" s="150">
        <v>1090</v>
      </c>
      <c r="B1095" s="10" t="s">
        <v>1518</v>
      </c>
      <c r="C1095">
        <v>0</v>
      </c>
    </row>
    <row r="1096" spans="1:3" x14ac:dyDescent="0.25">
      <c r="A1096" s="150">
        <v>1091</v>
      </c>
      <c r="B1096" s="10" t="s">
        <v>1519</v>
      </c>
      <c r="C1096">
        <v>0</v>
      </c>
    </row>
    <row r="1097" spans="1:3" x14ac:dyDescent="0.25">
      <c r="A1097" s="150">
        <v>1092</v>
      </c>
      <c r="B1097" s="10" t="s">
        <v>1520</v>
      </c>
      <c r="C1097">
        <v>0</v>
      </c>
    </row>
    <row r="1098" spans="1:3" x14ac:dyDescent="0.25">
      <c r="A1098" s="150">
        <v>1093</v>
      </c>
      <c r="B1098" s="10" t="s">
        <v>993</v>
      </c>
      <c r="C1098">
        <v>18690.525713285399</v>
      </c>
    </row>
    <row r="1099" spans="1:3" x14ac:dyDescent="0.25">
      <c r="A1099" s="150">
        <v>1094</v>
      </c>
      <c r="B1099" s="10" t="s">
        <v>994</v>
      </c>
      <c r="C1099">
        <v>2581.52937689191</v>
      </c>
    </row>
    <row r="1100" spans="1:3" x14ac:dyDescent="0.25">
      <c r="A1100" s="150">
        <v>1095</v>
      </c>
      <c r="B1100" s="10" t="s">
        <v>995</v>
      </c>
      <c r="C1100">
        <v>235787.745487034</v>
      </c>
    </row>
    <row r="1101" spans="1:3" x14ac:dyDescent="0.25">
      <c r="A1101" s="150">
        <v>1096</v>
      </c>
      <c r="B1101" s="10" t="s">
        <v>996</v>
      </c>
      <c r="C1101">
        <v>166321.50693039599</v>
      </c>
    </row>
    <row r="1102" spans="1:3" x14ac:dyDescent="0.25">
      <c r="A1102" s="150">
        <v>1097</v>
      </c>
      <c r="B1102" s="10" t="s">
        <v>997</v>
      </c>
      <c r="C1102">
        <v>1013650.50040519</v>
      </c>
    </row>
    <row r="1103" spans="1:3" x14ac:dyDescent="0.25">
      <c r="A1103" s="150">
        <v>1098</v>
      </c>
      <c r="B1103" s="10" t="s">
        <v>998</v>
      </c>
      <c r="C1103">
        <v>1306514.6629296499</v>
      </c>
    </row>
    <row r="1104" spans="1:3" x14ac:dyDescent="0.25">
      <c r="A1104" s="150">
        <v>1099</v>
      </c>
      <c r="B1104" s="10" t="s">
        <v>999</v>
      </c>
      <c r="C1104">
        <v>2415936.22630239</v>
      </c>
    </row>
    <row r="1105" spans="1:3" x14ac:dyDescent="0.25">
      <c r="A1105" s="150">
        <v>1100</v>
      </c>
      <c r="B1105" s="10" t="s">
        <v>1000</v>
      </c>
      <c r="C1105">
        <v>1668273.9958353001</v>
      </c>
    </row>
    <row r="1106" spans="1:3" x14ac:dyDescent="0.25">
      <c r="A1106" s="150">
        <v>1101</v>
      </c>
      <c r="B1106" s="10" t="s">
        <v>1001</v>
      </c>
      <c r="C1106">
        <v>2258555.6214623498</v>
      </c>
    </row>
    <row r="1107" spans="1:3" x14ac:dyDescent="0.25">
      <c r="A1107" s="150">
        <v>1102</v>
      </c>
      <c r="B1107" s="10" t="s">
        <v>1002</v>
      </c>
      <c r="C1107">
        <v>1253818.77831006</v>
      </c>
    </row>
    <row r="1108" spans="1:3" x14ac:dyDescent="0.25">
      <c r="A1108" s="150">
        <v>1103</v>
      </c>
      <c r="B1108" s="10" t="s">
        <v>1003</v>
      </c>
      <c r="C1108">
        <v>1818172.4360481501</v>
      </c>
    </row>
    <row r="1109" spans="1:3" x14ac:dyDescent="0.25">
      <c r="A1109" s="150">
        <v>1104</v>
      </c>
      <c r="B1109" s="10" t="s">
        <v>1004</v>
      </c>
      <c r="C1109">
        <v>1724414.18353593</v>
      </c>
    </row>
    <row r="1110" spans="1:3" x14ac:dyDescent="0.25">
      <c r="A1110" s="150">
        <v>1105</v>
      </c>
      <c r="B1110" s="10" t="s">
        <v>1005</v>
      </c>
      <c r="C1110">
        <v>752600.67331892299</v>
      </c>
    </row>
    <row r="1111" spans="1:3" x14ac:dyDescent="0.25">
      <c r="A1111" s="150">
        <v>1106</v>
      </c>
      <c r="B1111" s="10" t="s">
        <v>1006</v>
      </c>
      <c r="C1111">
        <v>780191.667295694</v>
      </c>
    </row>
    <row r="1112" spans="1:3" x14ac:dyDescent="0.25">
      <c r="A1112" s="150">
        <v>1107</v>
      </c>
      <c r="B1112" s="10" t="s">
        <v>1007</v>
      </c>
      <c r="C1112">
        <v>180328.93424889399</v>
      </c>
    </row>
    <row r="1113" spans="1:3" x14ac:dyDescent="0.25">
      <c r="A1113" s="150">
        <v>1108</v>
      </c>
      <c r="B1113" s="10" t="s">
        <v>1008</v>
      </c>
      <c r="C1113">
        <v>100126.248222657</v>
      </c>
    </row>
    <row r="1114" spans="1:3" x14ac:dyDescent="0.25">
      <c r="A1114" s="150">
        <v>1109</v>
      </c>
      <c r="B1114" s="10" t="s">
        <v>1009</v>
      </c>
      <c r="C1114">
        <v>24507.9853110351</v>
      </c>
    </row>
    <row r="1115" spans="1:3" x14ac:dyDescent="0.25">
      <c r="A1115" s="150">
        <v>1110</v>
      </c>
      <c r="B1115" s="10" t="s">
        <v>1010</v>
      </c>
      <c r="C1115">
        <v>18055.428029298801</v>
      </c>
    </row>
    <row r="1116" spans="1:3" x14ac:dyDescent="0.25">
      <c r="A1116" s="150">
        <v>1111</v>
      </c>
      <c r="B1116" s="10" t="s">
        <v>1521</v>
      </c>
      <c r="C1116">
        <v>30523.305515626402</v>
      </c>
    </row>
    <row r="1117" spans="1:3" x14ac:dyDescent="0.25">
      <c r="A1117" s="150">
        <v>1112</v>
      </c>
      <c r="B1117" s="10" t="s">
        <v>1522</v>
      </c>
      <c r="C1117">
        <v>2604.5132124025799</v>
      </c>
    </row>
    <row r="1118" spans="1:3" x14ac:dyDescent="0.25">
      <c r="A1118" s="150">
        <v>1113</v>
      </c>
      <c r="B1118" s="10" t="s">
        <v>1523</v>
      </c>
      <c r="C1118">
        <v>20625.636205078099</v>
      </c>
    </row>
    <row r="1119" spans="1:3" x14ac:dyDescent="0.25">
      <c r="A1119" s="150">
        <v>1114</v>
      </c>
      <c r="B1119" s="10" t="s">
        <v>1524</v>
      </c>
      <c r="C1119">
        <v>0</v>
      </c>
    </row>
    <row r="1120" spans="1:3" x14ac:dyDescent="0.25">
      <c r="A1120" s="150">
        <v>1115</v>
      </c>
      <c r="B1120" s="10" t="s">
        <v>1525</v>
      </c>
      <c r="C1120">
        <v>0</v>
      </c>
    </row>
    <row r="1121" spans="1:3" x14ac:dyDescent="0.25">
      <c r="A1121" s="150">
        <v>1116</v>
      </c>
      <c r="B1121" s="10" t="s">
        <v>1526</v>
      </c>
      <c r="C1121">
        <v>6501.00550927734</v>
      </c>
    </row>
    <row r="1122" spans="1:3" x14ac:dyDescent="0.25">
      <c r="A1122" s="150">
        <v>1117</v>
      </c>
      <c r="B1122" s="10" t="s">
        <v>1527</v>
      </c>
      <c r="C1122">
        <v>0</v>
      </c>
    </row>
    <row r="1123" spans="1:3" x14ac:dyDescent="0.25">
      <c r="A1123" s="150">
        <v>1118</v>
      </c>
      <c r="B1123" s="10" t="s">
        <v>1528</v>
      </c>
      <c r="C1123">
        <v>8112.8695704350203</v>
      </c>
    </row>
    <row r="1124" spans="1:3" x14ac:dyDescent="0.25">
      <c r="A1124" s="150">
        <v>1119</v>
      </c>
      <c r="B1124" s="10" t="s">
        <v>1529</v>
      </c>
      <c r="C1124">
        <v>10128.3978131721</v>
      </c>
    </row>
    <row r="1125" spans="1:3" x14ac:dyDescent="0.25">
      <c r="A1125" s="150">
        <v>1120</v>
      </c>
      <c r="B1125" s="10" t="s">
        <v>1530</v>
      </c>
      <c r="C1125">
        <v>5898.7148925168403</v>
      </c>
    </row>
    <row r="1126" spans="1:3" x14ac:dyDescent="0.25">
      <c r="A1126" s="150">
        <v>1121</v>
      </c>
      <c r="B1126" s="10" t="s">
        <v>1531</v>
      </c>
      <c r="C1126">
        <v>35247.516319822498</v>
      </c>
    </row>
    <row r="1127" spans="1:3" x14ac:dyDescent="0.25">
      <c r="A1127" s="150">
        <v>1122</v>
      </c>
      <c r="B1127" s="10" t="s">
        <v>1532</v>
      </c>
      <c r="C1127">
        <v>3433.3315903930902</v>
      </c>
    </row>
    <row r="1128" spans="1:3" x14ac:dyDescent="0.25">
      <c r="A1128" s="150">
        <v>1123</v>
      </c>
      <c r="B1128" s="10" t="s">
        <v>1533</v>
      </c>
      <c r="C1128">
        <v>6503.0326019902705</v>
      </c>
    </row>
    <row r="1129" spans="1:3" x14ac:dyDescent="0.25">
      <c r="A1129" s="150">
        <v>1124</v>
      </c>
      <c r="B1129" s="10" t="s">
        <v>1534</v>
      </c>
      <c r="C1129">
        <v>827.22259661858004</v>
      </c>
    </row>
    <row r="1130" spans="1:3" x14ac:dyDescent="0.25">
      <c r="A1130" s="150">
        <v>1125</v>
      </c>
      <c r="B1130" s="10" t="s">
        <v>1535</v>
      </c>
      <c r="C1130">
        <v>0</v>
      </c>
    </row>
    <row r="1131" spans="1:3" x14ac:dyDescent="0.25">
      <c r="A1131" s="150">
        <v>1126</v>
      </c>
      <c r="B1131" s="10" t="s">
        <v>1536</v>
      </c>
      <c r="C1131">
        <v>42266.101699218198</v>
      </c>
    </row>
    <row r="1132" spans="1:3" x14ac:dyDescent="0.25">
      <c r="A1132" s="150">
        <v>1127</v>
      </c>
      <c r="B1132" s="10" t="s">
        <v>1537</v>
      </c>
      <c r="C1132">
        <v>5883.4825576171297</v>
      </c>
    </row>
    <row r="1133" spans="1:3" x14ac:dyDescent="0.25">
      <c r="A1133" s="150">
        <v>1128</v>
      </c>
      <c r="B1133" s="10" t="s">
        <v>1538</v>
      </c>
      <c r="C1133">
        <v>0</v>
      </c>
    </row>
    <row r="1134" spans="1:3" x14ac:dyDescent="0.25">
      <c r="A1134" s="150">
        <v>1129</v>
      </c>
      <c r="B1134" s="10" t="s">
        <v>1539</v>
      </c>
      <c r="C1134">
        <v>0</v>
      </c>
    </row>
    <row r="1135" spans="1:3" x14ac:dyDescent="0.25">
      <c r="A1135" s="150">
        <v>1130</v>
      </c>
      <c r="B1135" s="10" t="s">
        <v>1540</v>
      </c>
      <c r="C1135">
        <v>18287.8692480465</v>
      </c>
    </row>
    <row r="1136" spans="1:3" x14ac:dyDescent="0.25">
      <c r="A1136" s="150">
        <v>1131</v>
      </c>
      <c r="B1136" s="10" t="s">
        <v>1541</v>
      </c>
      <c r="C1136">
        <v>37647.723351562403</v>
      </c>
    </row>
    <row r="1137" spans="1:3" x14ac:dyDescent="0.25">
      <c r="A1137" s="150">
        <v>1132</v>
      </c>
      <c r="B1137" s="10" t="s">
        <v>1542</v>
      </c>
      <c r="C1137">
        <v>0</v>
      </c>
    </row>
    <row r="1138" spans="1:3" x14ac:dyDescent="0.25">
      <c r="A1138" s="150">
        <v>1133</v>
      </c>
      <c r="B1138" s="10" t="s">
        <v>1543</v>
      </c>
      <c r="C1138">
        <v>13290.051556640299</v>
      </c>
    </row>
    <row r="1139" spans="1:3" x14ac:dyDescent="0.25">
      <c r="A1139" s="150">
        <v>1134</v>
      </c>
      <c r="B1139" s="10" t="s">
        <v>1544</v>
      </c>
      <c r="C1139">
        <v>0</v>
      </c>
    </row>
    <row r="1140" spans="1:3" x14ac:dyDescent="0.25">
      <c r="A1140" s="150">
        <v>1135</v>
      </c>
      <c r="B1140" s="10" t="s">
        <v>1545</v>
      </c>
      <c r="C1140">
        <v>0</v>
      </c>
    </row>
    <row r="1141" spans="1:3" x14ac:dyDescent="0.25">
      <c r="A1141" s="150">
        <v>1136</v>
      </c>
      <c r="B1141" s="10" t="s">
        <v>1546</v>
      </c>
      <c r="C1141">
        <v>0</v>
      </c>
    </row>
    <row r="1142" spans="1:3" x14ac:dyDescent="0.25">
      <c r="A1142" s="150">
        <v>1137</v>
      </c>
      <c r="B1142" s="10" t="s">
        <v>1547</v>
      </c>
      <c r="C1142">
        <v>22978.342594482001</v>
      </c>
    </row>
    <row r="1143" spans="1:3" x14ac:dyDescent="0.25">
      <c r="A1143" s="150">
        <v>1138</v>
      </c>
      <c r="B1143" s="10" t="s">
        <v>1548</v>
      </c>
      <c r="C1143">
        <v>13072.4626669926</v>
      </c>
    </row>
    <row r="1144" spans="1:3" x14ac:dyDescent="0.25">
      <c r="A1144" s="150">
        <v>1139</v>
      </c>
      <c r="B1144" s="10" t="s">
        <v>1549</v>
      </c>
      <c r="C1144">
        <v>772.06651647947695</v>
      </c>
    </row>
    <row r="1145" spans="1:3" x14ac:dyDescent="0.25">
      <c r="A1145" s="150">
        <v>1140</v>
      </c>
      <c r="B1145" s="10" t="s">
        <v>1550</v>
      </c>
      <c r="C1145">
        <v>0</v>
      </c>
    </row>
    <row r="1146" spans="1:3" x14ac:dyDescent="0.25">
      <c r="A1146" s="150">
        <v>1141</v>
      </c>
      <c r="B1146" s="10" t="s">
        <v>1551</v>
      </c>
      <c r="C1146">
        <v>0</v>
      </c>
    </row>
    <row r="1147" spans="1:3" x14ac:dyDescent="0.25">
      <c r="A1147" s="150">
        <v>1142</v>
      </c>
      <c r="B1147" s="10" t="s">
        <v>1552</v>
      </c>
      <c r="C1147">
        <v>0</v>
      </c>
    </row>
    <row r="1148" spans="1:3" x14ac:dyDescent="0.25">
      <c r="A1148" s="150">
        <v>1143</v>
      </c>
      <c r="B1148" s="10" t="s">
        <v>1553</v>
      </c>
      <c r="C1148">
        <v>0</v>
      </c>
    </row>
    <row r="1149" spans="1:3" x14ac:dyDescent="0.25">
      <c r="A1149" s="150">
        <v>1144</v>
      </c>
      <c r="B1149" s="10" t="s">
        <v>1554</v>
      </c>
      <c r="C1149">
        <v>0</v>
      </c>
    </row>
    <row r="1150" spans="1:3" x14ac:dyDescent="0.25">
      <c r="A1150" s="150">
        <v>1145</v>
      </c>
      <c r="B1150" s="10" t="s">
        <v>1555</v>
      </c>
      <c r="C1150">
        <v>0</v>
      </c>
    </row>
    <row r="1151" spans="1:3" x14ac:dyDescent="0.25">
      <c r="A1151" s="167">
        <v>1146</v>
      </c>
      <c r="B1151" s="165" t="s">
        <v>1556</v>
      </c>
      <c r="C1151">
        <v>0</v>
      </c>
    </row>
  </sheetData>
  <mergeCells count="7">
    <mergeCell ref="AK41:AK42"/>
    <mergeCell ref="H136:H137"/>
    <mergeCell ref="J2:K2"/>
    <mergeCell ref="M2:O2"/>
    <mergeCell ref="P2:Q2"/>
    <mergeCell ref="H41:H42"/>
    <mergeCell ref="H104:H105"/>
  </mergeCells>
  <conditionalFormatting sqref="I138:AI166">
    <cfRule type="cellIs" dxfId="11" priority="7" operator="equal">
      <formula>0</formula>
    </cfRule>
  </conditionalFormatting>
  <conditionalFormatting sqref="I106:AI134">
    <cfRule type="cellIs" dxfId="10" priority="6" operator="equal">
      <formula>0</formula>
    </cfRule>
  </conditionalFormatting>
  <conditionalFormatting sqref="F6:F578">
    <cfRule type="cellIs" dxfId="9" priority="5" operator="equal">
      <formula>0</formula>
    </cfRule>
  </conditionalFormatting>
  <conditionalFormatting sqref="I43:AI71">
    <cfRule type="dataBar" priority="3">
      <dataBar>
        <cfvo type="min"/>
        <cfvo type="max"/>
        <color theme="4" tint="0.39997558519241921"/>
      </dataBar>
      <extLst>
        <ext xmlns:x14="http://schemas.microsoft.com/office/spreadsheetml/2009/9/main" uri="{B025F937-C7B1-47D3-B67F-A62EFF666E3E}">
          <x14:id>{2B885FE2-4556-4B3B-B39A-6008C25EB425}</x14:id>
        </ext>
      </extLst>
    </cfRule>
    <cfRule type="cellIs" dxfId="8" priority="4" operator="equal">
      <formula>"N/A"</formula>
    </cfRule>
  </conditionalFormatting>
  <conditionalFormatting sqref="AL43:BL71">
    <cfRule type="dataBar" priority="1">
      <dataBar>
        <cfvo type="min"/>
        <cfvo type="max"/>
        <color theme="4" tint="0.39997558519241921"/>
      </dataBar>
      <extLst>
        <ext xmlns:x14="http://schemas.microsoft.com/office/spreadsheetml/2009/9/main" uri="{B025F937-C7B1-47D3-B67F-A62EFF666E3E}">
          <x14:id>{79A73AE8-0314-4CC9-85D3-E3E7FC46BBCA}</x14:id>
        </ext>
      </extLst>
    </cfRule>
    <cfRule type="cellIs" dxfId="7" priority="2" operator="equal">
      <formula>"N/A"</formula>
    </cfRule>
  </conditionalFormatting>
  <conditionalFormatting sqref="I74:AI102">
    <cfRule type="cellIs" dxfId="6" priority="8" operator="between">
      <formula>0.8*#REF!</formula>
      <formula>1.2*#REF!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885FE2-4556-4B3B-B39A-6008C25EB4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I43:AI71</xm:sqref>
        </x14:conditionalFormatting>
        <x14:conditionalFormatting xmlns:xm="http://schemas.microsoft.com/office/excel/2006/main">
          <x14:cfRule type="dataBar" id="{79A73AE8-0314-4CC9-85D3-E3E7FC46BB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AL43:BL71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0"/>
  </sheetPr>
  <dimension ref="A1:BL1151"/>
  <sheetViews>
    <sheetView zoomScale="80" zoomScaleNormal="80" workbookViewId="0">
      <selection activeCell="C1" sqref="C1:C1048576"/>
    </sheetView>
  </sheetViews>
  <sheetFormatPr baseColWidth="10" defaultColWidth="11.42578125" defaultRowHeight="15" x14ac:dyDescent="0.25"/>
  <cols>
    <col min="1" max="1" width="8.42578125" style="150" bestFit="1" customWidth="1"/>
    <col min="2" max="2" width="13" style="10" bestFit="1" customWidth="1"/>
    <col min="4" max="4" width="4.7109375" style="10" customWidth="1"/>
    <col min="5" max="5" width="11.42578125" style="10" bestFit="1" customWidth="1"/>
    <col min="6" max="6" width="7.7109375" style="10" customWidth="1"/>
    <col min="7" max="7" width="4.7109375" style="10" customWidth="1"/>
    <col min="8" max="8" width="11.7109375" style="10" customWidth="1"/>
    <col min="9" max="31" width="7.5703125" style="10" customWidth="1"/>
    <col min="32" max="32" width="8.140625" style="10" customWidth="1"/>
    <col min="33" max="35" width="7.5703125" style="10" customWidth="1"/>
    <col min="36" max="36" width="4.7109375" style="10" customWidth="1"/>
    <col min="37" max="16384" width="11.42578125" style="10"/>
  </cols>
  <sheetData>
    <row r="1" spans="1:33" ht="15.75" thickBot="1" x14ac:dyDescent="0.3">
      <c r="A1" s="147" t="s">
        <v>0</v>
      </c>
      <c r="B1" s="148" t="s">
        <v>1</v>
      </c>
      <c r="T1" s="198" t="s">
        <v>1798</v>
      </c>
      <c r="U1" s="199" t="s">
        <v>1800</v>
      </c>
      <c r="V1" s="198" t="s">
        <v>1795</v>
      </c>
      <c r="W1" s="198" t="s">
        <v>1796</v>
      </c>
      <c r="X1" s="198" t="s">
        <v>1797</v>
      </c>
      <c r="Y1" s="200" t="s">
        <v>1799</v>
      </c>
      <c r="AA1" s="196"/>
      <c r="AC1" s="208" t="s">
        <v>1804</v>
      </c>
      <c r="AD1" s="209"/>
      <c r="AE1" s="210"/>
      <c r="AF1" s="207"/>
      <c r="AG1" s="243" t="s">
        <v>1824</v>
      </c>
    </row>
    <row r="2" spans="1:33" ht="18" thickBot="1" x14ac:dyDescent="0.3">
      <c r="A2" s="229" t="s">
        <v>1816</v>
      </c>
      <c r="B2" s="230" t="s">
        <v>1812</v>
      </c>
      <c r="C2">
        <v>404830793.527542</v>
      </c>
      <c r="I2" s="152" t="s">
        <v>328</v>
      </c>
      <c r="J2" s="248">
        <v>1000000</v>
      </c>
      <c r="K2" s="249"/>
      <c r="M2" s="250" t="s">
        <v>1558</v>
      </c>
      <c r="N2" s="251"/>
      <c r="O2" s="252"/>
      <c r="P2" s="253">
        <f>SUM(I43:AI71)</f>
        <v>335685.63411625539</v>
      </c>
      <c r="Q2" s="254"/>
      <c r="T2" s="194">
        <f>SUM(I43:N48)</f>
        <v>52020.767888372677</v>
      </c>
      <c r="U2" s="195">
        <f>SUM(O43:V48)</f>
        <v>47652.030463859846</v>
      </c>
      <c r="V2" s="194">
        <f>SUM(I49:X52)</f>
        <v>59223.563480021061</v>
      </c>
      <c r="W2" s="194">
        <f>SUM(I53:R71)</f>
        <v>92449.18468088696</v>
      </c>
      <c r="X2" s="194">
        <f>SUM(S53:AI71)</f>
        <v>84340.087603115258</v>
      </c>
      <c r="Y2" s="197">
        <f>SUM(T2:X2)</f>
        <v>335685.63411625579</v>
      </c>
      <c r="AA2" s="196"/>
      <c r="AC2" s="208" t="s">
        <v>1805</v>
      </c>
      <c r="AD2" s="209"/>
      <c r="AE2" s="210"/>
      <c r="AF2" s="207"/>
      <c r="AG2" s="243" t="s">
        <v>1824</v>
      </c>
    </row>
    <row r="3" spans="1:33" ht="15" customHeight="1" thickBot="1" x14ac:dyDescent="0.3">
      <c r="A3" s="231" t="s">
        <v>1816</v>
      </c>
      <c r="B3" s="164" t="s">
        <v>1813</v>
      </c>
      <c r="C3">
        <v>336711809.78716999</v>
      </c>
      <c r="T3" s="201" t="s">
        <v>1801</v>
      </c>
      <c r="U3" s="201"/>
      <c r="V3" s="203">
        <v>5</v>
      </c>
      <c r="W3" s="202" t="s">
        <v>1802</v>
      </c>
      <c r="X3" s="202"/>
      <c r="Y3" s="206" t="s">
        <v>1825</v>
      </c>
      <c r="AC3" s="211" t="s">
        <v>1823</v>
      </c>
      <c r="AD3" s="212"/>
      <c r="AE3" s="212"/>
      <c r="AF3" s="242">
        <f>AE41</f>
        <v>404830793.527542</v>
      </c>
    </row>
    <row r="4" spans="1:33" ht="15.75" thickBot="1" x14ac:dyDescent="0.3">
      <c r="A4" s="231" t="s">
        <v>1817</v>
      </c>
      <c r="B4" s="164" t="s">
        <v>1814</v>
      </c>
      <c r="C4">
        <v>191809.725175776</v>
      </c>
      <c r="AC4" s="211" t="s">
        <v>1823</v>
      </c>
      <c r="AD4" s="212"/>
      <c r="AE4" s="212"/>
      <c r="AF4" s="242">
        <f>AH41</f>
        <v>191809.725175776</v>
      </c>
    </row>
    <row r="5" spans="1:33" x14ac:dyDescent="0.25">
      <c r="A5" s="167" t="s">
        <v>1817</v>
      </c>
      <c r="B5" s="165" t="s">
        <v>1815</v>
      </c>
      <c r="C5">
        <v>171983.71272656301</v>
      </c>
      <c r="E5" s="148" t="s">
        <v>1794</v>
      </c>
      <c r="F5" s="149" t="s">
        <v>329</v>
      </c>
    </row>
    <row r="6" spans="1:33" x14ac:dyDescent="0.25">
      <c r="A6" s="150">
        <v>1</v>
      </c>
      <c r="B6" s="10" t="s">
        <v>663</v>
      </c>
      <c r="C6">
        <v>0</v>
      </c>
      <c r="E6" s="10" t="s">
        <v>488</v>
      </c>
      <c r="F6" s="151">
        <f>IF(ISNUMBER(I43),I43/SUM($I$43:$AI$71),0)</f>
        <v>0</v>
      </c>
    </row>
    <row r="7" spans="1:33" x14ac:dyDescent="0.25">
      <c r="A7" s="150">
        <v>2</v>
      </c>
      <c r="B7" s="10" t="s">
        <v>664</v>
      </c>
      <c r="C7">
        <v>0</v>
      </c>
      <c r="E7" s="10" t="s">
        <v>489</v>
      </c>
      <c r="F7" s="151">
        <f>IF(ISNUMBER(J43),J43/SUM($I$43:$AI$71),0)</f>
        <v>0</v>
      </c>
    </row>
    <row r="8" spans="1:33" x14ac:dyDescent="0.25">
      <c r="A8" s="150">
        <v>3</v>
      </c>
      <c r="B8" s="10" t="s">
        <v>665</v>
      </c>
      <c r="C8">
        <v>0</v>
      </c>
      <c r="E8" s="10" t="s">
        <v>490</v>
      </c>
      <c r="F8" s="151">
        <f>IF(ISNUMBER(K43),K43/SUM($I$43:$AI$71),0)</f>
        <v>0</v>
      </c>
    </row>
    <row r="9" spans="1:33" x14ac:dyDescent="0.25">
      <c r="A9" s="150">
        <v>4</v>
      </c>
      <c r="B9" s="10" t="s">
        <v>666</v>
      </c>
      <c r="C9">
        <v>0</v>
      </c>
      <c r="E9" s="10" t="s">
        <v>491</v>
      </c>
      <c r="F9" s="151">
        <f>IF(ISNUMBER(L43),L43/SUM($I$43:$AI$71),0)</f>
        <v>0</v>
      </c>
    </row>
    <row r="10" spans="1:33" x14ac:dyDescent="0.25">
      <c r="A10" s="150">
        <v>5</v>
      </c>
      <c r="B10" s="10" t="s">
        <v>667</v>
      </c>
      <c r="C10">
        <v>3120.8204553220398</v>
      </c>
      <c r="E10" s="10" t="s">
        <v>492</v>
      </c>
      <c r="F10" s="151">
        <f>IF(ISNUMBER(M43),M43/SUM($I$43:$AI$71),0)</f>
        <v>0</v>
      </c>
    </row>
    <row r="11" spans="1:33" x14ac:dyDescent="0.25">
      <c r="A11" s="150">
        <v>6</v>
      </c>
      <c r="B11" s="10" t="s">
        <v>668</v>
      </c>
      <c r="C11">
        <v>54091.701370602503</v>
      </c>
      <c r="E11" s="10" t="s">
        <v>1559</v>
      </c>
      <c r="F11" s="151">
        <f>IF(ISNUMBER(N43),N43/SUM($I$43:$AI$71),0)</f>
        <v>0</v>
      </c>
    </row>
    <row r="12" spans="1:33" x14ac:dyDescent="0.25">
      <c r="A12" s="150">
        <v>7</v>
      </c>
      <c r="B12" s="10" t="s">
        <v>669</v>
      </c>
      <c r="C12">
        <v>0</v>
      </c>
      <c r="E12" s="10" t="s">
        <v>1560</v>
      </c>
      <c r="F12" s="151">
        <f>IF(ISNUMBER(O43),O43/SUM($I$43:$AI$71),0)</f>
        <v>0</v>
      </c>
    </row>
    <row r="13" spans="1:33" x14ac:dyDescent="0.25">
      <c r="A13" s="150">
        <v>8</v>
      </c>
      <c r="B13" s="10" t="s">
        <v>670</v>
      </c>
      <c r="C13">
        <v>12510.8944013659</v>
      </c>
      <c r="E13" s="10" t="s">
        <v>493</v>
      </c>
      <c r="F13" s="151">
        <f>IF(ISNUMBER(I44),I44/SUM($I$43:$AI$71),0)</f>
        <v>0</v>
      </c>
    </row>
    <row r="14" spans="1:33" x14ac:dyDescent="0.25">
      <c r="A14" s="150">
        <v>9</v>
      </c>
      <c r="B14" s="10" t="s">
        <v>671</v>
      </c>
      <c r="C14">
        <v>54706.396195311099</v>
      </c>
      <c r="E14" s="10" t="s">
        <v>341</v>
      </c>
      <c r="F14" s="151">
        <f>IF(ISNUMBER(J44),J44/SUM($I$43:$AI$71),0)</f>
        <v>0</v>
      </c>
    </row>
    <row r="15" spans="1:33" x14ac:dyDescent="0.25">
      <c r="A15" s="150">
        <v>10</v>
      </c>
      <c r="B15" s="10" t="s">
        <v>672</v>
      </c>
      <c r="C15">
        <v>2656.8481311036699</v>
      </c>
      <c r="E15" s="10" t="s">
        <v>342</v>
      </c>
      <c r="F15" s="151">
        <f>IF(ISNUMBER(K44),K44/SUM($I$43:$AI$71),0)</f>
        <v>0</v>
      </c>
    </row>
    <row r="16" spans="1:33" x14ac:dyDescent="0.25">
      <c r="A16" s="150">
        <v>11</v>
      </c>
      <c r="B16" s="10" t="s">
        <v>1089</v>
      </c>
      <c r="C16">
        <v>3463.7875949703198</v>
      </c>
      <c r="E16" s="10" t="s">
        <v>343</v>
      </c>
      <c r="F16" s="151">
        <f>IF(ISNUMBER(L44),L44/SUM($I$43:$AI$71),0)</f>
        <v>0</v>
      </c>
    </row>
    <row r="17" spans="1:6" x14ac:dyDescent="0.25">
      <c r="A17" s="150">
        <v>12</v>
      </c>
      <c r="B17" s="10" t="s">
        <v>1090</v>
      </c>
      <c r="C17">
        <v>51559.183722656198</v>
      </c>
      <c r="E17" s="10" t="s">
        <v>344</v>
      </c>
      <c r="F17" s="151">
        <f>IF(ISNUMBER(M44),M44/SUM($I$43:$AI$71),0)</f>
        <v>0</v>
      </c>
    </row>
    <row r="18" spans="1:6" x14ac:dyDescent="0.25">
      <c r="A18" s="150">
        <v>13</v>
      </c>
      <c r="B18" s="10" t="s">
        <v>1091</v>
      </c>
      <c r="C18">
        <v>0</v>
      </c>
      <c r="E18" s="10" t="s">
        <v>345</v>
      </c>
      <c r="F18" s="151">
        <f>IF(ISNUMBER(N44),N44/SUM($I$43:$AI$71),0)</f>
        <v>0</v>
      </c>
    </row>
    <row r="19" spans="1:6" x14ac:dyDescent="0.25">
      <c r="A19" s="150">
        <v>14</v>
      </c>
      <c r="B19" s="10" t="s">
        <v>1092</v>
      </c>
      <c r="C19">
        <v>9892.5263320310005</v>
      </c>
      <c r="E19" s="10" t="s">
        <v>1561</v>
      </c>
      <c r="F19" s="151">
        <f>IF(ISNUMBER(O44),O44/SUM($I$43:$AI$71),0)</f>
        <v>0</v>
      </c>
    </row>
    <row r="20" spans="1:6" x14ac:dyDescent="0.25">
      <c r="A20" s="150">
        <v>15</v>
      </c>
      <c r="B20" s="10" t="s">
        <v>673</v>
      </c>
      <c r="C20">
        <v>0</v>
      </c>
      <c r="E20" s="10" t="s">
        <v>1562</v>
      </c>
      <c r="F20" s="151">
        <f>IF(ISNUMBER(P44),P44/SUM($I$43:$AI$71),0)</f>
        <v>0</v>
      </c>
    </row>
    <row r="21" spans="1:6" x14ac:dyDescent="0.25">
      <c r="A21" s="150">
        <v>16</v>
      </c>
      <c r="B21" s="10" t="s">
        <v>674</v>
      </c>
      <c r="C21">
        <v>50446.754402345003</v>
      </c>
      <c r="E21" s="10" t="s">
        <v>494</v>
      </c>
      <c r="F21" s="151">
        <f>IF(ISNUMBER(I45),I45/SUM($I$43:$AI$71),0)</f>
        <v>0</v>
      </c>
    </row>
    <row r="22" spans="1:6" x14ac:dyDescent="0.25">
      <c r="A22" s="150">
        <v>17</v>
      </c>
      <c r="B22" s="10" t="s">
        <v>25</v>
      </c>
      <c r="C22">
        <v>0</v>
      </c>
      <c r="E22" s="10" t="s">
        <v>346</v>
      </c>
      <c r="F22" s="151">
        <f>IF(ISNUMBER(J45),J45/SUM($I$43:$AI$71),0)</f>
        <v>4.1412591788414553E-4</v>
      </c>
    </row>
    <row r="23" spans="1:6" x14ac:dyDescent="0.25">
      <c r="A23" s="150">
        <v>18</v>
      </c>
      <c r="B23" s="10" t="s">
        <v>26</v>
      </c>
      <c r="C23">
        <v>0</v>
      </c>
      <c r="E23" s="10" t="s">
        <v>347</v>
      </c>
      <c r="F23" s="151">
        <f>IF(ISNUMBER(K45),K45/SUM($I$43:$AI$71),0)</f>
        <v>2.5098238599495742E-3</v>
      </c>
    </row>
    <row r="24" spans="1:6" x14ac:dyDescent="0.25">
      <c r="A24" s="150">
        <v>19</v>
      </c>
      <c r="B24" s="10" t="s">
        <v>27</v>
      </c>
      <c r="C24">
        <v>161163.67909179599</v>
      </c>
      <c r="E24" s="10" t="s">
        <v>348</v>
      </c>
      <c r="F24" s="151">
        <f>IF(ISNUMBER(L45),L45/SUM($I$43:$AI$71),0)</f>
        <v>2.1466495860426346E-3</v>
      </c>
    </row>
    <row r="25" spans="1:6" x14ac:dyDescent="0.25">
      <c r="A25" s="150">
        <v>20</v>
      </c>
      <c r="B25" s="10" t="s">
        <v>28</v>
      </c>
      <c r="C25">
        <v>60756.7736616209</v>
      </c>
      <c r="E25" s="10" t="s">
        <v>349</v>
      </c>
      <c r="F25" s="151">
        <f>IF(ISNUMBER(M45),M45/SUM($I$43:$AI$71),0)</f>
        <v>2.2327624618278534E-3</v>
      </c>
    </row>
    <row r="26" spans="1:6" x14ac:dyDescent="0.25">
      <c r="A26" s="150">
        <v>21</v>
      </c>
      <c r="B26" s="10" t="s">
        <v>29</v>
      </c>
      <c r="C26">
        <v>431748.95428612799</v>
      </c>
      <c r="E26" s="10" t="s">
        <v>350</v>
      </c>
      <c r="F26" s="151">
        <f>IF(ISNUMBER(N45),N45/SUM($I$43:$AI$71),0)</f>
        <v>4.0365302118400481E-3</v>
      </c>
    </row>
    <row r="27" spans="1:6" x14ac:dyDescent="0.25">
      <c r="A27" s="150">
        <v>22</v>
      </c>
      <c r="B27" s="10" t="s">
        <v>30</v>
      </c>
      <c r="C27">
        <v>418831.34794335801</v>
      </c>
      <c r="E27" s="10" t="s">
        <v>351</v>
      </c>
      <c r="F27" s="151">
        <f>IF(ISNUMBER(O45),O45/SUM($I$43:$AI$71),0)</f>
        <v>2.8354380542672621E-3</v>
      </c>
    </row>
    <row r="28" spans="1:6" x14ac:dyDescent="0.25">
      <c r="A28" s="150">
        <v>23</v>
      </c>
      <c r="B28" s="10" t="s">
        <v>31</v>
      </c>
      <c r="C28">
        <v>3002299.4426074</v>
      </c>
      <c r="E28" s="10" t="s">
        <v>1563</v>
      </c>
      <c r="F28" s="151">
        <f>IF(ISNUMBER(P45),P45/SUM($I$43:$AI$71),0)</f>
        <v>7.981254004332457E-4</v>
      </c>
    </row>
    <row r="29" spans="1:6" x14ac:dyDescent="0.25">
      <c r="A29" s="150">
        <v>24</v>
      </c>
      <c r="B29" s="10" t="s">
        <v>32</v>
      </c>
      <c r="C29">
        <v>1392110.9104570199</v>
      </c>
      <c r="E29" s="10" t="s">
        <v>1564</v>
      </c>
      <c r="F29" s="151">
        <f>IF(ISNUMBER(Q45),Q45/SUM($I$43:$AI$71),0)</f>
        <v>0</v>
      </c>
    </row>
    <row r="30" spans="1:6" x14ac:dyDescent="0.25">
      <c r="A30" s="150">
        <v>25</v>
      </c>
      <c r="B30" s="10" t="s">
        <v>33</v>
      </c>
      <c r="C30">
        <v>1544507.48808986</v>
      </c>
      <c r="E30" s="10" t="s">
        <v>495</v>
      </c>
      <c r="F30" s="151">
        <f>IF(ISNUMBER(I46),I46/SUM($I$43:$AI$71),0)</f>
        <v>0</v>
      </c>
    </row>
    <row r="31" spans="1:6" x14ac:dyDescent="0.25">
      <c r="A31" s="150">
        <v>26</v>
      </c>
      <c r="B31" s="10" t="s">
        <v>34</v>
      </c>
      <c r="C31">
        <v>1038258.65464649</v>
      </c>
      <c r="E31" s="10" t="s">
        <v>352</v>
      </c>
      <c r="F31" s="151">
        <f>IF(ISNUMBER(J46),J46/SUM($I$43:$AI$71),0)</f>
        <v>2.3174011157098451E-3</v>
      </c>
    </row>
    <row r="32" spans="1:6" x14ac:dyDescent="0.25">
      <c r="A32" s="150">
        <v>27</v>
      </c>
      <c r="B32" s="10" t="s">
        <v>1093</v>
      </c>
      <c r="C32">
        <v>0</v>
      </c>
      <c r="E32" s="10" t="s">
        <v>353</v>
      </c>
      <c r="F32" s="151">
        <f>IF(ISNUMBER(K46),K46/SUM($I$43:$AI$71),0)</f>
        <v>1.5660015136622712E-2</v>
      </c>
    </row>
    <row r="33" spans="1:64" x14ac:dyDescent="0.25">
      <c r="A33" s="150">
        <v>28</v>
      </c>
      <c r="B33" s="10" t="s">
        <v>1094</v>
      </c>
      <c r="C33">
        <v>88474.095843750998</v>
      </c>
      <c r="E33" s="10" t="s">
        <v>354</v>
      </c>
      <c r="F33" s="151">
        <f>IF(ISNUMBER(L46),L46/SUM($I$43:$AI$71),0)</f>
        <v>1.6808199487116794E-2</v>
      </c>
    </row>
    <row r="34" spans="1:64" x14ac:dyDescent="0.25">
      <c r="A34" s="150">
        <v>29</v>
      </c>
      <c r="B34" s="10" t="s">
        <v>1095</v>
      </c>
      <c r="C34">
        <v>0</v>
      </c>
      <c r="E34" s="10" t="s">
        <v>355</v>
      </c>
      <c r="F34" s="151">
        <f>IF(ISNUMBER(M46),M46/SUM($I$43:$AI$71),0)</f>
        <v>6.8814772219417016E-3</v>
      </c>
    </row>
    <row r="35" spans="1:64" x14ac:dyDescent="0.25">
      <c r="A35" s="150">
        <v>30</v>
      </c>
      <c r="B35" s="10" t="s">
        <v>1096</v>
      </c>
      <c r="C35">
        <v>0</v>
      </c>
      <c r="E35" s="10" t="s">
        <v>356</v>
      </c>
      <c r="F35" s="151">
        <f>IF(ISNUMBER(N46),N46/SUM($I$43:$AI$71),0)</f>
        <v>6.8985855793576257E-3</v>
      </c>
    </row>
    <row r="36" spans="1:64" x14ac:dyDescent="0.25">
      <c r="A36" s="150">
        <v>31</v>
      </c>
      <c r="B36" s="10" t="s">
        <v>675</v>
      </c>
      <c r="C36">
        <v>0</v>
      </c>
      <c r="E36" s="10" t="s">
        <v>357</v>
      </c>
      <c r="F36" s="151">
        <f>IF(ISNUMBER(O46),O46/SUM($I$43:$AI$71),0)</f>
        <v>1.1518403003410138E-2</v>
      </c>
    </row>
    <row r="37" spans="1:64" x14ac:dyDescent="0.25">
      <c r="A37" s="150">
        <v>32</v>
      </c>
      <c r="B37" s="10" t="s">
        <v>676</v>
      </c>
      <c r="C37">
        <v>0</v>
      </c>
      <c r="E37" s="10" t="s">
        <v>358</v>
      </c>
      <c r="F37" s="151">
        <f>IF(ISNUMBER(P46),P46/SUM($I$43:$AI$71),0)</f>
        <v>8.2196023999769312E-3</v>
      </c>
    </row>
    <row r="38" spans="1:64" x14ac:dyDescent="0.25">
      <c r="A38" s="150">
        <v>33</v>
      </c>
      <c r="B38" s="10" t="s">
        <v>35</v>
      </c>
      <c r="C38">
        <v>45094345.084152199</v>
      </c>
      <c r="E38" s="10" t="s">
        <v>1565</v>
      </c>
      <c r="F38" s="151">
        <f>IF(ISNUMBER(Q46),Q46/SUM($I$43:$AI$71),0)</f>
        <v>1.9675040896370293E-3</v>
      </c>
    </row>
    <row r="39" spans="1:64" x14ac:dyDescent="0.25">
      <c r="A39" s="150">
        <v>34</v>
      </c>
      <c r="B39" s="10" t="s">
        <v>36</v>
      </c>
      <c r="C39">
        <v>36843283.114941597</v>
      </c>
      <c r="E39" s="10" t="s">
        <v>1566</v>
      </c>
      <c r="F39" s="151">
        <f>IF(ISNUMBER(R46),R46/SUM($I$43:$AI$71),0)</f>
        <v>1.7523397775311275E-4</v>
      </c>
    </row>
    <row r="40" spans="1:64" x14ac:dyDescent="0.25">
      <c r="A40" s="150">
        <v>35</v>
      </c>
      <c r="B40" s="10" t="s">
        <v>37</v>
      </c>
      <c r="C40">
        <v>241344453.34695399</v>
      </c>
      <c r="E40" s="10" t="s">
        <v>496</v>
      </c>
      <c r="F40" s="151">
        <f>IF(ISNUMBER(I47),I47/SUM($I$43:$AI$71),0)</f>
        <v>0</v>
      </c>
    </row>
    <row r="41" spans="1:64" x14ac:dyDescent="0.25">
      <c r="A41" s="150">
        <v>36</v>
      </c>
      <c r="B41" s="10" t="s">
        <v>38</v>
      </c>
      <c r="C41">
        <v>232396762.00685099</v>
      </c>
      <c r="E41" s="10" t="s">
        <v>359</v>
      </c>
      <c r="F41" s="151">
        <f>IF(ISNUMBER(J47),J47/SUM($I$43:$AI$71),0)</f>
        <v>1.9766179361774515E-3</v>
      </c>
      <c r="H41" s="246" t="s">
        <v>1557</v>
      </c>
      <c r="I41" s="153"/>
      <c r="J41" s="153"/>
      <c r="AD41" s="237" t="s">
        <v>1818</v>
      </c>
      <c r="AE41" s="241">
        <f>IF(AND(AE72&gt;0.8*'Ratio_M+Cl'!Y65,AE72&lt;1.2*'Ratio_M+Cl'!Y65),Zorbax_gradient10min!AE104,"pbRatio")</f>
        <v>404830793.527542</v>
      </c>
      <c r="AG41" s="237" t="s">
        <v>1819</v>
      </c>
      <c r="AH41" s="153">
        <f>IF(AND(AH72&gt;0.8*'Ratio_M+Cl'!Y65,AH72&lt;1.2*'Ratio_M+Cl'!Y65),Zorbax_gradient10min!AH104,"pbRatio")</f>
        <v>191809.725175776</v>
      </c>
      <c r="AK41" s="255" t="s">
        <v>1807</v>
      </c>
      <c r="AL41" s="153"/>
      <c r="AM41" s="153"/>
    </row>
    <row r="42" spans="1:64" ht="15.75" x14ac:dyDescent="0.3">
      <c r="A42" s="150">
        <v>37</v>
      </c>
      <c r="B42" s="10" t="s">
        <v>39</v>
      </c>
      <c r="C42">
        <v>200960015.04718</v>
      </c>
      <c r="E42" s="10" t="s">
        <v>360</v>
      </c>
      <c r="F42" s="151">
        <f>IF(ISNUMBER(K47),K47/SUM($I$43:$AI$71),0)</f>
        <v>1.7029480292956957E-2</v>
      </c>
      <c r="H42" s="247"/>
      <c r="I42" s="173" t="s">
        <v>1012</v>
      </c>
      <c r="J42" s="174" t="s">
        <v>322</v>
      </c>
      <c r="K42" s="174" t="s">
        <v>323</v>
      </c>
      <c r="L42" s="174" t="s">
        <v>324</v>
      </c>
      <c r="M42" s="175" t="s">
        <v>325</v>
      </c>
      <c r="N42" s="174" t="s">
        <v>326</v>
      </c>
      <c r="O42" s="174" t="s">
        <v>2</v>
      </c>
      <c r="P42" s="174" t="s">
        <v>3</v>
      </c>
      <c r="Q42" s="174" t="s">
        <v>4</v>
      </c>
      <c r="R42" s="174" t="s">
        <v>5</v>
      </c>
      <c r="S42" s="174" t="s">
        <v>6</v>
      </c>
      <c r="T42" s="174" t="s">
        <v>7</v>
      </c>
      <c r="U42" s="174" t="s">
        <v>8</v>
      </c>
      <c r="V42" s="174" t="s">
        <v>1016</v>
      </c>
      <c r="W42" s="174" t="s">
        <v>1017</v>
      </c>
      <c r="X42" s="174" t="s">
        <v>1018</v>
      </c>
      <c r="Y42" s="174" t="s">
        <v>1074</v>
      </c>
      <c r="Z42" s="174" t="s">
        <v>1075</v>
      </c>
      <c r="AA42" s="174" t="s">
        <v>1076</v>
      </c>
      <c r="AB42" s="174" t="s">
        <v>1077</v>
      </c>
      <c r="AC42" s="174" t="s">
        <v>1078</v>
      </c>
      <c r="AD42" s="174" t="s">
        <v>1079</v>
      </c>
      <c r="AE42" s="174" t="s">
        <v>1080</v>
      </c>
      <c r="AF42" s="174" t="s">
        <v>1081</v>
      </c>
      <c r="AG42" s="174" t="s">
        <v>1082</v>
      </c>
      <c r="AH42" s="174" t="s">
        <v>1083</v>
      </c>
      <c r="AI42" s="176" t="s">
        <v>1084</v>
      </c>
      <c r="AK42" s="247"/>
      <c r="AL42" s="173" t="s">
        <v>1012</v>
      </c>
      <c r="AM42" s="174" t="s">
        <v>322</v>
      </c>
      <c r="AN42" s="174" t="s">
        <v>323</v>
      </c>
      <c r="AO42" s="174" t="s">
        <v>324</v>
      </c>
      <c r="AP42" s="175" t="s">
        <v>325</v>
      </c>
      <c r="AQ42" s="174" t="s">
        <v>326</v>
      </c>
      <c r="AR42" s="174" t="s">
        <v>2</v>
      </c>
      <c r="AS42" s="174" t="s">
        <v>3</v>
      </c>
      <c r="AT42" s="174" t="s">
        <v>4</v>
      </c>
      <c r="AU42" s="174" t="s">
        <v>5</v>
      </c>
      <c r="AV42" s="174" t="s">
        <v>6</v>
      </c>
      <c r="AW42" s="174" t="s">
        <v>7</v>
      </c>
      <c r="AX42" s="174" t="s">
        <v>8</v>
      </c>
      <c r="AY42" s="174" t="s">
        <v>1016</v>
      </c>
      <c r="AZ42" s="174" t="s">
        <v>1017</v>
      </c>
      <c r="BA42" s="174" t="s">
        <v>1018</v>
      </c>
      <c r="BB42" s="174" t="s">
        <v>1074</v>
      </c>
      <c r="BC42" s="174" t="s">
        <v>1075</v>
      </c>
      <c r="BD42" s="174" t="s">
        <v>1076</v>
      </c>
      <c r="BE42" s="174" t="s">
        <v>1077</v>
      </c>
      <c r="BF42" s="174" t="s">
        <v>1078</v>
      </c>
      <c r="BG42" s="174" t="s">
        <v>1079</v>
      </c>
      <c r="BH42" s="174" t="s">
        <v>1080</v>
      </c>
      <c r="BI42" s="174" t="s">
        <v>1081</v>
      </c>
      <c r="BJ42" s="174" t="s">
        <v>1082</v>
      </c>
      <c r="BK42" s="174" t="s">
        <v>1083</v>
      </c>
      <c r="BL42" s="176" t="s">
        <v>1084</v>
      </c>
    </row>
    <row r="43" spans="1:64" ht="15.75" x14ac:dyDescent="0.3">
      <c r="A43" s="150">
        <v>38</v>
      </c>
      <c r="B43" s="10" t="s">
        <v>40</v>
      </c>
      <c r="C43">
        <v>180425820.71510699</v>
      </c>
      <c r="E43" s="10" t="s">
        <v>361</v>
      </c>
      <c r="F43" s="151">
        <f>IF(ISNUMBER(L47),L47/SUM($I$43:$AI$71),0)</f>
        <v>2.9427411463604981E-2</v>
      </c>
      <c r="H43" s="158" t="s">
        <v>1011</v>
      </c>
      <c r="I43" s="177" t="str">
        <f>IF(AND(ISNUMBER(I74),I74&gt;0.8*'Ratio_M+Cl'!C67,I74&lt;1.2*'Ratio_M+Cl'!C67),I106/'Ratio_M+Cl'!C99,IF(OR(I106="N/A",I138="N/A"),"N/A",""))</f>
        <v/>
      </c>
      <c r="J43" s="177" t="str">
        <f>IF(AND(ISNUMBER(J74),J74&gt;0.8*'Ratio_M+Cl'!D67,J74&lt;1.2*'Ratio_M+Cl'!D67),J106/'Ratio_M+Cl'!D99,IF(OR(J106="N/A",J138="N/A"),"N/A",""))</f>
        <v/>
      </c>
      <c r="K43" s="177" t="str">
        <f>IF(AND(ISNUMBER(K74),K74&gt;0.8*'Ratio_M+Cl'!E67,K74&lt;1.2*'Ratio_M+Cl'!E67),K106/'Ratio_M+Cl'!E99,IF(OR(K106="N/A",K138="N/A"),"N/A",""))</f>
        <v/>
      </c>
      <c r="L43" s="177" t="str">
        <f>IF(AND(ISNUMBER(L74),L74&gt;0.8*'Ratio_M+Cl'!F67,L74&lt;1.2*'Ratio_M+Cl'!F67),L106/'Ratio_M+Cl'!F99,IF(OR(L106="N/A",L138="N/A"),"N/A",""))</f>
        <v/>
      </c>
      <c r="M43" s="178" t="str">
        <f>IF(AND(ISNUMBER(M74),M74&gt;0.8*'Ratio_M+Cl'!G67,M74&lt;1.2*'Ratio_M+Cl'!G67),M106/'Ratio_M+Cl'!G99,IF(OR(M106="N/A",M138="N/A"),"N/A",""))</f>
        <v/>
      </c>
      <c r="N43" s="177" t="str">
        <f>IF(AND(ISNUMBER(N74),N74&gt;0.8*'Ratio_M+Cl'!H67,N74&lt;1.2*'Ratio_M+Cl'!H67),N106/'Ratio_M+Cl'!H99,IF(OR(N106="N/A",N138="N/A"),"N/A",""))</f>
        <v/>
      </c>
      <c r="O43" s="179" t="str">
        <f>IF(AND(ISNUMBER(O74),O74&gt;0.8*'Ratio_M+Cl'!I67,O74&lt;1.2*'Ratio_M+Cl'!I67),O106/'Ratio_M+Cl'!I99,IF(OR(O106="N/A",O138="N/A"),"N/A",""))</f>
        <v/>
      </c>
      <c r="P43" s="177" t="str">
        <f>IF(AND(ISNUMBER(P74),P74&gt;0.8*'Ratio_M+Cl'!J67,P74&lt;1.2*'Ratio_M+Cl'!J67),P106/'Ratio_M+Cl'!J99,IF(OR(P106="N/A",P138="N/A"),"N/A",""))</f>
        <v/>
      </c>
      <c r="Q43" s="177" t="str">
        <f>IF(AND(ISNUMBER(Q74),Q74&gt;0.8*'Ratio_M+Cl'!K67,Q74&lt;1.2*'Ratio_M+Cl'!K67),Q106/'Ratio_M+Cl'!K99,IF(OR(Q106="N/A",Q138="N/A"),"N/A",""))</f>
        <v/>
      </c>
      <c r="R43" s="177" t="str">
        <f>IF(AND(ISNUMBER(R74),R74&gt;0.8*'Ratio_M+Cl'!L67,R74&lt;1.2*'Ratio_M+Cl'!L67),R106/'Ratio_M+Cl'!L99,IF(OR(R106="N/A",R138="N/A"),"N/A",""))</f>
        <v/>
      </c>
      <c r="S43" s="177" t="str">
        <f>IF(AND(ISNUMBER(S74),S74&gt;0.8*'Ratio_M+Cl'!M67,S74&lt;1.2*'Ratio_M+Cl'!M67),S106/'Ratio_M+Cl'!M99,IF(OR(S106="N/A",S138="N/A"),"N/A",""))</f>
        <v/>
      </c>
      <c r="T43" s="177" t="str">
        <f>IF(AND(ISNUMBER(T74),T74&gt;0.8*'Ratio_M+Cl'!N67,T74&lt;1.2*'Ratio_M+Cl'!N67),T106/'Ratio_M+Cl'!N99,IF(OR(T106="N/A",T138="N/A"),"N/A",""))</f>
        <v/>
      </c>
      <c r="U43" s="180" t="str">
        <f>IF(AND(ISNUMBER(U74),U74&gt;0.8*'Ratio_M+Cl'!O67,U74&lt;1.2*'Ratio_M+Cl'!O67),U106/'Ratio_M+Cl'!O99,IF(OR(U106="N/A",U138="N/A"),"N/A",""))</f>
        <v/>
      </c>
      <c r="V43" s="177" t="str">
        <f>IF(AND(ISNUMBER(V74),V74&gt;0.8*'Ratio_M+Cl'!P67,V74&lt;1.2*'Ratio_M+Cl'!P67),V106/'Ratio_M+Cl'!P99,IF(OR(V106="N/A",V138="N/A"),"N/A",""))</f>
        <v/>
      </c>
      <c r="W43" s="177" t="str">
        <f>IF(AND(ISNUMBER(W74),W74&gt;0.8*'Ratio_M+Cl'!Q67,W74&lt;1.2*'Ratio_M+Cl'!Q67),W106/'Ratio_M+Cl'!Q99,IF(OR(W106="N/A",W138="N/A"),"N/A",""))</f>
        <v/>
      </c>
      <c r="X43" s="177" t="str">
        <f>IF(AND(ISNUMBER(X74),X74&gt;0.8*'Ratio_M+Cl'!R67,X74&lt;1.2*'Ratio_M+Cl'!R67),X106/'Ratio_M+Cl'!R99,IF(OR(X106="N/A",X138="N/A"),"N/A",""))</f>
        <v/>
      </c>
      <c r="Y43" s="177" t="str">
        <f>IF(AND(ISNUMBER(Y74),Y74&gt;0.8*'Ratio_M+Cl'!S67,Y74&lt;1.2*'Ratio_M+Cl'!S67),Y106/'Ratio_M+Cl'!S99,IF(OR(Y106="N/A",Y138="N/A"),"N/A",""))</f>
        <v/>
      </c>
      <c r="Z43" s="177" t="str">
        <f>IF(AND(ISNUMBER(Z74),Z74&gt;0.8*'Ratio_M+Cl'!T67,Z74&lt;1.2*'Ratio_M+Cl'!T67),Z106/'Ratio_M+Cl'!T99,IF(OR(Z106="N/A",Z138="N/A"),"N/A",""))</f>
        <v/>
      </c>
      <c r="AA43" s="177" t="str">
        <f>IF(AND(ISNUMBER(AA74),AA74&gt;0.8*'Ratio_M+Cl'!U67,AA74&lt;1.2*'Ratio_M+Cl'!U67),AA106/'Ratio_M+Cl'!U99,IF(OR(AA106="N/A",AA138="N/A"),"N/A",""))</f>
        <v/>
      </c>
      <c r="AB43" s="177" t="str">
        <f>IF(AND(ISNUMBER(AB74),AB74&gt;0.8*'Ratio_M+Cl'!V67,AB74&lt;1.2*'Ratio_M+Cl'!V67),AB106/'Ratio_M+Cl'!V99,IF(OR(AB106="N/A",AB138="N/A"),"N/A",""))</f>
        <v/>
      </c>
      <c r="AC43" s="177" t="str">
        <f>IF(AND(ISNUMBER(AC74),AC74&gt;0.8*'Ratio_M+Cl'!W67,AC74&lt;1.2*'Ratio_M+Cl'!W67),AC106/'Ratio_M+Cl'!W99,IF(OR(AC106="N/A",AC138="N/A"),"N/A",""))</f>
        <v/>
      </c>
      <c r="AD43" s="180" t="str">
        <f>IF(AND(ISNUMBER(AD74),AD74&gt;0.8*'Ratio_M+Cl'!X67,AD74&lt;1.2*'Ratio_M+Cl'!X67),AD106/'Ratio_M+Cl'!X99,IF(OR(AD106="N/A",AD138="N/A"),"N/A",""))</f>
        <v/>
      </c>
      <c r="AE43" s="177" t="str">
        <f>IF(AND(ISNUMBER(AE74),AE74&gt;0.8*'Ratio_M+Cl'!Y67,AE74&lt;1.2*'Ratio_M+Cl'!Y67),AE106/'Ratio_M+Cl'!Y99,IF(OR(AE106="N/A",AE138="N/A"),"N/A",""))</f>
        <v/>
      </c>
      <c r="AF43" s="177" t="str">
        <f>IF(AND(ISNUMBER(AF74),AF74&gt;0.8*'Ratio_M+Cl'!Z67,AF74&lt;1.2*'Ratio_M+Cl'!Z67),AF106/'Ratio_M+Cl'!Z99,IF(OR(AF106="N/A",AF138="N/A"),"N/A",""))</f>
        <v/>
      </c>
      <c r="AG43" s="177" t="str">
        <f>IF(AND(ISNUMBER(AG74),AG74&gt;0.8*'Ratio_M+Cl'!AA67,AG74&lt;1.2*'Ratio_M+Cl'!AA67),AG106/'Ratio_M+Cl'!AA99,IF(OR(AG106="N/A",AG138="N/A"),"N/A",""))</f>
        <v/>
      </c>
      <c r="AH43" s="177" t="str">
        <f>IF(AND(ISNUMBER(AH74),AH74&gt;0.8*'Ratio_M+Cl'!AB67,AH74&lt;1.2*'Ratio_M+Cl'!AB67),AH106/'Ratio_M+Cl'!AB99,IF(OR(AH106="N/A",AH138="N/A"),"N/A",""))</f>
        <v/>
      </c>
      <c r="AI43" s="180" t="str">
        <f>IF(AND(ISNUMBER(AI74),AI74&gt;0.8*'Ratio_M+Cl'!AC67,AI74&lt;1.2*'Ratio_M+Cl'!AC67),AI106/'Ratio_M+Cl'!AC99,IF(OR(AI106="N/A",AI138="N/A"),"N/A",""))</f>
        <v/>
      </c>
      <c r="AK43" s="158" t="s">
        <v>1011</v>
      </c>
      <c r="AL43" s="177" t="str">
        <f>IF(ISNUMBER(I43),I43*10^6/$AF$3,"")</f>
        <v/>
      </c>
      <c r="AM43" s="177" t="str">
        <f t="shared" ref="AM43:BB58" si="0">IF(ISNUMBER(J43),J43*10^6/$AF$3,"")</f>
        <v/>
      </c>
      <c r="AN43" s="177" t="str">
        <f t="shared" si="0"/>
        <v/>
      </c>
      <c r="AO43" s="177" t="str">
        <f t="shared" si="0"/>
        <v/>
      </c>
      <c r="AP43" s="177" t="str">
        <f t="shared" si="0"/>
        <v/>
      </c>
      <c r="AQ43" s="177" t="str">
        <f t="shared" si="0"/>
        <v/>
      </c>
      <c r="AR43" s="177" t="str">
        <f t="shared" si="0"/>
        <v/>
      </c>
      <c r="AS43" s="177" t="str">
        <f t="shared" si="0"/>
        <v/>
      </c>
      <c r="AT43" s="177" t="str">
        <f t="shared" si="0"/>
        <v/>
      </c>
      <c r="AU43" s="177" t="str">
        <f t="shared" si="0"/>
        <v/>
      </c>
      <c r="AV43" s="177" t="str">
        <f t="shared" si="0"/>
        <v/>
      </c>
      <c r="AW43" s="177" t="str">
        <f t="shared" si="0"/>
        <v/>
      </c>
      <c r="AX43" s="177" t="str">
        <f t="shared" si="0"/>
        <v/>
      </c>
      <c r="AY43" s="177" t="str">
        <f t="shared" si="0"/>
        <v/>
      </c>
      <c r="AZ43" s="177" t="str">
        <f t="shared" si="0"/>
        <v/>
      </c>
      <c r="BA43" s="177" t="str">
        <f t="shared" si="0"/>
        <v/>
      </c>
      <c r="BB43" s="177" t="str">
        <f t="shared" si="0"/>
        <v/>
      </c>
      <c r="BC43" s="177" t="str">
        <f t="shared" ref="BC43:BL58" si="1">IF(ISNUMBER(Z43),Z43*10^6/$AF$3,"")</f>
        <v/>
      </c>
      <c r="BD43" s="177" t="str">
        <f t="shared" si="1"/>
        <v/>
      </c>
      <c r="BE43" s="177" t="str">
        <f t="shared" si="1"/>
        <v/>
      </c>
      <c r="BF43" s="177" t="str">
        <f t="shared" si="1"/>
        <v/>
      </c>
      <c r="BG43" s="177" t="str">
        <f t="shared" si="1"/>
        <v/>
      </c>
      <c r="BH43" s="177" t="str">
        <f t="shared" si="1"/>
        <v/>
      </c>
      <c r="BI43" s="177" t="str">
        <f t="shared" si="1"/>
        <v/>
      </c>
      <c r="BJ43" s="177" t="str">
        <f t="shared" si="1"/>
        <v/>
      </c>
      <c r="BK43" s="177" t="str">
        <f t="shared" si="1"/>
        <v/>
      </c>
      <c r="BL43" s="177" t="str">
        <f t="shared" si="1"/>
        <v/>
      </c>
    </row>
    <row r="44" spans="1:64" ht="15.75" x14ac:dyDescent="0.3">
      <c r="A44" s="150">
        <v>39</v>
      </c>
      <c r="B44" s="10" t="s">
        <v>41</v>
      </c>
      <c r="C44">
        <v>203403852.24139801</v>
      </c>
      <c r="E44" s="10" t="s">
        <v>362</v>
      </c>
      <c r="F44" s="151">
        <f>IF(ISNUMBER(M47),M47/SUM($I$43:$AI$71),0)</f>
        <v>1.8185696103133121E-2</v>
      </c>
      <c r="H44" s="159" t="s">
        <v>321</v>
      </c>
      <c r="I44" s="181" t="str">
        <f>IF(AND(ISNUMBER(I75),I75&gt;0.8*'Ratio_M+Cl'!C68,I75&lt;1.2*'Ratio_M+Cl'!C68),I107/'Ratio_M+Cl'!C100,IF(OR(I107="N/A",I139="N/A"),"N/A",""))</f>
        <v/>
      </c>
      <c r="J44" s="181" t="str">
        <f>IF(AND(ISNUMBER(J75),J75&gt;0.8*'Ratio_M+Cl'!D68,J75&lt;1.2*'Ratio_M+Cl'!D68),J107/'Ratio_M+Cl'!D100,IF(OR(J107="N/A",J139="N/A"),"N/A",""))</f>
        <v/>
      </c>
      <c r="K44" s="181" t="str">
        <f>IF(AND(ISNUMBER(K75),K75&gt;0.8*'Ratio_M+Cl'!E68,K75&lt;1.2*'Ratio_M+Cl'!E68),K107/'Ratio_M+Cl'!E100,IF(OR(K107="N/A",K139="N/A"),"N/A",""))</f>
        <v/>
      </c>
      <c r="L44" s="181" t="str">
        <f>IF(AND(ISNUMBER(L75),L75&gt;0.8*'Ratio_M+Cl'!F68,L75&lt;1.2*'Ratio_M+Cl'!F68),L107/'Ratio_M+Cl'!F100,IF(OR(L107="N/A",L139="N/A"),"N/A",""))</f>
        <v/>
      </c>
      <c r="M44" s="181" t="str">
        <f>IF(AND(ISNUMBER(M75),M75&gt;0.8*'Ratio_M+Cl'!G68,M75&lt;1.2*'Ratio_M+Cl'!G68),M107/'Ratio_M+Cl'!G100,IF(OR(M107="N/A",M139="N/A"),"N/A",""))</f>
        <v/>
      </c>
      <c r="N44" s="182" t="str">
        <f>IF(AND(ISNUMBER(N75),N75&gt;0.8*'Ratio_M+Cl'!H68,N75&lt;1.2*'Ratio_M+Cl'!H68),N107/'Ratio_M+Cl'!H100,IF(OR(N107="N/A",N139="N/A"),"N/A",""))</f>
        <v/>
      </c>
      <c r="O44" s="183" t="str">
        <f>IF(AND(ISNUMBER(O75),O75&gt;0.8*'Ratio_M+Cl'!I68,O75&lt;1.2*'Ratio_M+Cl'!I68),O107/'Ratio_M+Cl'!I100,IF(OR(O107="N/A",O139="N/A"),"N/A",""))</f>
        <v/>
      </c>
      <c r="P44" s="184" t="str">
        <f>IF(AND(ISNUMBER(P75),P75&gt;0.8*'Ratio_M+Cl'!J68,P75&lt;1.2*'Ratio_M+Cl'!J68),P107/'Ratio_M+Cl'!J100,IF(OR(P107="N/A",P139="N/A"),"N/A",""))</f>
        <v/>
      </c>
      <c r="Q44" s="183" t="str">
        <f>IF(AND(ISNUMBER(Q75),Q75&gt;0.8*'Ratio_M+Cl'!K68,Q75&lt;1.2*'Ratio_M+Cl'!K68),Q107/'Ratio_M+Cl'!K100,IF(OR(Q107="N/A",Q139="N/A"),"N/A",""))</f>
        <v/>
      </c>
      <c r="R44" s="183" t="str">
        <f>IF(AND(ISNUMBER(R75),R75&gt;0.8*'Ratio_M+Cl'!L68,R75&lt;1.2*'Ratio_M+Cl'!L68),R107/'Ratio_M+Cl'!L100,IF(OR(R107="N/A",R139="N/A"),"N/A",""))</f>
        <v/>
      </c>
      <c r="S44" s="183" t="str">
        <f>IF(AND(ISNUMBER(S75),S75&gt;0.8*'Ratio_M+Cl'!M68,S75&lt;1.2*'Ratio_M+Cl'!M68),S107/'Ratio_M+Cl'!M100,IF(OR(S107="N/A",S139="N/A"),"N/A",""))</f>
        <v/>
      </c>
      <c r="T44" s="183" t="str">
        <f>IF(AND(ISNUMBER(T75),T75&gt;0.8*'Ratio_M+Cl'!N68,T75&lt;1.2*'Ratio_M+Cl'!N68),T107/'Ratio_M+Cl'!N100,IF(OR(T107="N/A",T139="N/A"),"N/A",""))</f>
        <v/>
      </c>
      <c r="U44" s="183" t="str">
        <f>IF(AND(ISNUMBER(U75),U75&gt;0.8*'Ratio_M+Cl'!O68,U75&lt;1.2*'Ratio_M+Cl'!O68),U107/'Ratio_M+Cl'!O100,IF(OR(U107="N/A",U139="N/A"),"N/A",""))</f>
        <v/>
      </c>
      <c r="V44" s="183" t="str">
        <f>IF(AND(ISNUMBER(V75),V75&gt;0.8*'Ratio_M+Cl'!P68,V75&lt;1.2*'Ratio_M+Cl'!P68),V107/'Ratio_M+Cl'!P100,IF(OR(V107="N/A",V139="N/A"),"N/A",""))</f>
        <v/>
      </c>
      <c r="W44" s="183" t="str">
        <f>IF(AND(ISNUMBER(W75),W75&gt;0.8*'Ratio_M+Cl'!Q68,W75&lt;1.2*'Ratio_M+Cl'!Q68),W107/'Ratio_M+Cl'!Q100,IF(OR(W107="N/A",W139="N/A"),"N/A",""))</f>
        <v/>
      </c>
      <c r="X44" s="183" t="str">
        <f>IF(AND(ISNUMBER(X75),X75&gt;0.8*'Ratio_M+Cl'!R68,X75&lt;1.2*'Ratio_M+Cl'!R68),X107/'Ratio_M+Cl'!R100,IF(OR(X107="N/A",X139="N/A"),"N/A",""))</f>
        <v/>
      </c>
      <c r="Y44" s="183" t="str">
        <f>IF(AND(ISNUMBER(Y75),Y75&gt;0.8*'Ratio_M+Cl'!S68,Y75&lt;1.2*'Ratio_M+Cl'!S68),Y107/'Ratio_M+Cl'!S100,IF(OR(Y107="N/A",Y139="N/A"),"N/A",""))</f>
        <v/>
      </c>
      <c r="Z44" s="183" t="str">
        <f>IF(AND(ISNUMBER(Z75),Z75&gt;0.8*'Ratio_M+Cl'!T68,Z75&lt;1.2*'Ratio_M+Cl'!T68),Z107/'Ratio_M+Cl'!T100,IF(OR(Z107="N/A",Z139="N/A"),"N/A",""))</f>
        <v/>
      </c>
      <c r="AA44" s="183" t="str">
        <f>IF(AND(ISNUMBER(AA75),AA75&gt;0.8*'Ratio_M+Cl'!U68,AA75&lt;1.2*'Ratio_M+Cl'!U68),AA107/'Ratio_M+Cl'!U100,IF(OR(AA107="N/A",AA139="N/A"),"N/A",""))</f>
        <v/>
      </c>
      <c r="AB44" s="183" t="str">
        <f>IF(AND(ISNUMBER(AB75),AB75&gt;0.8*'Ratio_M+Cl'!V68,AB75&lt;1.2*'Ratio_M+Cl'!V68),AB107/'Ratio_M+Cl'!V100,IF(OR(AB107="N/A",AB139="N/A"),"N/A",""))</f>
        <v/>
      </c>
      <c r="AC44" s="183" t="str">
        <f>IF(AND(ISNUMBER(AC75),AC75&gt;0.8*'Ratio_M+Cl'!W68,AC75&lt;1.2*'Ratio_M+Cl'!W68),AC107/'Ratio_M+Cl'!W100,IF(OR(AC107="N/A",AC139="N/A"),"N/A",""))</f>
        <v/>
      </c>
      <c r="AD44" s="183" t="str">
        <f>IF(AND(ISNUMBER(AD75),AD75&gt;0.8*'Ratio_M+Cl'!X68,AD75&lt;1.2*'Ratio_M+Cl'!X68),AD107/'Ratio_M+Cl'!X100,IF(OR(AD107="N/A",AD139="N/A"),"N/A",""))</f>
        <v/>
      </c>
      <c r="AE44" s="183" t="str">
        <f>IF(AND(ISNUMBER(AE75),AE75&gt;0.8*'Ratio_M+Cl'!Y68,AE75&lt;1.2*'Ratio_M+Cl'!Y68),AE107/'Ratio_M+Cl'!Y100,IF(OR(AE107="N/A",AE139="N/A"),"N/A",""))</f>
        <v/>
      </c>
      <c r="AF44" s="183" t="str">
        <f>IF(AND(ISNUMBER(AF75),AF75&gt;0.8*'Ratio_M+Cl'!Z68,AF75&lt;1.2*'Ratio_M+Cl'!Z68),AF107/'Ratio_M+Cl'!Z100,IF(OR(AF107="N/A",AF139="N/A"),"N/A",""))</f>
        <v/>
      </c>
      <c r="AG44" s="183" t="str">
        <f>IF(AND(ISNUMBER(AG75),AG75&gt;0.8*'Ratio_M+Cl'!AA68,AG75&lt;1.2*'Ratio_M+Cl'!AA68),AG107/'Ratio_M+Cl'!AA100,IF(OR(AG107="N/A",AG139="N/A"),"N/A",""))</f>
        <v/>
      </c>
      <c r="AH44" s="183" t="str">
        <f>IF(AND(ISNUMBER(AH75),AH75&gt;0.8*'Ratio_M+Cl'!AB68,AH75&lt;1.2*'Ratio_M+Cl'!AB68),AH107/'Ratio_M+Cl'!AB100,IF(OR(AH107="N/A",AH139="N/A"),"N/A",""))</f>
        <v/>
      </c>
      <c r="AI44" s="183" t="str">
        <f>IF(AND(ISNUMBER(AI75),AI75&gt;0.8*'Ratio_M+Cl'!AC68,AI75&lt;1.2*'Ratio_M+Cl'!AC68),AI107/'Ratio_M+Cl'!AC100,IF(OR(AI107="N/A",AI139="N/A"),"N/A",""))</f>
        <v/>
      </c>
      <c r="AK44" s="159" t="s">
        <v>321</v>
      </c>
      <c r="AL44" s="177" t="str">
        <f t="shared" ref="AL44:BA70" si="2">IF(ISNUMBER(I44),I44*10^6/$AF$3,"")</f>
        <v/>
      </c>
      <c r="AM44" s="177" t="str">
        <f t="shared" si="0"/>
        <v/>
      </c>
      <c r="AN44" s="177" t="str">
        <f t="shared" si="0"/>
        <v/>
      </c>
      <c r="AO44" s="177" t="str">
        <f t="shared" si="0"/>
        <v/>
      </c>
      <c r="AP44" s="177" t="str">
        <f t="shared" si="0"/>
        <v/>
      </c>
      <c r="AQ44" s="177" t="str">
        <f t="shared" si="0"/>
        <v/>
      </c>
      <c r="AR44" s="177" t="str">
        <f t="shared" si="0"/>
        <v/>
      </c>
      <c r="AS44" s="177" t="str">
        <f t="shared" si="0"/>
        <v/>
      </c>
      <c r="AT44" s="177" t="str">
        <f t="shared" si="0"/>
        <v/>
      </c>
      <c r="AU44" s="177" t="str">
        <f t="shared" si="0"/>
        <v/>
      </c>
      <c r="AV44" s="177" t="str">
        <f t="shared" si="0"/>
        <v/>
      </c>
      <c r="AW44" s="177" t="str">
        <f t="shared" si="0"/>
        <v/>
      </c>
      <c r="AX44" s="177" t="str">
        <f t="shared" si="0"/>
        <v/>
      </c>
      <c r="AY44" s="177" t="str">
        <f t="shared" si="0"/>
        <v/>
      </c>
      <c r="AZ44" s="177" t="str">
        <f t="shared" si="0"/>
        <v/>
      </c>
      <c r="BA44" s="177" t="str">
        <f t="shared" si="0"/>
        <v/>
      </c>
      <c r="BB44" s="177" t="str">
        <f t="shared" si="0"/>
        <v/>
      </c>
      <c r="BC44" s="177" t="str">
        <f t="shared" si="1"/>
        <v/>
      </c>
      <c r="BD44" s="177" t="str">
        <f t="shared" si="1"/>
        <v/>
      </c>
      <c r="BE44" s="177" t="str">
        <f t="shared" si="1"/>
        <v/>
      </c>
      <c r="BF44" s="177" t="str">
        <f t="shared" si="1"/>
        <v/>
      </c>
      <c r="BG44" s="177" t="str">
        <f t="shared" si="1"/>
        <v/>
      </c>
      <c r="BH44" s="177" t="str">
        <f t="shared" si="1"/>
        <v/>
      </c>
      <c r="BI44" s="177" t="str">
        <f t="shared" si="1"/>
        <v/>
      </c>
      <c r="BJ44" s="177" t="str">
        <f t="shared" si="1"/>
        <v/>
      </c>
      <c r="BK44" s="177" t="str">
        <f t="shared" si="1"/>
        <v/>
      </c>
      <c r="BL44" s="177" t="str">
        <f t="shared" si="1"/>
        <v/>
      </c>
    </row>
    <row r="45" spans="1:64" ht="15.75" x14ac:dyDescent="0.3">
      <c r="A45" s="150">
        <v>40</v>
      </c>
      <c r="B45" s="10" t="s">
        <v>42</v>
      </c>
      <c r="C45">
        <v>153990002.249771</v>
      </c>
      <c r="E45" s="10" t="s">
        <v>363</v>
      </c>
      <c r="F45" s="151">
        <f>IF(ISNUMBER(N47),N47/SUM($I$43:$AI$71),0)</f>
        <v>7.6468663187855435E-3</v>
      </c>
      <c r="H45" s="160" t="s">
        <v>10</v>
      </c>
      <c r="I45" s="183" t="str">
        <f>IF(AND(ISNUMBER(I76),I76&gt;0.8*'Ratio_M+Cl'!C69,I76&lt;1.2*'Ratio_M+Cl'!C69),I108/'Ratio_M+Cl'!C101,IF(OR(I108="N/A",I140="N/A"),"N/A",""))</f>
        <v/>
      </c>
      <c r="J45" s="183">
        <f>IF(AND(ISNUMBER(J76),J76&gt;0.8*'Ratio_M+Cl'!D69,J76&lt;1.2*'Ratio_M+Cl'!D69),J108/'Ratio_M+Cl'!D101,IF(OR(J108="N/A",J140="N/A"),"N/A",""))</f>
        <v>139.0161213489157</v>
      </c>
      <c r="K45" s="180">
        <f>IF(AND(ISNUMBER(K76),K76&gt;0.8*'Ratio_M+Cl'!E69,K76&lt;1.2*'Ratio_M+Cl'!E69),K108/'Ratio_M+Cl'!E101,IF(OR(K108="N/A",K140="N/A"),"N/A",""))</f>
        <v>842.51181394728053</v>
      </c>
      <c r="L45" s="180">
        <f>IF(AND(ISNUMBER(L76),L76&gt;0.8*'Ratio_M+Cl'!F69,L76&lt;1.2*'Ratio_M+Cl'!F69),L108/'Ratio_M+Cl'!F101,IF(OR(L108="N/A",L140="N/A"),"N/A",""))</f>
        <v>720.59942751611891</v>
      </c>
      <c r="M45" s="180">
        <f>IF(AND(ISNUMBER(M76),M76&gt;0.8*'Ratio_M+Cl'!G69,M76&lt;1.2*'Ratio_M+Cl'!G69),M108/'Ratio_M+Cl'!G101,IF(OR(M108="N/A",M140="N/A"),"N/A",""))</f>
        <v>749.50628282965442</v>
      </c>
      <c r="N45" s="183">
        <f>IF(AND(ISNUMBER(N76),N76&gt;0.8*'Ratio_M+Cl'!H69,N76&lt;1.2*'Ratio_M+Cl'!H69),N108/'Ratio_M+Cl'!H101,IF(OR(N108="N/A",N140="N/A"),"N/A",""))</f>
        <v>1355.0052037909493</v>
      </c>
      <c r="O45" s="185">
        <f>IF(AND(ISNUMBER(O76),O76&gt;0.8*'Ratio_M+Cl'!I69,O76&lt;1.2*'Ratio_M+Cl'!I69),O108/'Ratio_M+Cl'!I101,IF(OR(O108="N/A",O140="N/A"),"N/A",""))</f>
        <v>951.81582124406725</v>
      </c>
      <c r="P45" s="183">
        <f>IF(AND(ISNUMBER(P76),P76&gt;0.8*'Ratio_M+Cl'!J69,P76&lt;1.2*'Ratio_M+Cl'!J69),P108/'Ratio_M+Cl'!J101,IF(OR(P108="N/A",P140="N/A"),"N/A",""))</f>
        <v>267.91923114872435</v>
      </c>
      <c r="Q45" s="184" t="str">
        <f>IF(AND(ISNUMBER(Q76),Q76&gt;0.8*'Ratio_M+Cl'!K69,Q76&lt;1.2*'Ratio_M+Cl'!K69),Q108/'Ratio_M+Cl'!K101,IF(OR(Q108="N/A",Q140="N/A"),"N/A",""))</f>
        <v/>
      </c>
      <c r="R45" s="183" t="str">
        <f>IF(AND(ISNUMBER(R76),R76&gt;0.8*'Ratio_M+Cl'!L69,R76&lt;1.2*'Ratio_M+Cl'!L69),R108/'Ratio_M+Cl'!L101,IF(OR(R108="N/A",R140="N/A"),"N/A",""))</f>
        <v/>
      </c>
      <c r="S45" s="183" t="str">
        <f>IF(AND(ISNUMBER(S76),S76&gt;0.8*'Ratio_M+Cl'!M69,S76&lt;1.2*'Ratio_M+Cl'!M69),S108/'Ratio_M+Cl'!M101,IF(OR(S108="N/A",S140="N/A"),"N/A",""))</f>
        <v/>
      </c>
      <c r="T45" s="183" t="str">
        <f>IF(AND(ISNUMBER(T76),T76&gt;0.8*'Ratio_M+Cl'!N69,T76&lt;1.2*'Ratio_M+Cl'!N69),T108/'Ratio_M+Cl'!N101,IF(OR(T108="N/A",T140="N/A"),"N/A",""))</f>
        <v/>
      </c>
      <c r="U45" s="183" t="str">
        <f>IF(AND(ISNUMBER(U76),U76&gt;0.8*'Ratio_M+Cl'!O69,U76&lt;1.2*'Ratio_M+Cl'!O69),U108/'Ratio_M+Cl'!O101,IF(OR(U108="N/A",U140="N/A"),"N/A",""))</f>
        <v/>
      </c>
      <c r="V45" s="183" t="str">
        <f>IF(AND(ISNUMBER(V76),V76&gt;0.8*'Ratio_M+Cl'!P69,V76&lt;1.2*'Ratio_M+Cl'!P69),V108/'Ratio_M+Cl'!P101,IF(OR(V108="N/A",V140="N/A"),"N/A",""))</f>
        <v/>
      </c>
      <c r="W45" s="183" t="str">
        <f>IF(AND(ISNUMBER(W76),W76&gt;0.8*'Ratio_M+Cl'!Q69,W76&lt;1.2*'Ratio_M+Cl'!Q69),W108/'Ratio_M+Cl'!Q101,IF(OR(W108="N/A",W140="N/A"),"N/A",""))</f>
        <v/>
      </c>
      <c r="X45" s="183" t="str">
        <f>IF(AND(ISNUMBER(X76),X76&gt;0.8*'Ratio_M+Cl'!R69,X76&lt;1.2*'Ratio_M+Cl'!R69),X108/'Ratio_M+Cl'!R101,IF(OR(X108="N/A",X140="N/A"),"N/A",""))</f>
        <v/>
      </c>
      <c r="Y45" s="183" t="str">
        <f>IF(AND(ISNUMBER(Y76),Y76&gt;0.8*'Ratio_M+Cl'!S69,Y76&lt;1.2*'Ratio_M+Cl'!S69),Y108/'Ratio_M+Cl'!S101,IF(OR(Y108="N/A",Y140="N/A"),"N/A",""))</f>
        <v/>
      </c>
      <c r="Z45" s="183" t="str">
        <f>IF(AND(ISNUMBER(Z76),Z76&gt;0.8*'Ratio_M+Cl'!T69,Z76&lt;1.2*'Ratio_M+Cl'!T69),Z108/'Ratio_M+Cl'!T101,IF(OR(Z108="N/A",Z140="N/A"),"N/A",""))</f>
        <v/>
      </c>
      <c r="AA45" s="183" t="str">
        <f>IF(AND(ISNUMBER(AA76),AA76&gt;0.8*'Ratio_M+Cl'!U69,AA76&lt;1.2*'Ratio_M+Cl'!U69),AA108/'Ratio_M+Cl'!U101,IF(OR(AA108="N/A",AA140="N/A"),"N/A",""))</f>
        <v/>
      </c>
      <c r="AB45" s="183" t="str">
        <f>IF(AND(ISNUMBER(AB76),AB76&gt;0.8*'Ratio_M+Cl'!V69,AB76&lt;1.2*'Ratio_M+Cl'!V69),AB108/'Ratio_M+Cl'!V101,IF(OR(AB108="N/A",AB140="N/A"),"N/A",""))</f>
        <v/>
      </c>
      <c r="AC45" s="183" t="str">
        <f>IF(AND(ISNUMBER(AC76),AC76&gt;0.8*'Ratio_M+Cl'!W69,AC76&lt;1.2*'Ratio_M+Cl'!W69),AC108/'Ratio_M+Cl'!W101,IF(OR(AC108="N/A",AC140="N/A"),"N/A",""))</f>
        <v/>
      </c>
      <c r="AD45" s="183" t="str">
        <f>IF(AND(ISNUMBER(AD76),AD76&gt;0.8*'Ratio_M+Cl'!X69,AD76&lt;1.2*'Ratio_M+Cl'!X69),AD108/'Ratio_M+Cl'!X101,IF(OR(AD108="N/A",AD140="N/A"),"N/A",""))</f>
        <v/>
      </c>
      <c r="AE45" s="183" t="str">
        <f>IF(AND(ISNUMBER(AE76),AE76&gt;0.8*'Ratio_M+Cl'!Y69,AE76&lt;1.2*'Ratio_M+Cl'!Y69),AE108/'Ratio_M+Cl'!Y101,IF(OR(AE108="N/A",AE140="N/A"),"N/A",""))</f>
        <v/>
      </c>
      <c r="AF45" s="183" t="str">
        <f>IF(AND(ISNUMBER(AF76),AF76&gt;0.8*'Ratio_M+Cl'!Z69,AF76&lt;1.2*'Ratio_M+Cl'!Z69),AF108/'Ratio_M+Cl'!Z101,IF(OR(AF108="N/A",AF140="N/A"),"N/A",""))</f>
        <v/>
      </c>
      <c r="AG45" s="183" t="str">
        <f>IF(AND(ISNUMBER(AG76),AG76&gt;0.8*'Ratio_M+Cl'!AA69,AG76&lt;1.2*'Ratio_M+Cl'!AA69),AG108/'Ratio_M+Cl'!AA101,IF(OR(AG108="N/A",AG140="N/A"),"N/A",""))</f>
        <v/>
      </c>
      <c r="AH45" s="183" t="str">
        <f>IF(AND(ISNUMBER(AH76),AH76&gt;0.8*'Ratio_M+Cl'!AB69,AH76&lt;1.2*'Ratio_M+Cl'!AB69),AH108/'Ratio_M+Cl'!AB101,IF(OR(AH108="N/A",AH140="N/A"),"N/A",""))</f>
        <v/>
      </c>
      <c r="AI45" s="183" t="str">
        <f>IF(AND(ISNUMBER(AI76),AI76&gt;0.8*'Ratio_M+Cl'!AC69,AI76&lt;1.2*'Ratio_M+Cl'!AC69),AI108/'Ratio_M+Cl'!AC101,IF(OR(AI108="N/A",AI140="N/A"),"N/A",""))</f>
        <v/>
      </c>
      <c r="AK45" s="160" t="s">
        <v>10</v>
      </c>
      <c r="AL45" s="177" t="str">
        <f t="shared" si="2"/>
        <v/>
      </c>
      <c r="AM45" s="177">
        <f t="shared" si="0"/>
        <v>0.34339314985794916</v>
      </c>
      <c r="AN45" s="177">
        <f t="shared" si="0"/>
        <v>2.0811455734529285</v>
      </c>
      <c r="AO45" s="177">
        <f t="shared" si="0"/>
        <v>1.78000151924484</v>
      </c>
      <c r="AP45" s="177">
        <f t="shared" si="0"/>
        <v>1.8514063031093584</v>
      </c>
      <c r="AQ45" s="177">
        <f t="shared" si="0"/>
        <v>3.3470902546319361</v>
      </c>
      <c r="AR45" s="177">
        <f t="shared" si="0"/>
        <v>2.3511448152209597</v>
      </c>
      <c r="AS45" s="177">
        <f t="shared" si="0"/>
        <v>0.66180546399195028</v>
      </c>
      <c r="AT45" s="177" t="str">
        <f t="shared" si="0"/>
        <v/>
      </c>
      <c r="AU45" s="177" t="str">
        <f t="shared" si="0"/>
        <v/>
      </c>
      <c r="AV45" s="177" t="str">
        <f t="shared" si="0"/>
        <v/>
      </c>
      <c r="AW45" s="177" t="str">
        <f t="shared" si="0"/>
        <v/>
      </c>
      <c r="AX45" s="177" t="str">
        <f t="shared" si="0"/>
        <v/>
      </c>
      <c r="AY45" s="177" t="str">
        <f t="shared" si="0"/>
        <v/>
      </c>
      <c r="AZ45" s="177" t="str">
        <f t="shared" si="0"/>
        <v/>
      </c>
      <c r="BA45" s="177" t="str">
        <f t="shared" si="0"/>
        <v/>
      </c>
      <c r="BB45" s="177" t="str">
        <f t="shared" si="0"/>
        <v/>
      </c>
      <c r="BC45" s="177" t="str">
        <f t="shared" si="1"/>
        <v/>
      </c>
      <c r="BD45" s="177" t="str">
        <f t="shared" si="1"/>
        <v/>
      </c>
      <c r="BE45" s="177" t="str">
        <f t="shared" si="1"/>
        <v/>
      </c>
      <c r="BF45" s="177" t="str">
        <f t="shared" si="1"/>
        <v/>
      </c>
      <c r="BG45" s="177" t="str">
        <f t="shared" si="1"/>
        <v/>
      </c>
      <c r="BH45" s="177" t="str">
        <f t="shared" si="1"/>
        <v/>
      </c>
      <c r="BI45" s="177" t="str">
        <f t="shared" si="1"/>
        <v/>
      </c>
      <c r="BJ45" s="177" t="str">
        <f t="shared" si="1"/>
        <v/>
      </c>
      <c r="BK45" s="177" t="str">
        <f t="shared" si="1"/>
        <v/>
      </c>
      <c r="BL45" s="177" t="str">
        <f t="shared" si="1"/>
        <v/>
      </c>
    </row>
    <row r="46" spans="1:64" ht="15.75" x14ac:dyDescent="0.3">
      <c r="A46" s="150">
        <v>41</v>
      </c>
      <c r="B46" s="10" t="s">
        <v>43</v>
      </c>
      <c r="C46">
        <v>347952409.69208503</v>
      </c>
      <c r="E46" s="10" t="s">
        <v>364</v>
      </c>
      <c r="F46" s="151">
        <f>IF(ISNUMBER(O47),O47/SUM($I$43:$AI$71),0)</f>
        <v>1.3399265920928948E-2</v>
      </c>
      <c r="H46" s="160" t="s">
        <v>11</v>
      </c>
      <c r="I46" s="183" t="str">
        <f>IF(AND(ISNUMBER(I77),I77&gt;0.8*'Ratio_M+Cl'!C70,I77&lt;1.2*'Ratio_M+Cl'!C70),I109/'Ratio_M+Cl'!C102,IF(OR(I109="N/A",I141="N/A"),"N/A",""))</f>
        <v/>
      </c>
      <c r="J46" s="183">
        <f>IF(AND(ISNUMBER(J77),J77&gt;0.8*'Ratio_M+Cl'!D70,J77&lt;1.2*'Ratio_M+Cl'!D70),J109/'Ratio_M+Cl'!D102,IF(OR(J109="N/A",J141="N/A"),"N/A",""))</f>
        <v>777.91826302877701</v>
      </c>
      <c r="K46" s="180">
        <f>IF(AND(ISNUMBER(K77),K77&gt;0.8*'Ratio_M+Cl'!E70,K77&lt;1.2*'Ratio_M+Cl'!E70),K109/'Ratio_M+Cl'!E102,IF(OR(K109="N/A",K141="N/A"),"N/A",""))</f>
        <v>5256.8421114073535</v>
      </c>
      <c r="L46" s="180">
        <f>IF(AND(ISNUMBER(L77),L77&gt;0.8*'Ratio_M+Cl'!F70,L77&lt;1.2*'Ratio_M+Cl'!F70),L109/'Ratio_M+Cl'!F102,IF(OR(L109="N/A",L141="N/A"),"N/A",""))</f>
        <v>5642.2711031853196</v>
      </c>
      <c r="M46" s="180">
        <f>IF(AND(ISNUMBER(M77),M77&gt;0.8*'Ratio_M+Cl'!G70,M77&lt;1.2*'Ratio_M+Cl'!G70),M109/'Ratio_M+Cl'!G102,IF(OR(M109="N/A",M141="N/A"),"N/A",""))</f>
        <v>2310.0130449040676</v>
      </c>
      <c r="N46" s="183">
        <f>IF(AND(ISNUMBER(N77),N77&gt;0.8*'Ratio_M+Cl'!H70,N77&lt;1.2*'Ratio_M+Cl'!H70),N109/'Ratio_M+Cl'!H102,IF(OR(N109="N/A",N141="N/A"),"N/A",""))</f>
        <v>2315.7560747119196</v>
      </c>
      <c r="O46" s="183">
        <f>IF(AND(ISNUMBER(O77),O77&gt;0.8*'Ratio_M+Cl'!I70,O77&lt;1.2*'Ratio_M+Cl'!I70),O109/'Ratio_M+Cl'!I102,IF(OR(O109="N/A",O141="N/A"),"N/A",""))</f>
        <v>3866.5624162063132</v>
      </c>
      <c r="P46" s="185">
        <f>IF(AND(ISNUMBER(P77),P77&gt;0.8*'Ratio_M+Cl'!J70,P77&lt;1.2*'Ratio_M+Cl'!J70),P109/'Ratio_M+Cl'!J102,IF(OR(P109="N/A",P141="N/A"),"N/A",""))</f>
        <v>2759.2024438197509</v>
      </c>
      <c r="Q46" s="183">
        <f>IF(AND(ISNUMBER(Q77),Q77&gt;0.8*'Ratio_M+Cl'!K70,Q77&lt;1.2*'Ratio_M+Cl'!K70),Q109/'Ratio_M+Cl'!K102,IF(OR(Q109="N/A",Q141="N/A"),"N/A",""))</f>
        <v>660.46285795613198</v>
      </c>
      <c r="R46" s="184">
        <f>IF(AND(ISNUMBER(R77),R77&gt;0.8*'Ratio_M+Cl'!L70,R77&lt;1.2*'Ratio_M+Cl'!L70),R109/'Ratio_M+Cl'!L102,IF(OR(R109="N/A",R141="N/A"),"N/A",""))</f>
        <v>58.823528940767446</v>
      </c>
      <c r="S46" s="183" t="str">
        <f>IF(AND(ISNUMBER(S77),S77&gt;0.8*'Ratio_M+Cl'!M70,S77&lt;1.2*'Ratio_M+Cl'!M70),S109/'Ratio_M+Cl'!M102,IF(OR(S109="N/A",S141="N/A"),"N/A",""))</f>
        <v/>
      </c>
      <c r="T46" s="183" t="str">
        <f>IF(AND(ISNUMBER(T77),T77&gt;0.8*'Ratio_M+Cl'!N70,T77&lt;1.2*'Ratio_M+Cl'!N70),T109/'Ratio_M+Cl'!N102,IF(OR(T109="N/A",T141="N/A"),"N/A",""))</f>
        <v/>
      </c>
      <c r="U46" s="183" t="str">
        <f>IF(AND(ISNUMBER(U77),U77&gt;0.8*'Ratio_M+Cl'!O70,U77&lt;1.2*'Ratio_M+Cl'!O70),U109/'Ratio_M+Cl'!O102,IF(OR(U109="N/A",U141="N/A"),"N/A",""))</f>
        <v/>
      </c>
      <c r="V46" s="183" t="str">
        <f>IF(AND(ISNUMBER(V77),V77&gt;0.8*'Ratio_M+Cl'!P70,V77&lt;1.2*'Ratio_M+Cl'!P70),V109/'Ratio_M+Cl'!P102,IF(OR(V109="N/A",V141="N/A"),"N/A",""))</f>
        <v/>
      </c>
      <c r="W46" s="183" t="str">
        <f>IF(AND(ISNUMBER(W77),W77&gt;0.8*'Ratio_M+Cl'!Q70,W77&lt;1.2*'Ratio_M+Cl'!Q70),W109/'Ratio_M+Cl'!Q102,IF(OR(W109="N/A",W141="N/A"),"N/A",""))</f>
        <v/>
      </c>
      <c r="X46" s="183" t="str">
        <f>IF(AND(ISNUMBER(X77),X77&gt;0.8*'Ratio_M+Cl'!R70,X77&lt;1.2*'Ratio_M+Cl'!R70),X109/'Ratio_M+Cl'!R102,IF(OR(X109="N/A",X141="N/A"),"N/A",""))</f>
        <v/>
      </c>
      <c r="Y46" s="183" t="str">
        <f>IF(AND(ISNUMBER(Y77),Y77&gt;0.8*'Ratio_M+Cl'!S70,Y77&lt;1.2*'Ratio_M+Cl'!S70),Y109/'Ratio_M+Cl'!S102,IF(OR(Y109="N/A",Y141="N/A"),"N/A",""))</f>
        <v/>
      </c>
      <c r="Z46" s="183" t="str">
        <f>IF(AND(ISNUMBER(Z77),Z77&gt;0.8*'Ratio_M+Cl'!T70,Z77&lt;1.2*'Ratio_M+Cl'!T70),Z109/'Ratio_M+Cl'!T102,IF(OR(Z109="N/A",Z141="N/A"),"N/A",""))</f>
        <v/>
      </c>
      <c r="AA46" s="183" t="str">
        <f>IF(AND(ISNUMBER(AA77),AA77&gt;0.8*'Ratio_M+Cl'!U70,AA77&lt;1.2*'Ratio_M+Cl'!U70),AA109/'Ratio_M+Cl'!U102,IF(OR(AA109="N/A",AA141="N/A"),"N/A",""))</f>
        <v/>
      </c>
      <c r="AB46" s="183" t="str">
        <f>IF(AND(ISNUMBER(AB77),AB77&gt;0.8*'Ratio_M+Cl'!V70,AB77&lt;1.2*'Ratio_M+Cl'!V70),AB109/'Ratio_M+Cl'!V102,IF(OR(AB109="N/A",AB141="N/A"),"N/A",""))</f>
        <v/>
      </c>
      <c r="AC46" s="183" t="str">
        <f>IF(AND(ISNUMBER(AC77),AC77&gt;0.8*'Ratio_M+Cl'!W70,AC77&lt;1.2*'Ratio_M+Cl'!W70),AC109/'Ratio_M+Cl'!W102,IF(OR(AC109="N/A",AC141="N/A"),"N/A",""))</f>
        <v/>
      </c>
      <c r="AD46" s="183" t="str">
        <f>IF(AND(ISNUMBER(AD77),AD77&gt;0.8*'Ratio_M+Cl'!X70,AD77&lt;1.2*'Ratio_M+Cl'!X70),AD109/'Ratio_M+Cl'!X102,IF(OR(AD109="N/A",AD141="N/A"),"N/A",""))</f>
        <v/>
      </c>
      <c r="AE46" s="183" t="str">
        <f>IF(AND(ISNUMBER(AE77),AE77&gt;0.8*'Ratio_M+Cl'!Y70,AE77&lt;1.2*'Ratio_M+Cl'!Y70),AE109/'Ratio_M+Cl'!Y102,IF(OR(AE109="N/A",AE141="N/A"),"N/A",""))</f>
        <v/>
      </c>
      <c r="AF46" s="183" t="str">
        <f>IF(AND(ISNUMBER(AF77),AF77&gt;0.8*'Ratio_M+Cl'!Z70,AF77&lt;1.2*'Ratio_M+Cl'!Z70),AF109/'Ratio_M+Cl'!Z102,IF(OR(AF109="N/A",AF141="N/A"),"N/A",""))</f>
        <v/>
      </c>
      <c r="AG46" s="183" t="str">
        <f>IF(AND(ISNUMBER(AG77),AG77&gt;0.8*'Ratio_M+Cl'!AA70,AG77&lt;1.2*'Ratio_M+Cl'!AA70),AG109/'Ratio_M+Cl'!AA102,IF(OR(AG109="N/A",AG141="N/A"),"N/A",""))</f>
        <v/>
      </c>
      <c r="AH46" s="183" t="str">
        <f>IF(AND(ISNUMBER(AH77),AH77&gt;0.8*'Ratio_M+Cl'!AB70,AH77&lt;1.2*'Ratio_M+Cl'!AB70),AH109/'Ratio_M+Cl'!AB102,IF(OR(AH109="N/A",AH141="N/A"),"N/A",""))</f>
        <v/>
      </c>
      <c r="AI46" s="183" t="str">
        <f>IF(AND(ISNUMBER(AI77),AI77&gt;0.8*'Ratio_M+Cl'!AC70,AI77&lt;1.2*'Ratio_M+Cl'!AC70),AI109/'Ratio_M+Cl'!AC102,IF(OR(AI109="N/A",AI141="N/A"),"N/A",""))</f>
        <v/>
      </c>
      <c r="AK46" s="160" t="s">
        <v>11</v>
      </c>
      <c r="AL46" s="177" t="str">
        <f t="shared" si="2"/>
        <v/>
      </c>
      <c r="AM46" s="177">
        <f t="shared" si="0"/>
        <v>1.921588662389766</v>
      </c>
      <c r="AN46" s="177">
        <f t="shared" si="0"/>
        <v>12.985282235082032</v>
      </c>
      <c r="AO46" s="177">
        <f t="shared" si="0"/>
        <v>13.937356528688714</v>
      </c>
      <c r="AP46" s="177">
        <f t="shared" si="0"/>
        <v>5.7061198946243437</v>
      </c>
      <c r="AQ46" s="177">
        <f t="shared" si="0"/>
        <v>5.7203061420632055</v>
      </c>
      <c r="AR46" s="177">
        <f t="shared" si="0"/>
        <v>9.5510580667902136</v>
      </c>
      <c r="AS46" s="177">
        <f t="shared" si="0"/>
        <v>6.8156930943348133</v>
      </c>
      <c r="AT46" s="177">
        <f t="shared" si="0"/>
        <v>1.6314541001219525</v>
      </c>
      <c r="AU46" s="177">
        <f t="shared" si="0"/>
        <v>0.14530398843477671</v>
      </c>
      <c r="AV46" s="177" t="str">
        <f t="shared" si="0"/>
        <v/>
      </c>
      <c r="AW46" s="177" t="str">
        <f t="shared" si="0"/>
        <v/>
      </c>
      <c r="AX46" s="177" t="str">
        <f t="shared" si="0"/>
        <v/>
      </c>
      <c r="AY46" s="177" t="str">
        <f t="shared" si="0"/>
        <v/>
      </c>
      <c r="AZ46" s="177" t="str">
        <f t="shared" si="0"/>
        <v/>
      </c>
      <c r="BA46" s="177" t="str">
        <f t="shared" si="0"/>
        <v/>
      </c>
      <c r="BB46" s="177" t="str">
        <f t="shared" si="0"/>
        <v/>
      </c>
      <c r="BC46" s="177" t="str">
        <f t="shared" si="1"/>
        <v/>
      </c>
      <c r="BD46" s="177" t="str">
        <f t="shared" si="1"/>
        <v/>
      </c>
      <c r="BE46" s="177" t="str">
        <f t="shared" si="1"/>
        <v/>
      </c>
      <c r="BF46" s="177" t="str">
        <f t="shared" si="1"/>
        <v/>
      </c>
      <c r="BG46" s="177" t="str">
        <f t="shared" si="1"/>
        <v/>
      </c>
      <c r="BH46" s="177" t="str">
        <f t="shared" si="1"/>
        <v/>
      </c>
      <c r="BI46" s="177" t="str">
        <f t="shared" si="1"/>
        <v/>
      </c>
      <c r="BJ46" s="177" t="str">
        <f t="shared" si="1"/>
        <v/>
      </c>
      <c r="BK46" s="177" t="str">
        <f t="shared" si="1"/>
        <v/>
      </c>
      <c r="BL46" s="177" t="str">
        <f t="shared" si="1"/>
        <v/>
      </c>
    </row>
    <row r="47" spans="1:64" ht="15.75" x14ac:dyDescent="0.3">
      <c r="A47" s="150">
        <v>42</v>
      </c>
      <c r="B47" s="10" t="s">
        <v>44</v>
      </c>
      <c r="C47">
        <v>293771607.38832903</v>
      </c>
      <c r="E47" s="10" t="s">
        <v>365</v>
      </c>
      <c r="F47" s="151">
        <f>IF(ISNUMBER(P47),P47/SUM($I$43:$AI$71),0)</f>
        <v>1.8953998069909335E-2</v>
      </c>
      <c r="H47" s="160" t="s">
        <v>12</v>
      </c>
      <c r="I47" s="183" t="str">
        <f>IF(AND(ISNUMBER(I78),I78&gt;0.8*'Ratio_M+Cl'!C71,I78&lt;1.2*'Ratio_M+Cl'!C71),I110/'Ratio_M+Cl'!C103,IF(OR(I110="N/A",I142="N/A"),"N/A",""))</f>
        <v/>
      </c>
      <c r="J47" s="183">
        <f>IF(AND(ISNUMBER(J78),J78&gt;0.8*'Ratio_M+Cl'!D71,J78&lt;1.2*'Ratio_M+Cl'!D71),J110/'Ratio_M+Cl'!D103,IF(OR(J110="N/A",J142="N/A"),"N/A",""))</f>
        <v>663.52224531129184</v>
      </c>
      <c r="K47" s="180">
        <f>IF(AND(ISNUMBER(K78),K78&gt;0.8*'Ratio_M+Cl'!E71,K78&lt;1.2*'Ratio_M+Cl'!E71),K110/'Ratio_M+Cl'!E103,IF(OR(K110="N/A",K142="N/A"),"N/A",""))</f>
        <v>5716.5518908115309</v>
      </c>
      <c r="L47" s="180">
        <f>IF(AND(ISNUMBER(L78),L78&gt;0.8*'Ratio_M+Cl'!F71,L78&lt;1.2*'Ratio_M+Cl'!F71),L110/'Ratio_M+Cl'!F103,IF(OR(L110="N/A",L142="N/A"),"N/A",""))</f>
        <v>9878.359277560201</v>
      </c>
      <c r="M47" s="180">
        <f>IF(AND(ISNUMBER(M78),M78&gt;0.8*'Ratio_M+Cl'!G71,M78&lt;1.2*'Ratio_M+Cl'!G71),M110/'Ratio_M+Cl'!G103,IF(OR(M110="N/A",M142="N/A"),"N/A",""))</f>
        <v>6104.6769282257565</v>
      </c>
      <c r="N47" s="183">
        <f>IF(AND(ISNUMBER(N78),N78&gt;0.8*'Ratio_M+Cl'!H71,N78&lt;1.2*'Ratio_M+Cl'!H71),N110/'Ratio_M+Cl'!H103,IF(OR(N110="N/A",N142="N/A"),"N/A",""))</f>
        <v>2566.9431692237608</v>
      </c>
      <c r="O47" s="183">
        <f>IF(AND(ISNUMBER(O78),O78&gt;0.8*'Ratio_M+Cl'!I71,O78&lt;1.2*'Ratio_M+Cl'!I71),O110/'Ratio_M+Cl'!I103,IF(OR(O110="N/A",O142="N/A"),"N/A",""))</f>
        <v>4497.9410773593645</v>
      </c>
      <c r="P47" s="183">
        <f>IF(AND(ISNUMBER(P78),P78&gt;0.8*'Ratio_M+Cl'!J71,P78&lt;1.2*'Ratio_M+Cl'!J71),P110/'Ratio_M+Cl'!J103,IF(OR(P110="N/A",P142="N/A"),"N/A",""))</f>
        <v>6362.584861135796</v>
      </c>
      <c r="Q47" s="185">
        <f>IF(AND(ISNUMBER(Q78),Q78&gt;0.8*'Ratio_M+Cl'!K71,Q78&lt;1.2*'Ratio_M+Cl'!K71),Q110/'Ratio_M+Cl'!K103,IF(OR(Q110="N/A",Q142="N/A"),"N/A",""))</f>
        <v>3975.8635544651761</v>
      </c>
      <c r="R47" s="183">
        <f>IF(AND(ISNUMBER(R78),R78&gt;0.8*'Ratio_M+Cl'!L71,R78&lt;1.2*'Ratio_M+Cl'!L71),R110/'Ratio_M+Cl'!L103,IF(OR(R110="N/A",R142="N/A"),"N/A",""))</f>
        <v>1104.9774865300517</v>
      </c>
      <c r="S47" s="184">
        <f>IF(AND(ISNUMBER(S78),S78&gt;0.8*'Ratio_M+Cl'!M71,S78&lt;1.2*'Ratio_M+Cl'!M71),S110/'Ratio_M+Cl'!M103,IF(OR(S110="N/A",S142="N/A"),"N/A",""))</f>
        <v>103.5122741755147</v>
      </c>
      <c r="T47" s="183" t="str">
        <f>IF(AND(ISNUMBER(T78),T78&gt;0.8*'Ratio_M+Cl'!N71,T78&lt;1.2*'Ratio_M+Cl'!N71),T110/'Ratio_M+Cl'!N103,IF(OR(T110="N/A",T142="N/A"),"N/A",""))</f>
        <v/>
      </c>
      <c r="U47" s="183" t="str">
        <f>IF(AND(ISNUMBER(U78),U78&gt;0.8*'Ratio_M+Cl'!O71,U78&lt;1.2*'Ratio_M+Cl'!O71),U110/'Ratio_M+Cl'!O103,IF(OR(U110="N/A",U142="N/A"),"N/A",""))</f>
        <v/>
      </c>
      <c r="V47" s="183" t="str">
        <f>IF(AND(ISNUMBER(V78),V78&gt;0.8*'Ratio_M+Cl'!P71,V78&lt;1.2*'Ratio_M+Cl'!P71),V110/'Ratio_M+Cl'!P103,IF(OR(V110="N/A",V142="N/A"),"N/A",""))</f>
        <v/>
      </c>
      <c r="W47" s="183" t="str">
        <f>IF(AND(ISNUMBER(W78),W78&gt;0.8*'Ratio_M+Cl'!Q71,W78&lt;1.2*'Ratio_M+Cl'!Q71),W110/'Ratio_M+Cl'!Q103,IF(OR(W110="N/A",W142="N/A"),"N/A",""))</f>
        <v/>
      </c>
      <c r="X47" s="183" t="str">
        <f>IF(AND(ISNUMBER(X78),X78&gt;0.8*'Ratio_M+Cl'!R71,X78&lt;1.2*'Ratio_M+Cl'!R71),X110/'Ratio_M+Cl'!R103,IF(OR(X110="N/A",X142="N/A"),"N/A",""))</f>
        <v/>
      </c>
      <c r="Y47" s="183" t="str">
        <f>IF(AND(ISNUMBER(Y78),Y78&gt;0.8*'Ratio_M+Cl'!S71,Y78&lt;1.2*'Ratio_M+Cl'!S71),Y110/'Ratio_M+Cl'!S103,IF(OR(Y110="N/A",Y142="N/A"),"N/A",""))</f>
        <v/>
      </c>
      <c r="Z47" s="183" t="str">
        <f>IF(AND(ISNUMBER(Z78),Z78&gt;0.8*'Ratio_M+Cl'!T71,Z78&lt;1.2*'Ratio_M+Cl'!T71),Z110/'Ratio_M+Cl'!T103,IF(OR(Z110="N/A",Z142="N/A"),"N/A",""))</f>
        <v/>
      </c>
      <c r="AA47" s="183" t="str">
        <f>IF(AND(ISNUMBER(AA78),AA78&gt;0.8*'Ratio_M+Cl'!U71,AA78&lt;1.2*'Ratio_M+Cl'!U71),AA110/'Ratio_M+Cl'!U103,IF(OR(AA110="N/A",AA142="N/A"),"N/A",""))</f>
        <v/>
      </c>
      <c r="AB47" s="183" t="str">
        <f>IF(AND(ISNUMBER(AB78),AB78&gt;0.8*'Ratio_M+Cl'!V71,AB78&lt;1.2*'Ratio_M+Cl'!V71),AB110/'Ratio_M+Cl'!V103,IF(OR(AB110="N/A",AB142="N/A"),"N/A",""))</f>
        <v/>
      </c>
      <c r="AC47" s="183" t="str">
        <f>IF(AND(ISNUMBER(AC78),AC78&gt;0.8*'Ratio_M+Cl'!W71,AC78&lt;1.2*'Ratio_M+Cl'!W71),AC110/'Ratio_M+Cl'!W103,IF(OR(AC110="N/A",AC142="N/A"),"N/A",""))</f>
        <v/>
      </c>
      <c r="AD47" s="183" t="str">
        <f>IF(AND(ISNUMBER(AD78),AD78&gt;0.8*'Ratio_M+Cl'!X71,AD78&lt;1.2*'Ratio_M+Cl'!X71),AD110/'Ratio_M+Cl'!X103,IF(OR(AD110="N/A",AD142="N/A"),"N/A",""))</f>
        <v/>
      </c>
      <c r="AE47" s="183" t="str">
        <f>IF(AND(ISNUMBER(AE78),AE78&gt;0.8*'Ratio_M+Cl'!Y71,AE78&lt;1.2*'Ratio_M+Cl'!Y71),AE110/'Ratio_M+Cl'!Y103,IF(OR(AE110="N/A",AE142="N/A"),"N/A",""))</f>
        <v/>
      </c>
      <c r="AF47" s="183" t="str">
        <f>IF(AND(ISNUMBER(AF78),AF78&gt;0.8*'Ratio_M+Cl'!Z71,AF78&lt;1.2*'Ratio_M+Cl'!Z71),AF110/'Ratio_M+Cl'!Z103,IF(OR(AF110="N/A",AF142="N/A"),"N/A",""))</f>
        <v/>
      </c>
      <c r="AG47" s="183" t="str">
        <f>IF(AND(ISNUMBER(AG78),AG78&gt;0.8*'Ratio_M+Cl'!AA71,AG78&lt;1.2*'Ratio_M+Cl'!AA71),AG110/'Ratio_M+Cl'!AA103,IF(OR(AG110="N/A",AG142="N/A"),"N/A",""))</f>
        <v/>
      </c>
      <c r="AH47" s="183" t="str">
        <f>IF(AND(ISNUMBER(AH78),AH78&gt;0.8*'Ratio_M+Cl'!AB71,AH78&lt;1.2*'Ratio_M+Cl'!AB71),AH110/'Ratio_M+Cl'!AB103,IF(OR(AH110="N/A",AH142="N/A"),"N/A",""))</f>
        <v/>
      </c>
      <c r="AI47" s="183" t="str">
        <f>IF(AND(ISNUMBER(AI78),AI78&gt;0.8*'Ratio_M+Cl'!AC71,AI78&lt;1.2*'Ratio_M+Cl'!AC71),AI110/'Ratio_M+Cl'!AC103,IF(OR(AI110="N/A",AI142="N/A"),"N/A",""))</f>
        <v/>
      </c>
      <c r="AK47" s="160" t="s">
        <v>12</v>
      </c>
      <c r="AL47" s="177" t="str">
        <f t="shared" si="2"/>
        <v/>
      </c>
      <c r="AM47" s="177">
        <f t="shared" si="0"/>
        <v>1.6390113003252806</v>
      </c>
      <c r="AN47" s="177">
        <f t="shared" si="0"/>
        <v>14.120842540162684</v>
      </c>
      <c r="AO47" s="177">
        <f t="shared" si="0"/>
        <v>24.401205233139322</v>
      </c>
      <c r="AP47" s="177">
        <f t="shared" si="0"/>
        <v>15.079576518949848</v>
      </c>
      <c r="AQ47" s="177">
        <f t="shared" si="0"/>
        <v>6.3407804205218463</v>
      </c>
      <c r="AR47" s="177">
        <f t="shared" si="0"/>
        <v>11.11066931980646</v>
      </c>
      <c r="AS47" s="177">
        <f t="shared" si="0"/>
        <v>15.716652396164443</v>
      </c>
      <c r="AT47" s="177">
        <f t="shared" si="0"/>
        <v>9.8210502215530813</v>
      </c>
      <c r="AU47" s="177">
        <f t="shared" si="0"/>
        <v>2.7294798325534897</v>
      </c>
      <c r="AV47" s="177">
        <f t="shared" si="0"/>
        <v>0.25569268897147868</v>
      </c>
      <c r="AW47" s="177" t="str">
        <f t="shared" si="0"/>
        <v/>
      </c>
      <c r="AX47" s="177" t="str">
        <f t="shared" si="0"/>
        <v/>
      </c>
      <c r="AY47" s="177" t="str">
        <f t="shared" si="0"/>
        <v/>
      </c>
      <c r="AZ47" s="177" t="str">
        <f t="shared" si="0"/>
        <v/>
      </c>
      <c r="BA47" s="177" t="str">
        <f t="shared" si="0"/>
        <v/>
      </c>
      <c r="BB47" s="177" t="str">
        <f t="shared" si="0"/>
        <v/>
      </c>
      <c r="BC47" s="177" t="str">
        <f t="shared" si="1"/>
        <v/>
      </c>
      <c r="BD47" s="177" t="str">
        <f t="shared" si="1"/>
        <v/>
      </c>
      <c r="BE47" s="177" t="str">
        <f t="shared" si="1"/>
        <v/>
      </c>
      <c r="BF47" s="177" t="str">
        <f t="shared" si="1"/>
        <v/>
      </c>
      <c r="BG47" s="177" t="str">
        <f t="shared" si="1"/>
        <v/>
      </c>
      <c r="BH47" s="177" t="str">
        <f t="shared" si="1"/>
        <v/>
      </c>
      <c r="BI47" s="177" t="str">
        <f t="shared" si="1"/>
        <v/>
      </c>
      <c r="BJ47" s="177" t="str">
        <f t="shared" si="1"/>
        <v/>
      </c>
      <c r="BK47" s="177" t="str">
        <f t="shared" si="1"/>
        <v/>
      </c>
      <c r="BL47" s="177" t="str">
        <f t="shared" si="1"/>
        <v/>
      </c>
    </row>
    <row r="48" spans="1:64" ht="15.75" x14ac:dyDescent="0.3">
      <c r="A48" s="150">
        <v>43</v>
      </c>
      <c r="B48" s="10" t="s">
        <v>45</v>
      </c>
      <c r="C48">
        <v>226201911.17524001</v>
      </c>
      <c r="E48" s="10" t="s">
        <v>366</v>
      </c>
      <c r="F48" s="151">
        <f>IF(ISNUMBER(Q47),Q47/SUM($I$43:$AI$71),0)</f>
        <v>1.1844008650927988E-2</v>
      </c>
      <c r="H48" s="159" t="s">
        <v>13</v>
      </c>
      <c r="I48" s="181" t="str">
        <f>IF(AND(ISNUMBER(I79),I79&gt;0.8*'Ratio_M+Cl'!C72,I79&lt;1.2*'Ratio_M+Cl'!C72),I111/'Ratio_M+Cl'!C104,IF(OR(I111="N/A",I143="N/A"),"N/A",""))</f>
        <v/>
      </c>
      <c r="J48" s="181">
        <f>IF(AND(ISNUMBER(J79),J79&gt;0.8*'Ratio_M+Cl'!D72,J79&lt;1.2*'Ratio_M+Cl'!D72),J111/'Ratio_M+Cl'!D104,IF(OR(J111="N/A",J143="N/A"),"N/A",""))</f>
        <v>156.81817507802913</v>
      </c>
      <c r="K48" s="181">
        <f>IF(AND(ISNUMBER(K79),K79&gt;0.8*'Ratio_M+Cl'!E72,K79&lt;1.2*'Ratio_M+Cl'!E72),K111/'Ratio_M+Cl'!E104,IF(OR(K111="N/A",K143="N/A"),"N/A",""))</f>
        <v>900.29077586901667</v>
      </c>
      <c r="L48" s="181">
        <f>IF(AND(ISNUMBER(L79),L79&gt;0.8*'Ratio_M+Cl'!F72,L79&lt;1.2*'Ratio_M+Cl'!F72),L111/'Ratio_M+Cl'!F104,IF(OR(L111="N/A",L143="N/A"),"N/A",""))</f>
        <v>2230.1857987351827</v>
      </c>
      <c r="M48" s="181">
        <f>IF(AND(ISNUMBER(M79),M79&gt;0.8*'Ratio_M+Cl'!G72,M79&lt;1.2*'Ratio_M+Cl'!G72),M111/'Ratio_M+Cl'!G104,IF(OR(M111="N/A",M143="N/A"),"N/A",""))</f>
        <v>2346.3538182572338</v>
      </c>
      <c r="N48" s="181">
        <f>IF(AND(ISNUMBER(N79),N79&gt;0.8*'Ratio_M+Cl'!H72,N79&lt;1.2*'Ratio_M+Cl'!H72),N111/'Ratio_M+Cl'!H104,IF(OR(N111="N/A",N143="N/A"),"N/A",""))</f>
        <v>1347.6263626303139</v>
      </c>
      <c r="O48" s="181">
        <f>IF(AND(ISNUMBER(O79),O79&gt;0.8*'Ratio_M+Cl'!I72,O79&lt;1.2*'Ratio_M+Cl'!I72),O111/'Ratio_M+Cl'!I104,IF(OR(O111="N/A",O143="N/A"),"N/A",""))</f>
        <v>1975.2400693729921</v>
      </c>
      <c r="P48" s="181">
        <f>IF(AND(ISNUMBER(P79),P79&gt;0.8*'Ratio_M+Cl'!J72,P79&lt;1.2*'Ratio_M+Cl'!J72),P111/'Ratio_M+Cl'!J104,IF(OR(P111="N/A",P143="N/A"),"N/A",""))</f>
        <v>5976.5517709551305</v>
      </c>
      <c r="Q48" s="181">
        <f>IF(AND(ISNUMBER(Q79),Q79&gt;0.8*'Ratio_M+Cl'!K72,Q79&lt;1.2*'Ratio_M+Cl'!K72),Q111/'Ratio_M+Cl'!K104,IF(OR(Q111="N/A",Q143="N/A"),"N/A",""))</f>
        <v>8485.4997784102234</v>
      </c>
      <c r="R48" s="182">
        <f>IF(AND(ISNUMBER(R79),R79&gt;0.8*'Ratio_M+Cl'!L72,R79&lt;1.2*'Ratio_M+Cl'!L72),R111/'Ratio_M+Cl'!L104,IF(OR(R111="N/A",R143="N/A"),"N/A",""))</f>
        <v>5221.4865738481094</v>
      </c>
      <c r="S48" s="183">
        <f>IF(AND(ISNUMBER(S79),S79&gt;0.8*'Ratio_M+Cl'!M72,S79&lt;1.2*'Ratio_M+Cl'!M72),S111/'Ratio_M+Cl'!M104,IF(OR(S111="N/A",S143="N/A"),"N/A",""))</f>
        <v>1276.6992703294366</v>
      </c>
      <c r="T48" s="184">
        <f>IF(AND(ISNUMBER(T79),T79&gt;0.8*'Ratio_M+Cl'!N72,T79&lt;1.2*'Ratio_M+Cl'!N72),T111/'Ratio_M+Cl'!N104,IF(OR(T111="N/A",T143="N/A"),"N/A",""))</f>
        <v>106.88744796228782</v>
      </c>
      <c r="U48" s="183" t="str">
        <f>IF(AND(ISNUMBER(U79),U79&gt;0.8*'Ratio_M+Cl'!O72,U79&lt;1.2*'Ratio_M+Cl'!O72),U111/'Ratio_M+Cl'!O104,IF(OR(U111="N/A",U143="N/A"),"N/A",""))</f>
        <v/>
      </c>
      <c r="V48" s="183" t="str">
        <f>IF(AND(ISNUMBER(V79),V79&gt;0.8*'Ratio_M+Cl'!P72,V79&lt;1.2*'Ratio_M+Cl'!P72),V111/'Ratio_M+Cl'!P104,IF(OR(V111="N/A",V143="N/A"),"N/A",""))</f>
        <v/>
      </c>
      <c r="W48" s="183" t="str">
        <f>IF(AND(ISNUMBER(W79),W79&gt;0.8*'Ratio_M+Cl'!Q72,W79&lt;1.2*'Ratio_M+Cl'!Q72),W111/'Ratio_M+Cl'!Q104,IF(OR(W111="N/A",W143="N/A"),"N/A",""))</f>
        <v/>
      </c>
      <c r="X48" s="183" t="str">
        <f>IF(AND(ISNUMBER(X79),X79&gt;0.8*'Ratio_M+Cl'!R72,X79&lt;1.2*'Ratio_M+Cl'!R72),X111/'Ratio_M+Cl'!R104,IF(OR(X111="N/A",X143="N/A"),"N/A",""))</f>
        <v/>
      </c>
      <c r="Y48" s="183" t="str">
        <f>IF(AND(ISNUMBER(Y79),Y79&gt;0.8*'Ratio_M+Cl'!S72,Y79&lt;1.2*'Ratio_M+Cl'!S72),Y111/'Ratio_M+Cl'!S104,IF(OR(Y111="N/A",Y143="N/A"),"N/A",""))</f>
        <v/>
      </c>
      <c r="Z48" s="183" t="str">
        <f>IF(AND(ISNUMBER(Z79),Z79&gt;0.8*'Ratio_M+Cl'!T72,Z79&lt;1.2*'Ratio_M+Cl'!T72),Z111/'Ratio_M+Cl'!T104,IF(OR(Z111="N/A",Z143="N/A"),"N/A",""))</f>
        <v/>
      </c>
      <c r="AA48" s="183" t="str">
        <f>IF(AND(ISNUMBER(AA79),AA79&gt;0.8*'Ratio_M+Cl'!U72,AA79&lt;1.2*'Ratio_M+Cl'!U72),AA111/'Ratio_M+Cl'!U104,IF(OR(AA111="N/A",AA143="N/A"),"N/A",""))</f>
        <v/>
      </c>
      <c r="AB48" s="183" t="str">
        <f>IF(AND(ISNUMBER(AB79),AB79&gt;0.8*'Ratio_M+Cl'!V72,AB79&lt;1.2*'Ratio_M+Cl'!V72),AB111/'Ratio_M+Cl'!V104,IF(OR(AB111="N/A",AB143="N/A"),"N/A",""))</f>
        <v/>
      </c>
      <c r="AC48" s="183" t="str">
        <f>IF(AND(ISNUMBER(AC79),AC79&gt;0.8*'Ratio_M+Cl'!W72,AC79&lt;1.2*'Ratio_M+Cl'!W72),AC111/'Ratio_M+Cl'!W104,IF(OR(AC111="N/A",AC143="N/A"),"N/A",""))</f>
        <v/>
      </c>
      <c r="AD48" s="183" t="str">
        <f>IF(AND(ISNUMBER(AD79),AD79&gt;0.8*'Ratio_M+Cl'!X72,AD79&lt;1.2*'Ratio_M+Cl'!X72),AD111/'Ratio_M+Cl'!X104,IF(OR(AD111="N/A",AD143="N/A"),"N/A",""))</f>
        <v/>
      </c>
      <c r="AE48" s="183" t="str">
        <f>IF(AND(ISNUMBER(AE79),AE79&gt;0.8*'Ratio_M+Cl'!Y72,AE79&lt;1.2*'Ratio_M+Cl'!Y72),AE111/'Ratio_M+Cl'!Y104,IF(OR(AE111="N/A",AE143="N/A"),"N/A",""))</f>
        <v/>
      </c>
      <c r="AF48" s="183" t="str">
        <f>IF(AND(ISNUMBER(AF79),AF79&gt;0.8*'Ratio_M+Cl'!Z72,AF79&lt;1.2*'Ratio_M+Cl'!Z72),AF111/'Ratio_M+Cl'!Z104,IF(OR(AF111="N/A",AF143="N/A"),"N/A",""))</f>
        <v/>
      </c>
      <c r="AG48" s="183" t="str">
        <f>IF(AND(ISNUMBER(AG79),AG79&gt;0.8*'Ratio_M+Cl'!AA72,AG79&lt;1.2*'Ratio_M+Cl'!AA72),AG111/'Ratio_M+Cl'!AA104,IF(OR(AG111="N/A",AG143="N/A"),"N/A",""))</f>
        <v/>
      </c>
      <c r="AH48" s="183" t="str">
        <f>IF(AND(ISNUMBER(AH79),AH79&gt;0.8*'Ratio_M+Cl'!AB72,AH79&lt;1.2*'Ratio_M+Cl'!AB72),AH111/'Ratio_M+Cl'!AB104,IF(OR(AH111="N/A",AH143="N/A"),"N/A",""))</f>
        <v/>
      </c>
      <c r="AI48" s="183" t="str">
        <f>IF(AND(ISNUMBER(AI79),AI79&gt;0.8*'Ratio_M+Cl'!AC72,AI79&lt;1.2*'Ratio_M+Cl'!AC72),AI111/'Ratio_M+Cl'!AC104,IF(OR(AI111="N/A",AI143="N/A"),"N/A",""))</f>
        <v/>
      </c>
      <c r="AK48" s="159" t="s">
        <v>13</v>
      </c>
      <c r="AL48" s="177" t="str">
        <f t="shared" si="2"/>
        <v/>
      </c>
      <c r="AM48" s="177">
        <f t="shared" si="0"/>
        <v>0.38736721016594372</v>
      </c>
      <c r="AN48" s="177">
        <f t="shared" si="0"/>
        <v>2.22386930604815</v>
      </c>
      <c r="AO48" s="177">
        <f t="shared" si="0"/>
        <v>5.5089331997257167</v>
      </c>
      <c r="AP48" s="177">
        <f t="shared" si="0"/>
        <v>5.7958877036304388</v>
      </c>
      <c r="AQ48" s="177">
        <f t="shared" si="0"/>
        <v>3.3288632786246541</v>
      </c>
      <c r="AR48" s="177">
        <f t="shared" si="0"/>
        <v>4.8791744624006963</v>
      </c>
      <c r="AS48" s="177">
        <f t="shared" si="0"/>
        <v>14.763085878121387</v>
      </c>
      <c r="AT48" s="177">
        <f t="shared" si="0"/>
        <v>20.960608516142749</v>
      </c>
      <c r="AU48" s="177">
        <f t="shared" si="0"/>
        <v>12.89794812383232</v>
      </c>
      <c r="AV48" s="177">
        <f t="shared" si="0"/>
        <v>3.1536614574320381</v>
      </c>
      <c r="AW48" s="177">
        <f t="shared" si="0"/>
        <v>0.26402993465717156</v>
      </c>
      <c r="AX48" s="177" t="str">
        <f t="shared" si="0"/>
        <v/>
      </c>
      <c r="AY48" s="177" t="str">
        <f t="shared" si="0"/>
        <v/>
      </c>
      <c r="AZ48" s="177" t="str">
        <f t="shared" si="0"/>
        <v/>
      </c>
      <c r="BA48" s="177" t="str">
        <f t="shared" si="0"/>
        <v/>
      </c>
      <c r="BB48" s="177" t="str">
        <f t="shared" si="0"/>
        <v/>
      </c>
      <c r="BC48" s="177" t="str">
        <f t="shared" si="1"/>
        <v/>
      </c>
      <c r="BD48" s="177" t="str">
        <f t="shared" si="1"/>
        <v/>
      </c>
      <c r="BE48" s="177" t="str">
        <f t="shared" si="1"/>
        <v/>
      </c>
      <c r="BF48" s="177" t="str">
        <f t="shared" si="1"/>
        <v/>
      </c>
      <c r="BG48" s="177" t="str">
        <f t="shared" si="1"/>
        <v/>
      </c>
      <c r="BH48" s="177" t="str">
        <f t="shared" si="1"/>
        <v/>
      </c>
      <c r="BI48" s="177" t="str">
        <f t="shared" si="1"/>
        <v/>
      </c>
      <c r="BJ48" s="177" t="str">
        <f t="shared" si="1"/>
        <v/>
      </c>
      <c r="BK48" s="177" t="str">
        <f t="shared" si="1"/>
        <v/>
      </c>
      <c r="BL48" s="177" t="str">
        <f t="shared" si="1"/>
        <v/>
      </c>
    </row>
    <row r="49" spans="1:64" ht="15.75" x14ac:dyDescent="0.3">
      <c r="A49" s="150">
        <v>44</v>
      </c>
      <c r="B49" s="10" t="s">
        <v>46</v>
      </c>
      <c r="C49">
        <v>217131283.76106301</v>
      </c>
      <c r="E49" s="10" t="s">
        <v>1567</v>
      </c>
      <c r="F49" s="151">
        <f>IF(ISNUMBER(R47),R47/SUM($I$43:$AI$71),0)</f>
        <v>3.2917032313255724E-3</v>
      </c>
      <c r="H49" s="160" t="s">
        <v>14</v>
      </c>
      <c r="I49" s="183">
        <f>IF(AND(ISNUMBER(I80),I80&gt;0.8*'Ratio_M+Cl'!C73,I80&lt;1.2*'Ratio_M+Cl'!C73),I112/'Ratio_M+Cl'!C105,IF(OR(I112="N/A",I144="N/A"),"N/A",""))</f>
        <v>71.128579977932318</v>
      </c>
      <c r="J49" s="183">
        <f>IF(AND(ISNUMBER(J80),J80&gt;0.8*'Ratio_M+Cl'!D73,J80&lt;1.2*'Ratio_M+Cl'!D73),J112/'Ratio_M+Cl'!D105,IF(OR(J112="N/A",J144="N/A"),"N/A",""))</f>
        <v>1557.2613173578497</v>
      </c>
      <c r="K49" s="180">
        <f>IF(AND(ISNUMBER(K80),K80&gt;0.8*'Ratio_M+Cl'!E73,K80&lt;1.2*'Ratio_M+Cl'!E73),K112/'Ratio_M+Cl'!E105,IF(OR(K112="N/A",K144="N/A"),"N/A",""))</f>
        <v>2701.5838976046425</v>
      </c>
      <c r="L49" s="180">
        <f>IF(AND(ISNUMBER(L80),L80&gt;0.8*'Ratio_M+Cl'!F73,L80&lt;1.2*'Ratio_M+Cl'!F73),L112/'Ratio_M+Cl'!F105,IF(OR(L112="N/A",L144="N/A"),"N/A",""))</f>
        <v>2077.1008874340118</v>
      </c>
      <c r="M49" s="180">
        <f>IF(AND(ISNUMBER(M80),M80&gt;0.8*'Ratio_M+Cl'!G73,M80&lt;1.2*'Ratio_M+Cl'!G73),M112/'Ratio_M+Cl'!G105,IF(OR(M112="N/A",M144="N/A"),"N/A",""))</f>
        <v>1285.8422895893038</v>
      </c>
      <c r="N49" s="183">
        <f>IF(AND(ISNUMBER(N80),N80&gt;0.8*'Ratio_M+Cl'!H73,N80&lt;1.2*'Ratio_M+Cl'!H73),N112/'Ratio_M+Cl'!H105,IF(OR(N112="N/A",N144="N/A"),"N/A",""))</f>
        <v>662.4179501339928</v>
      </c>
      <c r="O49" s="183">
        <f>IF(AND(ISNUMBER(O80),O80&gt;0.8*'Ratio_M+Cl'!I73,O80&lt;1.2*'Ratio_M+Cl'!I73),O112/'Ratio_M+Cl'!I105,IF(OR(O112="N/A",O144="N/A"),"N/A",""))</f>
        <v>487.28931582534068</v>
      </c>
      <c r="P49" s="183">
        <f>IF(AND(ISNUMBER(P80),P80&gt;0.8*'Ratio_M+Cl'!J73,P80&lt;1.2*'Ratio_M+Cl'!J73),P112/'Ratio_M+Cl'!J105,IF(OR(P112="N/A",P144="N/A"),"N/A",""))</f>
        <v>2253.7791412473862</v>
      </c>
      <c r="Q49" s="183">
        <f>IF(AND(ISNUMBER(Q80),Q80&gt;0.8*'Ratio_M+Cl'!K73,Q80&lt;1.2*'Ratio_M+Cl'!K73),Q112/'Ratio_M+Cl'!K105,IF(OR(Q112="N/A",Q144="N/A"),"N/A",""))</f>
        <v>6466.3339338995902</v>
      </c>
      <c r="R49" s="183">
        <f>IF(AND(ISNUMBER(R80),R80&gt;0.8*'Ratio_M+Cl'!L73,R80&lt;1.2*'Ratio_M+Cl'!L73),R112/'Ratio_M+Cl'!L105,IF(OR(R112="N/A",R144="N/A"),"N/A",""))</f>
        <v>7613.628821498959</v>
      </c>
      <c r="S49" s="185">
        <f>IF(AND(ISNUMBER(S80),S80&gt;0.8*'Ratio_M+Cl'!M73,S80&lt;1.2*'Ratio_M+Cl'!M73),S112/'Ratio_M+Cl'!M105,IF(OR(S112="N/A",S144="N/A"),"N/A",""))</f>
        <v>3728.8480893768128</v>
      </c>
      <c r="T49" s="183">
        <f>IF(AND(ISNUMBER(T80),T80&gt;0.8*'Ratio_M+Cl'!N73,T80&lt;1.2*'Ratio_M+Cl'!N73),T112/'Ratio_M+Cl'!N105,IF(OR(T112="N/A",T144="N/A"),"N/A",""))</f>
        <v>717.12975312220044</v>
      </c>
      <c r="U49" s="184">
        <f>IF(AND(ISNUMBER(U80),U80&gt;0.8*'Ratio_M+Cl'!O73,U80&lt;1.2*'Ratio_M+Cl'!O73),U112/'Ratio_M+Cl'!O105,IF(OR(U112="N/A",U144="N/A"),"N/A",""))</f>
        <v>40.638137799609943</v>
      </c>
      <c r="V49" s="183" t="str">
        <f>IF(AND(ISNUMBER(V80),V80&gt;0.8*'Ratio_M+Cl'!P73,V80&lt;1.2*'Ratio_M+Cl'!P73),V112/'Ratio_M+Cl'!P105,IF(OR(V112="N/A",V144="N/A"),"N/A",""))</f>
        <v/>
      </c>
      <c r="W49" s="183" t="str">
        <f>IF(AND(ISNUMBER(W80),W80&gt;0.8*'Ratio_M+Cl'!Q73,W80&lt;1.2*'Ratio_M+Cl'!Q73),W112/'Ratio_M+Cl'!Q105,IF(OR(W112="N/A",W144="N/A"),"N/A",""))</f>
        <v/>
      </c>
      <c r="X49" s="183" t="str">
        <f>IF(AND(ISNUMBER(X80),X80&gt;0.8*'Ratio_M+Cl'!R73,X80&lt;1.2*'Ratio_M+Cl'!R73),X112/'Ratio_M+Cl'!R105,IF(OR(X112="N/A",X144="N/A"),"N/A",""))</f>
        <v/>
      </c>
      <c r="Y49" s="183" t="str">
        <f>IF(AND(ISNUMBER(Y80),Y80&gt;0.8*'Ratio_M+Cl'!S73,Y80&lt;1.2*'Ratio_M+Cl'!S73),Y112/'Ratio_M+Cl'!S105,IF(OR(Y112="N/A",Y144="N/A"),"N/A",""))</f>
        <v/>
      </c>
      <c r="Z49" s="183" t="str">
        <f>IF(AND(ISNUMBER(Z80),Z80&gt;0.8*'Ratio_M+Cl'!T73,Z80&lt;1.2*'Ratio_M+Cl'!T73),Z112/'Ratio_M+Cl'!T105,IF(OR(Z112="N/A",Z144="N/A"),"N/A",""))</f>
        <v/>
      </c>
      <c r="AA49" s="183" t="str">
        <f>IF(AND(ISNUMBER(AA80),AA80&gt;0.8*'Ratio_M+Cl'!U73,AA80&lt;1.2*'Ratio_M+Cl'!U73),AA112/'Ratio_M+Cl'!U105,IF(OR(AA112="N/A",AA144="N/A"),"N/A",""))</f>
        <v/>
      </c>
      <c r="AB49" s="183" t="str">
        <f>IF(AND(ISNUMBER(AB80),AB80&gt;0.8*'Ratio_M+Cl'!V73,AB80&lt;1.2*'Ratio_M+Cl'!V73),AB112/'Ratio_M+Cl'!V105,IF(OR(AB112="N/A",AB144="N/A"),"N/A",""))</f>
        <v/>
      </c>
      <c r="AC49" s="183" t="str">
        <f>IF(AND(ISNUMBER(AC80),AC80&gt;0.8*'Ratio_M+Cl'!W73,AC80&lt;1.2*'Ratio_M+Cl'!W73),AC112/'Ratio_M+Cl'!W105,IF(OR(AC112="N/A",AC144="N/A"),"N/A",""))</f>
        <v/>
      </c>
      <c r="AD49" s="183" t="str">
        <f>IF(AND(ISNUMBER(AD80),AD80&gt;0.8*'Ratio_M+Cl'!X73,AD80&lt;1.2*'Ratio_M+Cl'!X73),AD112/'Ratio_M+Cl'!X105,IF(OR(AD112="N/A",AD144="N/A"),"N/A",""))</f>
        <v/>
      </c>
      <c r="AE49" s="183" t="str">
        <f>IF(AND(ISNUMBER(AE80),AE80&gt;0.8*'Ratio_M+Cl'!Y73,AE80&lt;1.2*'Ratio_M+Cl'!Y73),AE112/'Ratio_M+Cl'!Y105,IF(OR(AE112="N/A",AE144="N/A"),"N/A",""))</f>
        <v/>
      </c>
      <c r="AF49" s="183" t="str">
        <f>IF(AND(ISNUMBER(AF80),AF80&gt;0.8*'Ratio_M+Cl'!Z73,AF80&lt;1.2*'Ratio_M+Cl'!Z73),AF112/'Ratio_M+Cl'!Z105,IF(OR(AF112="N/A",AF144="N/A"),"N/A",""))</f>
        <v/>
      </c>
      <c r="AG49" s="183" t="str">
        <f>IF(AND(ISNUMBER(AG80),AG80&gt;0.8*'Ratio_M+Cl'!AA73,AG80&lt;1.2*'Ratio_M+Cl'!AA73),AG112/'Ratio_M+Cl'!AA105,IF(OR(AG112="N/A",AG144="N/A"),"N/A",""))</f>
        <v/>
      </c>
      <c r="AH49" s="183" t="str">
        <f>IF(AND(ISNUMBER(AH80),AH80&gt;0.8*'Ratio_M+Cl'!AB73,AH80&lt;1.2*'Ratio_M+Cl'!AB73),AH112/'Ratio_M+Cl'!AB105,IF(OR(AH112="N/A",AH144="N/A"),"N/A",""))</f>
        <v/>
      </c>
      <c r="AI49" s="183" t="str">
        <f>IF(AND(ISNUMBER(AI80),AI80&gt;0.8*'Ratio_M+Cl'!AC73,AI80&lt;1.2*'Ratio_M+Cl'!AC73),AI112/'Ratio_M+Cl'!AC105,IF(OR(AI112="N/A",AI144="N/A"),"N/A",""))</f>
        <v/>
      </c>
      <c r="AK49" s="160" t="s">
        <v>14</v>
      </c>
      <c r="AL49" s="177">
        <f t="shared" si="2"/>
        <v>0.17569952956924262</v>
      </c>
      <c r="AM49" s="177">
        <f t="shared" si="0"/>
        <v>3.8466967984042553</v>
      </c>
      <c r="AN49" s="177">
        <f t="shared" si="0"/>
        <v>6.6733656154564356</v>
      </c>
      <c r="AO49" s="177">
        <f t="shared" si="0"/>
        <v>5.1307877776167734</v>
      </c>
      <c r="AP49" s="177">
        <f t="shared" si="0"/>
        <v>3.1762462494143828</v>
      </c>
      <c r="AQ49" s="177">
        <f t="shared" si="0"/>
        <v>1.636283505911035</v>
      </c>
      <c r="AR49" s="177">
        <f t="shared" si="0"/>
        <v>1.2036863885261455</v>
      </c>
      <c r="AS49" s="177">
        <f t="shared" si="0"/>
        <v>5.567212715240383</v>
      </c>
      <c r="AT49" s="177">
        <f t="shared" si="0"/>
        <v>15.972930017389263</v>
      </c>
      <c r="AU49" s="177">
        <f t="shared" si="0"/>
        <v>18.806940932424347</v>
      </c>
      <c r="AV49" s="177">
        <f t="shared" si="0"/>
        <v>9.2108805678665036</v>
      </c>
      <c r="AW49" s="177">
        <f t="shared" si="0"/>
        <v>1.7714308412001067</v>
      </c>
      <c r="AX49" s="177">
        <f t="shared" si="0"/>
        <v>0.10038302038613374</v>
      </c>
      <c r="AY49" s="177" t="str">
        <f t="shared" si="0"/>
        <v/>
      </c>
      <c r="AZ49" s="177" t="str">
        <f t="shared" si="0"/>
        <v/>
      </c>
      <c r="BA49" s="177" t="str">
        <f t="shared" si="0"/>
        <v/>
      </c>
      <c r="BB49" s="177" t="str">
        <f t="shared" si="0"/>
        <v/>
      </c>
      <c r="BC49" s="177" t="str">
        <f t="shared" si="1"/>
        <v/>
      </c>
      <c r="BD49" s="177" t="str">
        <f t="shared" si="1"/>
        <v/>
      </c>
      <c r="BE49" s="177" t="str">
        <f t="shared" si="1"/>
        <v/>
      </c>
      <c r="BF49" s="177" t="str">
        <f t="shared" si="1"/>
        <v/>
      </c>
      <c r="BG49" s="177" t="str">
        <f t="shared" si="1"/>
        <v/>
      </c>
      <c r="BH49" s="177" t="str">
        <f t="shared" si="1"/>
        <v/>
      </c>
      <c r="BI49" s="177" t="str">
        <f t="shared" si="1"/>
        <v/>
      </c>
      <c r="BJ49" s="177" t="str">
        <f t="shared" si="1"/>
        <v/>
      </c>
      <c r="BK49" s="177" t="str">
        <f t="shared" si="1"/>
        <v/>
      </c>
      <c r="BL49" s="177" t="str">
        <f t="shared" si="1"/>
        <v/>
      </c>
    </row>
    <row r="50" spans="1:64" ht="15.75" x14ac:dyDescent="0.3">
      <c r="A50" s="150">
        <v>45</v>
      </c>
      <c r="B50" s="10" t="s">
        <v>1097</v>
      </c>
      <c r="C50">
        <v>61919157.366790801</v>
      </c>
      <c r="E50" s="10" t="s">
        <v>1568</v>
      </c>
      <c r="F50" s="151">
        <f>IF(ISNUMBER(S47),S47/SUM($I$43:$AI$71),0)</f>
        <v>3.0836075081981646E-4</v>
      </c>
      <c r="H50" s="160" t="s">
        <v>15</v>
      </c>
      <c r="I50" s="183">
        <f>IF(AND(ISNUMBER(I81),I81&gt;0.8*'Ratio_M+Cl'!C74,I81&lt;1.2*'Ratio_M+Cl'!C74),I113/'Ratio_M+Cl'!C106,IF(OR(I113="N/A",I145="N/A"),"N/A",""))</f>
        <v>72.338916766486989</v>
      </c>
      <c r="J50" s="183">
        <f>IF(AND(ISNUMBER(J81),J81&gt;0.8*'Ratio_M+Cl'!D74,J81&lt;1.2*'Ratio_M+Cl'!D74),J113/'Ratio_M+Cl'!D106,IF(OR(J113="N/A",J145="N/A"),"N/A",""))</f>
        <v>1332.689444074492</v>
      </c>
      <c r="K50" s="180">
        <f>IF(AND(ISNUMBER(K81),K81&gt;0.8*'Ratio_M+Cl'!E74,K81&lt;1.2*'Ratio_M+Cl'!E74),K113/'Ratio_M+Cl'!E106,IF(OR(K113="N/A",K145="N/A"),"N/A",""))</f>
        <v>3149.6160540845372</v>
      </c>
      <c r="L50" s="180">
        <f>IF(AND(ISNUMBER(L81),L81&gt;0.8*'Ratio_M+Cl'!F74,L81&lt;1.2*'Ratio_M+Cl'!F74),L113/'Ratio_M+Cl'!F106,IF(OR(L113="N/A",L145="N/A"),"N/A",""))</f>
        <v>2808.96528079572</v>
      </c>
      <c r="M50" s="180">
        <f>IF(AND(ISNUMBER(M81),M81&gt;0.8*'Ratio_M+Cl'!G74,M81&lt;1.2*'Ratio_M+Cl'!G74),M113/'Ratio_M+Cl'!G106,IF(OR(M113="N/A",M145="N/A"),"N/A",""))</f>
        <v>1417.8323416751712</v>
      </c>
      <c r="N50" s="183">
        <f>IF(AND(ISNUMBER(N81),N81&gt;0.8*'Ratio_M+Cl'!H74,N81&lt;1.2*'Ratio_M+Cl'!H74),N113/'Ratio_M+Cl'!H106,IF(OR(N113="N/A",N145="N/A"),"N/A",""))</f>
        <v>721.0707452830394</v>
      </c>
      <c r="O50" s="183">
        <f>IF(AND(ISNUMBER(O81),O81&gt;0.8*'Ratio_M+Cl'!I74,O81&lt;1.2*'Ratio_M+Cl'!I74),O113/'Ratio_M+Cl'!I106,IF(OR(O113="N/A",O145="N/A"),"N/A",""))</f>
        <v>330.82505607951214</v>
      </c>
      <c r="P50" s="183">
        <f>IF(AND(ISNUMBER(P81),P81&gt;0.8*'Ratio_M+Cl'!J74,P81&lt;1.2*'Ratio_M+Cl'!J74),P113/'Ratio_M+Cl'!J106,IF(OR(P113="N/A",P145="N/A"),"N/A",""))</f>
        <v>115.50361018939577</v>
      </c>
      <c r="Q50" s="183">
        <f>IF(AND(ISNUMBER(Q81),Q81&gt;0.8*'Ratio_M+Cl'!K74,Q81&lt;1.2*'Ratio_M+Cl'!K74),Q113/'Ratio_M+Cl'!K106,IF(OR(Q113="N/A",Q145="N/A"),"N/A",""))</f>
        <v>176.94017197600061</v>
      </c>
      <c r="R50" s="183">
        <f>IF(AND(ISNUMBER(R81),R81&gt;0.8*'Ratio_M+Cl'!L74,R81&lt;1.2*'Ratio_M+Cl'!L74),R113/'Ratio_M+Cl'!L106,IF(OR(R113="N/A",R145="N/A"),"N/A",""))</f>
        <v>368.25495551929168</v>
      </c>
      <c r="S50" s="183">
        <f>IF(AND(ISNUMBER(S81),S81&gt;0.8*'Ratio_M+Cl'!M74,S81&lt;1.2*'Ratio_M+Cl'!M74),S113/'Ratio_M+Cl'!M106,IF(OR(S113="N/A",S145="N/A"),"N/A",""))</f>
        <v>343.91156613649355</v>
      </c>
      <c r="T50" s="185">
        <f>IF(AND(ISNUMBER(T81),T81&gt;0.8*'Ratio_M+Cl'!N74,T81&lt;1.2*'Ratio_M+Cl'!N74),T113/'Ratio_M+Cl'!N106,IF(OR(T113="N/A",T145="N/A"),"N/A",""))</f>
        <v>123.90035320741816</v>
      </c>
      <c r="U50" s="183">
        <f>IF(AND(ISNUMBER(U81),U81&gt;0.8*'Ratio_M+Cl'!O74,U81&lt;1.2*'Ratio_M+Cl'!O74),U113/'Ratio_M+Cl'!O106,IF(OR(U113="N/A",U145="N/A"),"N/A",""))</f>
        <v>9.0004161106072225</v>
      </c>
      <c r="V50" s="184" t="str">
        <f>IF(AND(ISNUMBER(V81),V81&gt;0.8*'Ratio_M+Cl'!P74,V81&lt;1.2*'Ratio_M+Cl'!P74),V113/'Ratio_M+Cl'!P106,IF(OR(V113="N/A",V145="N/A"),"N/A",""))</f>
        <v/>
      </c>
      <c r="W50" s="183" t="str">
        <f>IF(AND(ISNUMBER(W81),W81&gt;0.8*'Ratio_M+Cl'!Q74,W81&lt;1.2*'Ratio_M+Cl'!Q74),W113/'Ratio_M+Cl'!Q106,IF(OR(W113="N/A",W145="N/A"),"N/A",""))</f>
        <v/>
      </c>
      <c r="X50" s="183" t="str">
        <f>IF(AND(ISNUMBER(X81),X81&gt;0.8*'Ratio_M+Cl'!R74,X81&lt;1.2*'Ratio_M+Cl'!R74),X113/'Ratio_M+Cl'!R106,IF(OR(X113="N/A",X145="N/A"),"N/A",""))</f>
        <v/>
      </c>
      <c r="Y50" s="183" t="str">
        <f>IF(AND(ISNUMBER(Y81),Y81&gt;0.8*'Ratio_M+Cl'!S74,Y81&lt;1.2*'Ratio_M+Cl'!S74),Y113/'Ratio_M+Cl'!S106,IF(OR(Y113="N/A",Y145="N/A"),"N/A",""))</f>
        <v/>
      </c>
      <c r="Z50" s="183" t="str">
        <f>IF(AND(ISNUMBER(Z81),Z81&gt;0.8*'Ratio_M+Cl'!T74,Z81&lt;1.2*'Ratio_M+Cl'!T74),Z113/'Ratio_M+Cl'!T106,IF(OR(Z113="N/A",Z145="N/A"),"N/A",""))</f>
        <v/>
      </c>
      <c r="AA50" s="183" t="str">
        <f>IF(AND(ISNUMBER(AA81),AA81&gt;0.8*'Ratio_M+Cl'!U74,AA81&lt;1.2*'Ratio_M+Cl'!U74),AA113/'Ratio_M+Cl'!U106,IF(OR(AA113="N/A",AA145="N/A"),"N/A",""))</f>
        <v/>
      </c>
      <c r="AB50" s="183" t="str">
        <f>IF(AND(ISNUMBER(AB81),AB81&gt;0.8*'Ratio_M+Cl'!V74,AB81&lt;1.2*'Ratio_M+Cl'!V74),AB113/'Ratio_M+Cl'!V106,IF(OR(AB113="N/A",AB145="N/A"),"N/A",""))</f>
        <v/>
      </c>
      <c r="AC50" s="183" t="str">
        <f>IF(AND(ISNUMBER(AC81),AC81&gt;0.8*'Ratio_M+Cl'!W74,AC81&lt;1.2*'Ratio_M+Cl'!W74),AC113/'Ratio_M+Cl'!W106,IF(OR(AC113="N/A",AC145="N/A"),"N/A",""))</f>
        <v/>
      </c>
      <c r="AD50" s="183" t="str">
        <f>IF(AND(ISNUMBER(AD81),AD81&gt;0.8*'Ratio_M+Cl'!X74,AD81&lt;1.2*'Ratio_M+Cl'!X74),AD113/'Ratio_M+Cl'!X106,IF(OR(AD113="N/A",AD145="N/A"),"N/A",""))</f>
        <v/>
      </c>
      <c r="AE50" s="183" t="str">
        <f>IF(AND(ISNUMBER(AE81),AE81&gt;0.8*'Ratio_M+Cl'!Y74,AE81&lt;1.2*'Ratio_M+Cl'!Y74),AE113/'Ratio_M+Cl'!Y106,IF(OR(AE113="N/A",AE145="N/A"),"N/A",""))</f>
        <v/>
      </c>
      <c r="AF50" s="183" t="str">
        <f>IF(AND(ISNUMBER(AF81),AF81&gt;0.8*'Ratio_M+Cl'!Z74,AF81&lt;1.2*'Ratio_M+Cl'!Z74),AF113/'Ratio_M+Cl'!Z106,IF(OR(AF113="N/A",AF145="N/A"),"N/A",""))</f>
        <v/>
      </c>
      <c r="AG50" s="183" t="str">
        <f>IF(AND(ISNUMBER(AG81),AG81&gt;0.8*'Ratio_M+Cl'!AA74,AG81&lt;1.2*'Ratio_M+Cl'!AA74),AG113/'Ratio_M+Cl'!AA106,IF(OR(AG113="N/A",AG145="N/A"),"N/A",""))</f>
        <v/>
      </c>
      <c r="AH50" s="183" t="str">
        <f>IF(AND(ISNUMBER(AH81),AH81&gt;0.8*'Ratio_M+Cl'!AB74,AH81&lt;1.2*'Ratio_M+Cl'!AB74),AH113/'Ratio_M+Cl'!AB106,IF(OR(AH113="N/A",AH145="N/A"),"N/A",""))</f>
        <v/>
      </c>
      <c r="AI50" s="183" t="str">
        <f>IF(AND(ISNUMBER(AI81),AI81&gt;0.8*'Ratio_M+Cl'!AC74,AI81&lt;1.2*'Ratio_M+Cl'!AC74),AI113/'Ratio_M+Cl'!AC106,IF(OR(AI113="N/A",AI145="N/A"),"N/A",""))</f>
        <v/>
      </c>
      <c r="AK50" s="160" t="s">
        <v>15</v>
      </c>
      <c r="AL50" s="177">
        <f t="shared" si="2"/>
        <v>0.17868926455952894</v>
      </c>
      <c r="AM50" s="177">
        <f t="shared" si="0"/>
        <v>3.2919665830307561</v>
      </c>
      <c r="AN50" s="177">
        <f t="shared" si="0"/>
        <v>7.7800802321384133</v>
      </c>
      <c r="AO50" s="177">
        <f t="shared" si="0"/>
        <v>6.9386156530224934</v>
      </c>
      <c r="AP50" s="177">
        <f t="shared" si="0"/>
        <v>3.5022838290553886</v>
      </c>
      <c r="AQ50" s="177">
        <f t="shared" si="0"/>
        <v>1.7811657532271754</v>
      </c>
      <c r="AR50" s="177">
        <f t="shared" si="0"/>
        <v>0.81719340862593004</v>
      </c>
      <c r="AS50" s="177">
        <f t="shared" si="0"/>
        <v>0.285313301349784</v>
      </c>
      <c r="AT50" s="177">
        <f t="shared" si="0"/>
        <v>0.43707191944123386</v>
      </c>
      <c r="AU50" s="177">
        <f t="shared" si="0"/>
        <v>0.90965154184655195</v>
      </c>
      <c r="AV50" s="177">
        <f t="shared" si="0"/>
        <v>0.84951928468627258</v>
      </c>
      <c r="AW50" s="177">
        <f t="shared" si="0"/>
        <v>0.30605466577232793</v>
      </c>
      <c r="AX50" s="177">
        <f t="shared" si="0"/>
        <v>2.2232538271560347E-2</v>
      </c>
      <c r="AY50" s="177" t="str">
        <f t="shared" si="0"/>
        <v/>
      </c>
      <c r="AZ50" s="177" t="str">
        <f t="shared" si="0"/>
        <v/>
      </c>
      <c r="BA50" s="177" t="str">
        <f t="shared" si="0"/>
        <v/>
      </c>
      <c r="BB50" s="177" t="str">
        <f t="shared" si="0"/>
        <v/>
      </c>
      <c r="BC50" s="177" t="str">
        <f t="shared" si="1"/>
        <v/>
      </c>
      <c r="BD50" s="177" t="str">
        <f t="shared" si="1"/>
        <v/>
      </c>
      <c r="BE50" s="177" t="str">
        <f t="shared" si="1"/>
        <v/>
      </c>
      <c r="BF50" s="177" t="str">
        <f t="shared" si="1"/>
        <v/>
      </c>
      <c r="BG50" s="177" t="str">
        <f t="shared" si="1"/>
        <v/>
      </c>
      <c r="BH50" s="177" t="str">
        <f t="shared" si="1"/>
        <v/>
      </c>
      <c r="BI50" s="177" t="str">
        <f t="shared" si="1"/>
        <v/>
      </c>
      <c r="BJ50" s="177" t="str">
        <f t="shared" si="1"/>
        <v/>
      </c>
      <c r="BK50" s="177" t="str">
        <f t="shared" si="1"/>
        <v/>
      </c>
      <c r="BL50" s="177" t="str">
        <f t="shared" si="1"/>
        <v/>
      </c>
    </row>
    <row r="51" spans="1:64" ht="15.75" x14ac:dyDescent="0.3">
      <c r="A51" s="150">
        <v>46</v>
      </c>
      <c r="B51" s="10" t="s">
        <v>1098</v>
      </c>
      <c r="C51">
        <v>58154265.315906502</v>
      </c>
      <c r="E51" s="10" t="s">
        <v>497</v>
      </c>
      <c r="F51" s="151">
        <f>IF(ISNUMBER(I48),I48/SUM($I$43:$AI$71),0)</f>
        <v>0</v>
      </c>
      <c r="H51" s="160" t="s">
        <v>16</v>
      </c>
      <c r="I51" s="183">
        <f>IF(AND(ISNUMBER(I82),I82&gt;0.8*'Ratio_M+Cl'!C75,I82&lt;1.2*'Ratio_M+Cl'!C75),I114/'Ratio_M+Cl'!C107,IF(OR(I114="N/A",I146="N/A"),"N/A",""))</f>
        <v>67.291417149742131</v>
      </c>
      <c r="J51" s="183">
        <f>IF(AND(ISNUMBER(J82),J82&gt;0.8*'Ratio_M+Cl'!D75,J82&lt;1.2*'Ratio_M+Cl'!D75),J114/'Ratio_M+Cl'!D107,IF(OR(J114="N/A",J146="N/A"),"N/A",""))</f>
        <v>1072.6719053476413</v>
      </c>
      <c r="K51" s="180">
        <f>IF(AND(ISNUMBER(K82),K82&gt;0.8*'Ratio_M+Cl'!E75,K82&lt;1.2*'Ratio_M+Cl'!E75),K114/'Ratio_M+Cl'!E107,IF(OR(K114="N/A",K146="N/A"),"N/A",""))</f>
        <v>2726.1474929626534</v>
      </c>
      <c r="L51" s="180">
        <f>IF(AND(ISNUMBER(L82),L82&gt;0.8*'Ratio_M+Cl'!F75,L82&lt;1.2*'Ratio_M+Cl'!F75),L114/'Ratio_M+Cl'!F107,IF(OR(L114="N/A",L146="N/A"),"N/A",""))</f>
        <v>2899.7197104930306</v>
      </c>
      <c r="M51" s="180">
        <f>IF(AND(ISNUMBER(M82),M82&gt;0.8*'Ratio_M+Cl'!G75,M82&lt;1.2*'Ratio_M+Cl'!G75),M114/'Ratio_M+Cl'!G107,IF(OR(M114="N/A",M146="N/A"),"N/A",""))</f>
        <v>1924.9801045483475</v>
      </c>
      <c r="N51" s="183">
        <f>IF(AND(ISNUMBER(N82),N82&gt;0.8*'Ratio_M+Cl'!H75,N82&lt;1.2*'Ratio_M+Cl'!H75),N114/'Ratio_M+Cl'!H107,IF(OR(N114="N/A",N146="N/A"),"N/A",""))</f>
        <v>1154.1259638824231</v>
      </c>
      <c r="O51" s="183">
        <f>IF(AND(ISNUMBER(O82),O82&gt;0.8*'Ratio_M+Cl'!I75,O82&lt;1.2*'Ratio_M+Cl'!I75),O114/'Ratio_M+Cl'!I107,IF(OR(O114="N/A",O146="N/A"),"N/A",""))</f>
        <v>606.46986246857568</v>
      </c>
      <c r="P51" s="183">
        <f>IF(AND(ISNUMBER(P82),P82&gt;0.8*'Ratio_M+Cl'!J75,P82&lt;1.2*'Ratio_M+Cl'!J75),P114/'Ratio_M+Cl'!J107,IF(OR(P114="N/A",P146="N/A"),"N/A",""))</f>
        <v>214.70789166712584</v>
      </c>
      <c r="Q51" s="183">
        <f>IF(AND(ISNUMBER(Q82),Q82&gt;0.8*'Ratio_M+Cl'!K75,Q82&lt;1.2*'Ratio_M+Cl'!K75),Q114/'Ratio_M+Cl'!K107,IF(OR(Q114="N/A",Q146="N/A"),"N/A",""))</f>
        <v>37.80177305817228</v>
      </c>
      <c r="R51" s="183">
        <f>IF(AND(ISNUMBER(R82),R82&gt;0.8*'Ratio_M+Cl'!L75,R82&lt;1.2*'Ratio_M+Cl'!L75),R114/'Ratio_M+Cl'!L107,IF(OR(R114="N/A",R146="N/A"),"N/A",""))</f>
        <v>11.182492253436207</v>
      </c>
      <c r="S51" s="183">
        <f>IF(AND(ISNUMBER(S82),S82&gt;0.8*'Ratio_M+Cl'!M75,S82&lt;1.2*'Ratio_M+Cl'!M75),S114/'Ratio_M+Cl'!M107,IF(OR(S114="N/A",S146="N/A"),"N/A",""))</f>
        <v>18.286438296772015</v>
      </c>
      <c r="T51" s="183">
        <f>IF(AND(ISNUMBER(T82),T82&gt;0.8*'Ratio_M+Cl'!N75,T82&lt;1.2*'Ratio_M+Cl'!N75),T114/'Ratio_M+Cl'!N107,IF(OR(T114="N/A",T146="N/A"),"N/A",""))</f>
        <v>12.757956849882296</v>
      </c>
      <c r="U51" s="185" t="str">
        <f>IF(AND(ISNUMBER(U82),U82&gt;0.8*'Ratio_M+Cl'!O75,U82&lt;1.2*'Ratio_M+Cl'!O75),U114/'Ratio_M+Cl'!O107,IF(OR(U114="N/A",U146="N/A"),"N/A",""))</f>
        <v/>
      </c>
      <c r="V51" s="183" t="str">
        <f>IF(AND(ISNUMBER(V82),V82&gt;0.8*'Ratio_M+Cl'!P75,V82&lt;1.2*'Ratio_M+Cl'!P75),V114/'Ratio_M+Cl'!P107,IF(OR(V114="N/A",V146="N/A"),"N/A",""))</f>
        <v/>
      </c>
      <c r="W51" s="184" t="str">
        <f>IF(AND(ISNUMBER(W82),W82&gt;0.8*'Ratio_M+Cl'!Q75,W82&lt;1.2*'Ratio_M+Cl'!Q75),W114/'Ratio_M+Cl'!Q107,IF(OR(W114="N/A",W146="N/A"),"N/A",""))</f>
        <v/>
      </c>
      <c r="X51" s="183" t="str">
        <f>IF(AND(ISNUMBER(X82),X82&gt;0.8*'Ratio_M+Cl'!R75,X82&lt;1.2*'Ratio_M+Cl'!R75),X114/'Ratio_M+Cl'!R107,IF(OR(X114="N/A",X146="N/A"),"N/A",""))</f>
        <v/>
      </c>
      <c r="Y51" s="183" t="str">
        <f>IF(AND(ISNUMBER(Y82),Y82&gt;0.8*'Ratio_M+Cl'!S75,Y82&lt;1.2*'Ratio_M+Cl'!S75),Y114/'Ratio_M+Cl'!S107,IF(OR(Y114="N/A",Y146="N/A"),"N/A",""))</f>
        <v/>
      </c>
      <c r="Z51" s="183" t="str">
        <f>IF(AND(ISNUMBER(Z82),Z82&gt;0.8*'Ratio_M+Cl'!T75,Z82&lt;1.2*'Ratio_M+Cl'!T75),Z114/'Ratio_M+Cl'!T107,IF(OR(Z114="N/A",Z146="N/A"),"N/A",""))</f>
        <v/>
      </c>
      <c r="AA51" s="183" t="str">
        <f>IF(AND(ISNUMBER(AA82),AA82&gt;0.8*'Ratio_M+Cl'!U75,AA82&lt;1.2*'Ratio_M+Cl'!U75),AA114/'Ratio_M+Cl'!U107,IF(OR(AA114="N/A",AA146="N/A"),"N/A",""))</f>
        <v/>
      </c>
      <c r="AB51" s="183" t="str">
        <f>IF(AND(ISNUMBER(AB82),AB82&gt;0.8*'Ratio_M+Cl'!V75,AB82&lt;1.2*'Ratio_M+Cl'!V75),AB114/'Ratio_M+Cl'!V107,IF(OR(AB114="N/A",AB146="N/A"),"N/A",""))</f>
        <v/>
      </c>
      <c r="AC51" s="183" t="str">
        <f>IF(AND(ISNUMBER(AC82),AC82&gt;0.8*'Ratio_M+Cl'!W75,AC82&lt;1.2*'Ratio_M+Cl'!W75),AC114/'Ratio_M+Cl'!W107,IF(OR(AC114="N/A",AC146="N/A"),"N/A",""))</f>
        <v/>
      </c>
      <c r="AD51" s="183" t="str">
        <f>IF(AND(ISNUMBER(AD82),AD82&gt;0.8*'Ratio_M+Cl'!X75,AD82&lt;1.2*'Ratio_M+Cl'!X75),AD114/'Ratio_M+Cl'!X107,IF(OR(AD114="N/A",AD146="N/A"),"N/A",""))</f>
        <v/>
      </c>
      <c r="AE51" s="183" t="str">
        <f>IF(AND(ISNUMBER(AE82),AE82&gt;0.8*'Ratio_M+Cl'!Y75,AE82&lt;1.2*'Ratio_M+Cl'!Y75),AE114/'Ratio_M+Cl'!Y107,IF(OR(AE114="N/A",AE146="N/A"),"N/A",""))</f>
        <v/>
      </c>
      <c r="AF51" s="183" t="str">
        <f>IF(AND(ISNUMBER(AF82),AF82&gt;0.8*'Ratio_M+Cl'!Z75,AF82&lt;1.2*'Ratio_M+Cl'!Z75),AF114/'Ratio_M+Cl'!Z107,IF(OR(AF114="N/A",AF146="N/A"),"N/A",""))</f>
        <v/>
      </c>
      <c r="AG51" s="183" t="str">
        <f>IF(AND(ISNUMBER(AG82),AG82&gt;0.8*'Ratio_M+Cl'!AA75,AG82&lt;1.2*'Ratio_M+Cl'!AA75),AG114/'Ratio_M+Cl'!AA107,IF(OR(AG114="N/A",AG146="N/A"),"N/A",""))</f>
        <v/>
      </c>
      <c r="AH51" s="183" t="str">
        <f>IF(AND(ISNUMBER(AH82),AH82&gt;0.8*'Ratio_M+Cl'!AB75,AH82&lt;1.2*'Ratio_M+Cl'!AB75),AH114/'Ratio_M+Cl'!AB107,IF(OR(AH114="N/A",AH146="N/A"),"N/A",""))</f>
        <v/>
      </c>
      <c r="AI51" s="183" t="str">
        <f>IF(AND(ISNUMBER(AI82),AI82&gt;0.8*'Ratio_M+Cl'!AC75,AI82&lt;1.2*'Ratio_M+Cl'!AC75),AI114/'Ratio_M+Cl'!AC107,IF(OR(AI114="N/A",AI146="N/A"),"N/A",""))</f>
        <v/>
      </c>
      <c r="AK51" s="160" t="s">
        <v>16</v>
      </c>
      <c r="AL51" s="177">
        <f t="shared" si="2"/>
        <v>0.16622109341878427</v>
      </c>
      <c r="AM51" s="177">
        <f t="shared" si="0"/>
        <v>2.6496796254079023</v>
      </c>
      <c r="AN51" s="177">
        <f t="shared" si="0"/>
        <v>6.7340418183311543</v>
      </c>
      <c r="AO51" s="177">
        <f t="shared" si="0"/>
        <v>7.1627943250709087</v>
      </c>
      <c r="AP51" s="177">
        <f t="shared" si="0"/>
        <v>4.7550239144972171</v>
      </c>
      <c r="AQ51" s="177">
        <f t="shared" si="0"/>
        <v>2.8508848198671037</v>
      </c>
      <c r="AR51" s="177">
        <f t="shared" si="0"/>
        <v>1.4980823399920429</v>
      </c>
      <c r="AS51" s="177">
        <f t="shared" si="0"/>
        <v>0.53036452537674494</v>
      </c>
      <c r="AT51" s="177">
        <f t="shared" si="0"/>
        <v>9.3376723467061301E-2</v>
      </c>
      <c r="AU51" s="177">
        <f t="shared" si="0"/>
        <v>2.7622632547282807E-2</v>
      </c>
      <c r="AV51" s="177">
        <f t="shared" si="0"/>
        <v>4.5170571481064785E-2</v>
      </c>
      <c r="AW51" s="177">
        <f t="shared" si="0"/>
        <v>3.1514294499967004E-2</v>
      </c>
      <c r="AX51" s="177" t="str">
        <f t="shared" si="0"/>
        <v/>
      </c>
      <c r="AY51" s="177" t="str">
        <f t="shared" si="0"/>
        <v/>
      </c>
      <c r="AZ51" s="177" t="str">
        <f t="shared" si="0"/>
        <v/>
      </c>
      <c r="BA51" s="177" t="str">
        <f t="shared" si="0"/>
        <v/>
      </c>
      <c r="BB51" s="177" t="str">
        <f t="shared" si="0"/>
        <v/>
      </c>
      <c r="BC51" s="177" t="str">
        <f t="shared" si="1"/>
        <v/>
      </c>
      <c r="BD51" s="177" t="str">
        <f t="shared" si="1"/>
        <v/>
      </c>
      <c r="BE51" s="177" t="str">
        <f t="shared" si="1"/>
        <v/>
      </c>
      <c r="BF51" s="177" t="str">
        <f t="shared" si="1"/>
        <v/>
      </c>
      <c r="BG51" s="177" t="str">
        <f t="shared" si="1"/>
        <v/>
      </c>
      <c r="BH51" s="177" t="str">
        <f t="shared" si="1"/>
        <v/>
      </c>
      <c r="BI51" s="177" t="str">
        <f t="shared" si="1"/>
        <v/>
      </c>
      <c r="BJ51" s="177" t="str">
        <f t="shared" si="1"/>
        <v/>
      </c>
      <c r="BK51" s="177" t="str">
        <f t="shared" si="1"/>
        <v/>
      </c>
      <c r="BL51" s="177" t="str">
        <f t="shared" si="1"/>
        <v/>
      </c>
    </row>
    <row r="52" spans="1:64" ht="15.75" x14ac:dyDescent="0.3">
      <c r="A52" s="150">
        <v>47</v>
      </c>
      <c r="B52" s="10" t="s">
        <v>1099</v>
      </c>
      <c r="C52">
        <v>2629272.5215820102</v>
      </c>
      <c r="E52" s="10" t="s">
        <v>367</v>
      </c>
      <c r="F52" s="151">
        <f>IF(ISNUMBER(J48),J48/SUM($I$43:$AI$71),0)</f>
        <v>4.6715783798993173E-4</v>
      </c>
      <c r="H52" s="159" t="s">
        <v>17</v>
      </c>
      <c r="I52" s="181">
        <f>IF(AND(ISNUMBER(I83),I83&gt;0.8*'Ratio_M+Cl'!C76,I83&lt;1.2*'Ratio_M+Cl'!C76),I115/'Ratio_M+Cl'!C108,IF(OR(I115="N/A",I147="N/A"),"N/A",""))</f>
        <v>31.194041521457997</v>
      </c>
      <c r="J52" s="181">
        <f>IF(AND(ISNUMBER(J83),J83&gt;0.8*'Ratio_M+Cl'!D76,J83&lt;1.2*'Ratio_M+Cl'!D76),J115/'Ratio_M+Cl'!D108,IF(OR(J115="N/A",J147="N/A"),"N/A",""))</f>
        <v>476.47892069878839</v>
      </c>
      <c r="K52" s="181">
        <f>IF(AND(ISNUMBER(K83),K83&gt;0.8*'Ratio_M+Cl'!E76,K83&lt;1.2*'Ratio_M+Cl'!E76),K115/'Ratio_M+Cl'!E108,IF(OR(K115="N/A",K147="N/A"),"N/A",""))</f>
        <v>1468.7840254713938</v>
      </c>
      <c r="L52" s="181">
        <f>IF(AND(ISNUMBER(L83),L83&gt;0.8*'Ratio_M+Cl'!F76,L83&lt;1.2*'Ratio_M+Cl'!F76),L115/'Ratio_M+Cl'!F108,IF(OR(L115="N/A",L147="N/A"),"N/A",""))</f>
        <v>2092.6958827607441</v>
      </c>
      <c r="M52" s="181">
        <f>IF(AND(ISNUMBER(M83),M83&gt;0.8*'Ratio_M+Cl'!G76,M83&lt;1.2*'Ratio_M+Cl'!G76),M115/'Ratio_M+Cl'!G108,IF(OR(M115="N/A",M147="N/A"),"N/A",""))</f>
        <v>1774.246403490105</v>
      </c>
      <c r="N52" s="181">
        <f>IF(AND(ISNUMBER(N83),N83&gt;0.8*'Ratio_M+Cl'!H76,N83&lt;1.2*'Ratio_M+Cl'!H76),N115/'Ratio_M+Cl'!H108,IF(OR(N115="N/A",N147="N/A"),"N/A",""))</f>
        <v>1076.2592590673698</v>
      </c>
      <c r="O52" s="181">
        <f>IF(AND(ISNUMBER(O83),O83&gt;0.8*'Ratio_M+Cl'!I76,O83&lt;1.2*'Ratio_M+Cl'!I76),O115/'Ratio_M+Cl'!I108,IF(OR(O115="N/A",O147="N/A"),"N/A",""))</f>
        <v>594.71807410158442</v>
      </c>
      <c r="P52" s="181">
        <f>IF(AND(ISNUMBER(P83),P83&gt;0.8*'Ratio_M+Cl'!J76,P83&lt;1.2*'Ratio_M+Cl'!J76),P115/'Ratio_M+Cl'!J108,IF(OR(P115="N/A",P147="N/A"),"N/A",""))</f>
        <v>259.44129094784995</v>
      </c>
      <c r="Q52" s="181">
        <f>IF(AND(ISNUMBER(Q83),Q83&gt;0.8*'Ratio_M+Cl'!K76,Q83&lt;1.2*'Ratio_M+Cl'!K76),Q115/'Ratio_M+Cl'!K108,IF(OR(Q115="N/A",Q147="N/A"),"N/A",""))</f>
        <v>69.771546218174421</v>
      </c>
      <c r="R52" s="181" t="str">
        <f>IF(AND(ISNUMBER(R83),R83&gt;0.8*'Ratio_M+Cl'!L76,R83&lt;1.2*'Ratio_M+Cl'!L76),R115/'Ratio_M+Cl'!L108,IF(OR(R115="N/A",R147="N/A"),"N/A",""))</f>
        <v/>
      </c>
      <c r="S52" s="181" t="str">
        <f>IF(AND(ISNUMBER(S83),S83&gt;0.8*'Ratio_M+Cl'!M76,S83&lt;1.2*'Ratio_M+Cl'!M76),S115/'Ratio_M+Cl'!M108,IF(OR(S115="N/A",S147="N/A"),"N/A",""))</f>
        <v/>
      </c>
      <c r="T52" s="181" t="str">
        <f>IF(AND(ISNUMBER(T83),T83&gt;0.8*'Ratio_M+Cl'!N76,T83&lt;1.2*'Ratio_M+Cl'!N76),T115/'Ratio_M+Cl'!N108,IF(OR(T115="N/A",T147="N/A"),"N/A",""))</f>
        <v/>
      </c>
      <c r="U52" s="181" t="str">
        <f>IF(AND(ISNUMBER(U83),U83&gt;0.8*'Ratio_M+Cl'!O76,U83&lt;1.2*'Ratio_M+Cl'!O76),U115/'Ratio_M+Cl'!O108,IF(OR(U115="N/A",U147="N/A"),"N/A",""))</f>
        <v/>
      </c>
      <c r="V52" s="182" t="str">
        <f>IF(AND(ISNUMBER(V83),V83&gt;0.8*'Ratio_M+Cl'!P76,V83&lt;1.2*'Ratio_M+Cl'!P76),V115/'Ratio_M+Cl'!P108,IF(OR(V115="N/A",V147="N/A"),"N/A",""))</f>
        <v/>
      </c>
      <c r="W52" s="183" t="str">
        <f>IF(AND(ISNUMBER(W83),W83&gt;0.8*'Ratio_M+Cl'!Q76,W83&lt;1.2*'Ratio_M+Cl'!Q76),W115/'Ratio_M+Cl'!Q108,IF(OR(W115="N/A",W147="N/A"),"N/A",""))</f>
        <v/>
      </c>
      <c r="X52" s="184" t="str">
        <f>IF(AND(ISNUMBER(X83),X83&gt;0.8*'Ratio_M+Cl'!R76,X83&lt;1.2*'Ratio_M+Cl'!R76),X115/'Ratio_M+Cl'!R108,IF(OR(X115="N/A",X147="N/A"),"N/A",""))</f>
        <v/>
      </c>
      <c r="Y52" s="183" t="str">
        <f>IF(AND(ISNUMBER(Y83),Y83&gt;0.8*'Ratio_M+Cl'!S76,Y83&lt;1.2*'Ratio_M+Cl'!S76),Y115/'Ratio_M+Cl'!S108,IF(OR(Y115="N/A",Y147="N/A"),"N/A",""))</f>
        <v/>
      </c>
      <c r="Z52" s="183" t="str">
        <f>IF(AND(ISNUMBER(Z83),Z83&gt;0.8*'Ratio_M+Cl'!T76,Z83&lt;1.2*'Ratio_M+Cl'!T76),Z115/'Ratio_M+Cl'!T108,IF(OR(Z115="N/A",Z147="N/A"),"N/A",""))</f>
        <v/>
      </c>
      <c r="AA52" s="183" t="str">
        <f>IF(AND(ISNUMBER(AA83),AA83&gt;0.8*'Ratio_M+Cl'!U76,AA83&lt;1.2*'Ratio_M+Cl'!U76),AA115/'Ratio_M+Cl'!U108,IF(OR(AA115="N/A",AA147="N/A"),"N/A",""))</f>
        <v/>
      </c>
      <c r="AB52" s="183" t="str">
        <f>IF(AND(ISNUMBER(AB83),AB83&gt;0.8*'Ratio_M+Cl'!V76,AB83&lt;1.2*'Ratio_M+Cl'!V76),AB115/'Ratio_M+Cl'!V108,IF(OR(AB115="N/A",AB147="N/A"),"N/A",""))</f>
        <v/>
      </c>
      <c r="AC52" s="183" t="str">
        <f>IF(AND(ISNUMBER(AC83),AC83&gt;0.8*'Ratio_M+Cl'!W76,AC83&lt;1.2*'Ratio_M+Cl'!W76),AC115/'Ratio_M+Cl'!W108,IF(OR(AC115="N/A",AC147="N/A"),"N/A",""))</f>
        <v/>
      </c>
      <c r="AD52" s="183" t="str">
        <f>IF(AND(ISNUMBER(AD83),AD83&gt;0.8*'Ratio_M+Cl'!X76,AD83&lt;1.2*'Ratio_M+Cl'!X76),AD115/'Ratio_M+Cl'!X108,IF(OR(AD115="N/A",AD147="N/A"),"N/A",""))</f>
        <v/>
      </c>
      <c r="AE52" s="183" t="str">
        <f>IF(AND(ISNUMBER(AE83),AE83&gt;0.8*'Ratio_M+Cl'!Y76,AE83&lt;1.2*'Ratio_M+Cl'!Y76),AE115/'Ratio_M+Cl'!Y108,IF(OR(AE115="N/A",AE147="N/A"),"N/A",""))</f>
        <v/>
      </c>
      <c r="AF52" s="183" t="str">
        <f>IF(AND(ISNUMBER(AF83),AF83&gt;0.8*'Ratio_M+Cl'!Z76,AF83&lt;1.2*'Ratio_M+Cl'!Z76),AF115/'Ratio_M+Cl'!Z108,IF(OR(AF115="N/A",AF147="N/A"),"N/A",""))</f>
        <v/>
      </c>
      <c r="AG52" s="183" t="str">
        <f>IF(AND(ISNUMBER(AG83),AG83&gt;0.8*'Ratio_M+Cl'!AA76,AG83&lt;1.2*'Ratio_M+Cl'!AA76),AG115/'Ratio_M+Cl'!AA108,IF(OR(AG115="N/A",AG147="N/A"),"N/A",""))</f>
        <v/>
      </c>
      <c r="AH52" s="183" t="str">
        <f>IF(AND(ISNUMBER(AH83),AH83&gt;0.8*'Ratio_M+Cl'!AB76,AH83&lt;1.2*'Ratio_M+Cl'!AB76),AH115/'Ratio_M+Cl'!AB108,IF(OR(AH115="N/A",AH147="N/A"),"N/A",""))</f>
        <v/>
      </c>
      <c r="AI52" s="183" t="str">
        <f>IF(AND(ISNUMBER(AI83),AI83&gt;0.8*'Ratio_M+Cl'!AC76,AI83&lt;1.2*'Ratio_M+Cl'!AC76),AI115/'Ratio_M+Cl'!AC108,IF(OR(AI115="N/A",AI147="N/A"),"N/A",""))</f>
        <v/>
      </c>
      <c r="AK52" s="159" t="s">
        <v>17</v>
      </c>
      <c r="AL52" s="177">
        <f t="shared" si="2"/>
        <v>7.7054517640925857E-2</v>
      </c>
      <c r="AM52" s="177">
        <f t="shared" si="0"/>
        <v>1.1769828983287853</v>
      </c>
      <c r="AN52" s="177">
        <f t="shared" si="0"/>
        <v>3.6281430389051357</v>
      </c>
      <c r="AO52" s="177">
        <f t="shared" si="0"/>
        <v>5.169310033275349</v>
      </c>
      <c r="AP52" s="177">
        <f t="shared" si="0"/>
        <v>4.3826863762758625</v>
      </c>
      <c r="AQ52" s="177">
        <f t="shared" si="0"/>
        <v>2.6585409911367042</v>
      </c>
      <c r="AR52" s="177">
        <f t="shared" si="0"/>
        <v>1.4690534505032009</v>
      </c>
      <c r="AS52" s="177">
        <f t="shared" si="0"/>
        <v>0.6408635289009933</v>
      </c>
      <c r="AT52" s="177">
        <f t="shared" si="0"/>
        <v>0.17234742844093365</v>
      </c>
      <c r="AU52" s="177" t="str">
        <f t="shared" si="0"/>
        <v/>
      </c>
      <c r="AV52" s="177" t="str">
        <f t="shared" si="0"/>
        <v/>
      </c>
      <c r="AW52" s="177" t="str">
        <f t="shared" si="0"/>
        <v/>
      </c>
      <c r="AX52" s="177" t="str">
        <f t="shared" si="0"/>
        <v/>
      </c>
      <c r="AY52" s="177" t="str">
        <f t="shared" si="0"/>
        <v/>
      </c>
      <c r="AZ52" s="177" t="str">
        <f t="shared" si="0"/>
        <v/>
      </c>
      <c r="BA52" s="177" t="str">
        <f t="shared" si="0"/>
        <v/>
      </c>
      <c r="BB52" s="177" t="str">
        <f t="shared" si="0"/>
        <v/>
      </c>
      <c r="BC52" s="177" t="str">
        <f t="shared" si="1"/>
        <v/>
      </c>
      <c r="BD52" s="177" t="str">
        <f t="shared" si="1"/>
        <v/>
      </c>
      <c r="BE52" s="177" t="str">
        <f t="shared" si="1"/>
        <v/>
      </c>
      <c r="BF52" s="177" t="str">
        <f t="shared" si="1"/>
        <v/>
      </c>
      <c r="BG52" s="177" t="str">
        <f t="shared" si="1"/>
        <v/>
      </c>
      <c r="BH52" s="177" t="str">
        <f t="shared" si="1"/>
        <v/>
      </c>
      <c r="BI52" s="177" t="str">
        <f t="shared" si="1"/>
        <v/>
      </c>
      <c r="BJ52" s="177" t="str">
        <f t="shared" si="1"/>
        <v/>
      </c>
      <c r="BK52" s="177" t="str">
        <f t="shared" si="1"/>
        <v/>
      </c>
      <c r="BL52" s="177" t="str">
        <f t="shared" si="1"/>
        <v/>
      </c>
    </row>
    <row r="53" spans="1:64" ht="15.75" x14ac:dyDescent="0.3">
      <c r="A53" s="150">
        <v>48</v>
      </c>
      <c r="B53" s="10" t="s">
        <v>1100</v>
      </c>
      <c r="C53">
        <v>1693117.41921681</v>
      </c>
      <c r="E53" s="10" t="s">
        <v>368</v>
      </c>
      <c r="F53" s="151">
        <f>IF(ISNUMBER(K48),K48/SUM($I$43:$AI$71),0)</f>
        <v>2.6819460959036038E-3</v>
      </c>
      <c r="H53" s="160" t="s">
        <v>9</v>
      </c>
      <c r="I53" s="183" t="str">
        <f>IF(AND(ISNUMBER(I84),I84&gt;0.8*'Ratio_M+Cl'!C77,I84&lt;1.2*'Ratio_M+Cl'!C77),I116/'Ratio_M+Cl'!C109,IF(OR(I116="N/A",I148="N/A"),"N/A",""))</f>
        <v/>
      </c>
      <c r="J53" s="183">
        <f>IF(AND(ISNUMBER(J84),J84&gt;0.8*'Ratio_M+Cl'!D77,J84&lt;1.2*'Ratio_M+Cl'!D77),J116/'Ratio_M+Cl'!D109,IF(OR(J116="N/A",J148="N/A"),"N/A",""))</f>
        <v>56.895728367657959</v>
      </c>
      <c r="K53" s="180">
        <f>IF(AND(ISNUMBER(K84),K84&gt;0.8*'Ratio_M+Cl'!E77,K84&lt;1.2*'Ratio_M+Cl'!E77),K116/'Ratio_M+Cl'!E109,IF(OR(K116="N/A",K148="N/A"),"N/A",""))</f>
        <v>206.98531558702524</v>
      </c>
      <c r="L53" s="180">
        <f>IF(AND(ISNUMBER(L84),L84&gt;0.8*'Ratio_M+Cl'!F77,L84&lt;1.2*'Ratio_M+Cl'!F77),L116/'Ratio_M+Cl'!F109,IF(OR(L116="N/A",L148="N/A"),"N/A",""))</f>
        <v>351.63479673885411</v>
      </c>
      <c r="M53" s="180">
        <f>IF(AND(ISNUMBER(M84),M84&gt;0.8*'Ratio_M+Cl'!G77,M84&lt;1.2*'Ratio_M+Cl'!G77),M116/'Ratio_M+Cl'!G109,IF(OR(M116="N/A",M148="N/A"),"N/A",""))</f>
        <v>350.25437458447158</v>
      </c>
      <c r="N53" s="183">
        <f>IF(AND(ISNUMBER(N84),N84&gt;0.8*'Ratio_M+Cl'!H77,N84&lt;1.2*'Ratio_M+Cl'!H77),N116/'Ratio_M+Cl'!H109,IF(OR(N116="N/A",N148="N/A"),"N/A",""))</f>
        <v>214.8570261530169</v>
      </c>
      <c r="O53" s="183">
        <f>IF(AND(ISNUMBER(O84),O84&gt;0.8*'Ratio_M+Cl'!I77,O84&lt;1.2*'Ratio_M+Cl'!I77),O116/'Ratio_M+Cl'!I109,IF(OR(O116="N/A",O148="N/A"),"N/A",""))</f>
        <v>110.76027566617449</v>
      </c>
      <c r="P53" s="183">
        <f>IF(AND(ISNUMBER(P84),P84&gt;0.8*'Ratio_M+Cl'!J77,P84&lt;1.2*'Ratio_M+Cl'!J77),P116/'Ratio_M+Cl'!J109,IF(OR(P116="N/A",P148="N/A"),"N/A",""))</f>
        <v>54.623501748160493</v>
      </c>
      <c r="Q53" s="183">
        <f>IF(AND(ISNUMBER(Q84),Q84&gt;0.8*'Ratio_M+Cl'!K77,Q84&lt;1.2*'Ratio_M+Cl'!K77),Q116/'Ratio_M+Cl'!K109,IF(OR(Q116="N/A",Q148="N/A"),"N/A",""))</f>
        <v>14.066262915840277</v>
      </c>
      <c r="R53" s="183" t="str">
        <f>IF(AND(ISNUMBER(R84),R84&gt;0.8*'Ratio_M+Cl'!L77,R84&lt;1.2*'Ratio_M+Cl'!L77),R116/'Ratio_M+Cl'!L109,IF(OR(R116="N/A",R148="N/A"),"N/A",""))</f>
        <v/>
      </c>
      <c r="S53" s="183">
        <f>IF(AND(ISNUMBER(S84),S84&gt;0.8*'Ratio_M+Cl'!M77,S84&lt;1.2*'Ratio_M+Cl'!M77),S116/'Ratio_M+Cl'!M109,IF(OR(S116="N/A",S148="N/A"),"N/A",""))</f>
        <v>38.902015093005559</v>
      </c>
      <c r="T53" s="183">
        <f>IF(AND(ISNUMBER(T84),T84&gt;0.8*'Ratio_M+Cl'!N77,T84&lt;1.2*'Ratio_M+Cl'!N77),T116/'Ratio_M+Cl'!N109,IF(OR(T116="N/A",T148="N/A"),"N/A",""))</f>
        <v>118.86016623161517</v>
      </c>
      <c r="U53" s="183">
        <f>IF(AND(ISNUMBER(U84),U84&gt;0.8*'Ratio_M+Cl'!O77,U84&lt;1.2*'Ratio_M+Cl'!O77),U116/'Ratio_M+Cl'!O109,IF(OR(U116="N/A",U148="N/A"),"N/A",""))</f>
        <v>151.97339740004827</v>
      </c>
      <c r="V53" s="183">
        <f>IF(AND(ISNUMBER(V84),V84&gt;0.8*'Ratio_M+Cl'!P77,V84&lt;1.2*'Ratio_M+Cl'!P77),V116/'Ratio_M+Cl'!P109,IF(OR(V116="N/A",V148="N/A"),"N/A",""))</f>
        <v>96.061296517596901</v>
      </c>
      <c r="W53" s="185">
        <f>IF(AND(ISNUMBER(W84),W84&gt;0.8*'Ratio_M+Cl'!Q77,W84&lt;1.2*'Ratio_M+Cl'!Q77),W116/'Ratio_M+Cl'!Q109,IF(OR(W116="N/A",W148="N/A"),"N/A",""))</f>
        <v>19.381868439433909</v>
      </c>
      <c r="X53" s="183" t="str">
        <f>IF(AND(ISNUMBER(X84),X84&gt;0.8*'Ratio_M+Cl'!R77,X84&lt;1.2*'Ratio_M+Cl'!R77),X116/'Ratio_M+Cl'!R109,IF(OR(X116="N/A",X148="N/A"),"N/A",""))</f>
        <v/>
      </c>
      <c r="Y53" s="184" t="str">
        <f>IF(AND(ISNUMBER(Y84),Y84&gt;0.8*'Ratio_M+Cl'!S77,Y84&lt;1.2*'Ratio_M+Cl'!S77),Y116/'Ratio_M+Cl'!S109,IF(OR(Y116="N/A",Y148="N/A"),"N/A",""))</f>
        <v/>
      </c>
      <c r="Z53" s="183" t="str">
        <f>IF(AND(ISNUMBER(Z84),Z84&gt;0.8*'Ratio_M+Cl'!T77,Z84&lt;1.2*'Ratio_M+Cl'!T77),Z116/'Ratio_M+Cl'!T109,IF(OR(Z116="N/A",Z148="N/A"),"N/A",""))</f>
        <v/>
      </c>
      <c r="AA53" s="183" t="str">
        <f>IF(AND(ISNUMBER(AA84),AA84&gt;0.8*'Ratio_M+Cl'!U77,AA84&lt;1.2*'Ratio_M+Cl'!U77),AA116/'Ratio_M+Cl'!U109,IF(OR(AA116="N/A",AA148="N/A"),"N/A",""))</f>
        <v/>
      </c>
      <c r="AB53" s="183" t="str">
        <f>IF(AND(ISNUMBER(AB84),AB84&gt;0.8*'Ratio_M+Cl'!V77,AB84&lt;1.2*'Ratio_M+Cl'!V77),AB116/'Ratio_M+Cl'!V109,IF(OR(AB116="N/A",AB148="N/A"),"N/A",""))</f>
        <v/>
      </c>
      <c r="AC53" s="183" t="str">
        <f>IF(AND(ISNUMBER(AC84),AC84&gt;0.8*'Ratio_M+Cl'!W77,AC84&lt;1.2*'Ratio_M+Cl'!W77),AC116/'Ratio_M+Cl'!W109,IF(OR(AC116="N/A",AC148="N/A"),"N/A",""))</f>
        <v/>
      </c>
      <c r="AD53" s="183" t="str">
        <f>IF(AND(ISNUMBER(AD84),AD84&gt;0.8*'Ratio_M+Cl'!X77,AD84&lt;1.2*'Ratio_M+Cl'!X77),AD116/'Ratio_M+Cl'!X109,IF(OR(AD116="N/A",AD148="N/A"),"N/A",""))</f>
        <v/>
      </c>
      <c r="AE53" s="183" t="str">
        <f>IF(AND(ISNUMBER(AE84),AE84&gt;0.8*'Ratio_M+Cl'!Y77,AE84&lt;1.2*'Ratio_M+Cl'!Y77),AE116/'Ratio_M+Cl'!Y109,IF(OR(AE116="N/A",AE148="N/A"),"N/A",""))</f>
        <v/>
      </c>
      <c r="AF53" s="183" t="str">
        <f>IF(AND(ISNUMBER(AF84),AF84&gt;0.8*'Ratio_M+Cl'!Z77,AF84&lt;1.2*'Ratio_M+Cl'!Z77),AF116/'Ratio_M+Cl'!Z109,IF(OR(AF116="N/A",AF148="N/A"),"N/A",""))</f>
        <v/>
      </c>
      <c r="AG53" s="183" t="str">
        <f>IF(AND(ISNUMBER(AG84),AG84&gt;0.8*'Ratio_M+Cl'!AA77,AG84&lt;1.2*'Ratio_M+Cl'!AA77),AG116/'Ratio_M+Cl'!AA109,IF(OR(AG116="N/A",AG148="N/A"),"N/A",""))</f>
        <v/>
      </c>
      <c r="AH53" s="183" t="str">
        <f>IF(AND(ISNUMBER(AH84),AH84&gt;0.8*'Ratio_M+Cl'!AB77,AH84&lt;1.2*'Ratio_M+Cl'!AB77),AH116/'Ratio_M+Cl'!AB109,IF(OR(AH116="N/A",AH148="N/A"),"N/A",""))</f>
        <v/>
      </c>
      <c r="AI53" s="183" t="str">
        <f>IF(AND(ISNUMBER(AI84),AI84&gt;0.8*'Ratio_M+Cl'!AC77,AI84&lt;1.2*'Ratio_M+Cl'!AC77),AI116/'Ratio_M+Cl'!AC109,IF(OR(AI116="N/A",AI148="N/A"),"N/A",""))</f>
        <v/>
      </c>
      <c r="AK53" s="160" t="s">
        <v>9</v>
      </c>
      <c r="AL53" s="177" t="str">
        <f t="shared" si="2"/>
        <v/>
      </c>
      <c r="AM53" s="177">
        <f t="shared" si="0"/>
        <v>0.14054199748959351</v>
      </c>
      <c r="AN53" s="177">
        <f t="shared" si="0"/>
        <v>0.51128846643170034</v>
      </c>
      <c r="AO53" s="177">
        <f t="shared" si="0"/>
        <v>0.86859696041114332</v>
      </c>
      <c r="AP53" s="177">
        <f t="shared" si="0"/>
        <v>0.86518708602299688</v>
      </c>
      <c r="AQ53" s="177">
        <f t="shared" si="0"/>
        <v>0.53073291258511801</v>
      </c>
      <c r="AR53" s="177">
        <f t="shared" si="0"/>
        <v>0.27359646903599266</v>
      </c>
      <c r="AS53" s="177">
        <f t="shared" si="0"/>
        <v>0.13492921640716118</v>
      </c>
      <c r="AT53" s="177">
        <f t="shared" si="0"/>
        <v>3.4746030046954181E-2</v>
      </c>
      <c r="AU53" s="177" t="str">
        <f t="shared" si="0"/>
        <v/>
      </c>
      <c r="AV53" s="177">
        <f t="shared" si="0"/>
        <v>9.6094505939205252E-2</v>
      </c>
      <c r="AW53" s="177">
        <f t="shared" si="0"/>
        <v>0.29360455808194025</v>
      </c>
      <c r="AX53" s="177">
        <f t="shared" si="0"/>
        <v>0.37539979623538444</v>
      </c>
      <c r="AY53" s="177">
        <f t="shared" si="0"/>
        <v>0.23728752370973363</v>
      </c>
      <c r="AZ53" s="177">
        <f t="shared" si="0"/>
        <v>4.7876467771998416E-2</v>
      </c>
      <c r="BA53" s="177" t="str">
        <f t="shared" si="0"/>
        <v/>
      </c>
      <c r="BB53" s="177" t="str">
        <f t="shared" si="0"/>
        <v/>
      </c>
      <c r="BC53" s="177" t="str">
        <f t="shared" si="1"/>
        <v/>
      </c>
      <c r="BD53" s="177" t="str">
        <f t="shared" si="1"/>
        <v/>
      </c>
      <c r="BE53" s="177" t="str">
        <f t="shared" si="1"/>
        <v/>
      </c>
      <c r="BF53" s="177" t="str">
        <f t="shared" si="1"/>
        <v/>
      </c>
      <c r="BG53" s="177" t="str">
        <f t="shared" si="1"/>
        <v/>
      </c>
      <c r="BH53" s="177" t="str">
        <f t="shared" si="1"/>
        <v/>
      </c>
      <c r="BI53" s="177" t="str">
        <f t="shared" si="1"/>
        <v/>
      </c>
      <c r="BJ53" s="177" t="str">
        <f t="shared" si="1"/>
        <v/>
      </c>
      <c r="BK53" s="177" t="str">
        <f t="shared" si="1"/>
        <v/>
      </c>
      <c r="BL53" s="177" t="str">
        <f t="shared" si="1"/>
        <v/>
      </c>
    </row>
    <row r="54" spans="1:64" ht="15.75" x14ac:dyDescent="0.3">
      <c r="A54" s="150">
        <v>49</v>
      </c>
      <c r="B54" s="10" t="s">
        <v>677</v>
      </c>
      <c r="C54">
        <v>186311.70471093801</v>
      </c>
      <c r="E54" s="10" t="s">
        <v>369</v>
      </c>
      <c r="F54" s="151">
        <f>IF(ISNUMBER(L48),L48/SUM($I$43:$AI$71),0)</f>
        <v>6.6436736400903584E-3</v>
      </c>
      <c r="H54" s="160" t="s">
        <v>18</v>
      </c>
      <c r="I54" s="183" t="str">
        <f>IF(AND(ISNUMBER(I85),I85&gt;0.8*'Ratio_M+Cl'!C78,I85&lt;1.2*'Ratio_M+Cl'!C78),I117/'Ratio_M+Cl'!C110,IF(OR(I117="N/A",I149="N/A"),"N/A",""))</f>
        <v/>
      </c>
      <c r="J54" s="183">
        <f>IF(AND(ISNUMBER(J85),J85&gt;0.8*'Ratio_M+Cl'!D78,J85&lt;1.2*'Ratio_M+Cl'!D78),J117/'Ratio_M+Cl'!D110,IF(OR(J117="N/A",J149="N/A"),"N/A",""))</f>
        <v>15.810954330644442</v>
      </c>
      <c r="K54" s="180">
        <f>IF(AND(ISNUMBER(K85),K85&gt;0.8*'Ratio_M+Cl'!E78,K85&lt;1.2*'Ratio_M+Cl'!E78),K117/'Ratio_M+Cl'!E110,IF(OR(K117="N/A",K149="N/A"),"N/A",""))</f>
        <v>16.082369515095237</v>
      </c>
      <c r="L54" s="180" t="str">
        <f>IF(AND(ISNUMBER(L85),L85&gt;0.8*'Ratio_M+Cl'!F78,L85&lt;1.2*'Ratio_M+Cl'!F78),L117/'Ratio_M+Cl'!F110,IF(OR(L117="N/A",L149="N/A"),"N/A",""))</f>
        <v/>
      </c>
      <c r="M54" s="180" t="str">
        <f>IF(AND(ISNUMBER(M85),M85&gt;0.8*'Ratio_M+Cl'!G78,M85&lt;1.2*'Ratio_M+Cl'!G78),M117/'Ratio_M+Cl'!G110,IF(OR(M117="N/A",M149="N/A"),"N/A",""))</f>
        <v/>
      </c>
      <c r="N54" s="183" t="str">
        <f>IF(AND(ISNUMBER(N85),N85&gt;0.8*'Ratio_M+Cl'!H78,N85&lt;1.2*'Ratio_M+Cl'!H78),N117/'Ratio_M+Cl'!H110,IF(OR(N117="N/A",N149="N/A"),"N/A",""))</f>
        <v/>
      </c>
      <c r="O54" s="183" t="str">
        <f>IF(AND(ISNUMBER(O85),O85&gt;0.8*'Ratio_M+Cl'!I78,O85&lt;1.2*'Ratio_M+Cl'!I78),O117/'Ratio_M+Cl'!I110,IF(OR(O117="N/A",O149="N/A"),"N/A",""))</f>
        <v/>
      </c>
      <c r="P54" s="183" t="str">
        <f>IF(AND(ISNUMBER(P85),P85&gt;0.8*'Ratio_M+Cl'!J78,P85&lt;1.2*'Ratio_M+Cl'!J78),P117/'Ratio_M+Cl'!J110,IF(OR(P117="N/A",P149="N/A"),"N/A",""))</f>
        <v/>
      </c>
      <c r="Q54" s="183" t="str">
        <f>IF(AND(ISNUMBER(Q85),Q85&gt;0.8*'Ratio_M+Cl'!K78,Q85&lt;1.2*'Ratio_M+Cl'!K78),Q117/'Ratio_M+Cl'!K110,IF(OR(Q117="N/A",Q149="N/A"),"N/A",""))</f>
        <v/>
      </c>
      <c r="R54" s="183" t="str">
        <f>IF(AND(ISNUMBER(R85),R85&gt;0.8*'Ratio_M+Cl'!L78,R85&lt;1.2*'Ratio_M+Cl'!L78),R117/'Ratio_M+Cl'!L110,IF(OR(R117="N/A",R149="N/A"),"N/A",""))</f>
        <v/>
      </c>
      <c r="S54" s="183">
        <f>IF(AND(ISNUMBER(S85),S85&gt;0.8*'Ratio_M+Cl'!M78,S85&lt;1.2*'Ratio_M+Cl'!M78),S117/'Ratio_M+Cl'!M110,IF(OR(S117="N/A",S149="N/A"),"N/A",""))</f>
        <v>38.59652785153768</v>
      </c>
      <c r="T54" s="183">
        <f>IF(AND(ISNUMBER(T85),T85&gt;0.8*'Ratio_M+Cl'!N78,T85&lt;1.2*'Ratio_M+Cl'!N78),T117/'Ratio_M+Cl'!N110,IF(OR(T117="N/A",T149="N/A"),"N/A",""))</f>
        <v>229.81786619662373</v>
      </c>
      <c r="U54" s="183">
        <f>IF(AND(ISNUMBER(U85),U85&gt;0.8*'Ratio_M+Cl'!O78,U85&lt;1.2*'Ratio_M+Cl'!O78),U117/'Ratio_M+Cl'!O110,IF(OR(U117="N/A",U149="N/A"),"N/A",""))</f>
        <v>512.49345347409997</v>
      </c>
      <c r="V54" s="183">
        <f>IF(AND(ISNUMBER(V85),V85&gt;0.8*'Ratio_M+Cl'!P78,V85&lt;1.2*'Ratio_M+Cl'!P78),V117/'Ratio_M+Cl'!P110,IF(OR(V117="N/A",V149="N/A"),"N/A",""))</f>
        <v>570.35897042323711</v>
      </c>
      <c r="W54" s="183">
        <f>IF(AND(ISNUMBER(W85),W85&gt;0.8*'Ratio_M+Cl'!Q78,W85&lt;1.2*'Ratio_M+Cl'!Q78),W117/'Ratio_M+Cl'!Q110,IF(OR(W117="N/A",W149="N/A"),"N/A",""))</f>
        <v>327.32675964817315</v>
      </c>
      <c r="X54" s="185">
        <f>IF(AND(ISNUMBER(X85),X85&gt;0.8*'Ratio_M+Cl'!R78,X85&lt;1.2*'Ratio_M+Cl'!R78),X117/'Ratio_M+Cl'!R110,IF(OR(X117="N/A",X149="N/A"),"N/A",""))</f>
        <v>89.381506087190644</v>
      </c>
      <c r="Y54" s="183" t="str">
        <f>IF(AND(ISNUMBER(Y85),Y85&gt;0.8*'Ratio_M+Cl'!S78,Y85&lt;1.2*'Ratio_M+Cl'!S78),Y117/'Ratio_M+Cl'!S110,IF(OR(Y117="N/A",Y149="N/A"),"N/A",""))</f>
        <v/>
      </c>
      <c r="Z54" s="184" t="str">
        <f>IF(AND(ISNUMBER(Z85),Z85&gt;0.8*'Ratio_M+Cl'!T78,Z85&lt;1.2*'Ratio_M+Cl'!T78),Z117/'Ratio_M+Cl'!T110,IF(OR(Z117="N/A",Z149="N/A"),"N/A",""))</f>
        <v/>
      </c>
      <c r="AA54" s="183" t="str">
        <f>IF(AND(ISNUMBER(AA85),AA85&gt;0.8*'Ratio_M+Cl'!U78,AA85&lt;1.2*'Ratio_M+Cl'!U78),AA117/'Ratio_M+Cl'!U110,IF(OR(AA117="N/A",AA149="N/A"),"N/A",""))</f>
        <v/>
      </c>
      <c r="AB54" s="183" t="str">
        <f>IF(AND(ISNUMBER(AB85),AB85&gt;0.8*'Ratio_M+Cl'!V78,AB85&lt;1.2*'Ratio_M+Cl'!V78),AB117/'Ratio_M+Cl'!V110,IF(OR(AB117="N/A",AB149="N/A"),"N/A",""))</f>
        <v/>
      </c>
      <c r="AC54" s="183" t="str">
        <f>IF(AND(ISNUMBER(AC85),AC85&gt;0.8*'Ratio_M+Cl'!W78,AC85&lt;1.2*'Ratio_M+Cl'!W78),AC117/'Ratio_M+Cl'!W110,IF(OR(AC117="N/A",AC149="N/A"),"N/A",""))</f>
        <v/>
      </c>
      <c r="AD54" s="183" t="str">
        <f>IF(AND(ISNUMBER(AD85),AD85&gt;0.8*'Ratio_M+Cl'!X78,AD85&lt;1.2*'Ratio_M+Cl'!X78),AD117/'Ratio_M+Cl'!X110,IF(OR(AD117="N/A",AD149="N/A"),"N/A",""))</f>
        <v/>
      </c>
      <c r="AE54" s="183" t="str">
        <f>IF(AND(ISNUMBER(AE85),AE85&gt;0.8*'Ratio_M+Cl'!Y78,AE85&lt;1.2*'Ratio_M+Cl'!Y78),AE117/'Ratio_M+Cl'!Y110,IF(OR(AE117="N/A",AE149="N/A"),"N/A",""))</f>
        <v/>
      </c>
      <c r="AF54" s="183" t="str">
        <f>IF(AND(ISNUMBER(AF85),AF85&gt;0.8*'Ratio_M+Cl'!Z78,AF85&lt;1.2*'Ratio_M+Cl'!Z78),AF117/'Ratio_M+Cl'!Z110,IF(OR(AF117="N/A",AF149="N/A"),"N/A",""))</f>
        <v/>
      </c>
      <c r="AG54" s="183" t="str">
        <f>IF(AND(ISNUMBER(AG85),AG85&gt;0.8*'Ratio_M+Cl'!AA78,AG85&lt;1.2*'Ratio_M+Cl'!AA78),AG117/'Ratio_M+Cl'!AA110,IF(OR(AG117="N/A",AG149="N/A"),"N/A",""))</f>
        <v/>
      </c>
      <c r="AH54" s="183" t="str">
        <f>IF(AND(ISNUMBER(AH85),AH85&gt;0.8*'Ratio_M+Cl'!AB78,AH85&lt;1.2*'Ratio_M+Cl'!AB78),AH117/'Ratio_M+Cl'!AB110,IF(OR(AH117="N/A",AH149="N/A"),"N/A",""))</f>
        <v/>
      </c>
      <c r="AI54" s="183" t="str">
        <f>IF(AND(ISNUMBER(AI85),AI85&gt;0.8*'Ratio_M+Cl'!AC78,AI85&lt;1.2*'Ratio_M+Cl'!AC78),AI117/'Ratio_M+Cl'!AC110,IF(OR(AI117="N/A",AI149="N/A"),"N/A",""))</f>
        <v/>
      </c>
      <c r="AK54" s="160" t="s">
        <v>18</v>
      </c>
      <c r="AL54" s="177" t="str">
        <f t="shared" si="2"/>
        <v/>
      </c>
      <c r="AM54" s="177">
        <f t="shared" si="0"/>
        <v>3.9055710641163886E-2</v>
      </c>
      <c r="AN54" s="177">
        <f t="shared" si="0"/>
        <v>3.9726151696513917E-2</v>
      </c>
      <c r="AO54" s="177" t="str">
        <f t="shared" si="0"/>
        <v/>
      </c>
      <c r="AP54" s="177" t="str">
        <f t="shared" si="0"/>
        <v/>
      </c>
      <c r="AQ54" s="177" t="str">
        <f t="shared" si="0"/>
        <v/>
      </c>
      <c r="AR54" s="177" t="str">
        <f t="shared" si="0"/>
        <v/>
      </c>
      <c r="AS54" s="177" t="str">
        <f t="shared" si="0"/>
        <v/>
      </c>
      <c r="AT54" s="177" t="str">
        <f t="shared" si="0"/>
        <v/>
      </c>
      <c r="AU54" s="177" t="str">
        <f t="shared" si="0"/>
        <v/>
      </c>
      <c r="AV54" s="177">
        <f t="shared" si="0"/>
        <v>9.5339901184942427E-2</v>
      </c>
      <c r="AW54" s="177">
        <f t="shared" si="0"/>
        <v>0.56768869826842472</v>
      </c>
      <c r="AX54" s="177">
        <f t="shared" si="0"/>
        <v>1.2659448383568512</v>
      </c>
      <c r="AY54" s="177">
        <f t="shared" si="0"/>
        <v>1.4088823763956919</v>
      </c>
      <c r="AZ54" s="177">
        <f t="shared" si="0"/>
        <v>0.80855202934532699</v>
      </c>
      <c r="BA54" s="177">
        <f t="shared" si="0"/>
        <v>0.22078732032302706</v>
      </c>
      <c r="BB54" s="177" t="str">
        <f t="shared" si="0"/>
        <v/>
      </c>
      <c r="BC54" s="177" t="str">
        <f t="shared" si="1"/>
        <v/>
      </c>
      <c r="BD54" s="177" t="str">
        <f t="shared" si="1"/>
        <v/>
      </c>
      <c r="BE54" s="177" t="str">
        <f t="shared" si="1"/>
        <v/>
      </c>
      <c r="BF54" s="177" t="str">
        <f t="shared" si="1"/>
        <v/>
      </c>
      <c r="BG54" s="177" t="str">
        <f t="shared" si="1"/>
        <v/>
      </c>
      <c r="BH54" s="177" t="str">
        <f t="shared" si="1"/>
        <v/>
      </c>
      <c r="BI54" s="177" t="str">
        <f t="shared" si="1"/>
        <v/>
      </c>
      <c r="BJ54" s="177" t="str">
        <f t="shared" si="1"/>
        <v/>
      </c>
      <c r="BK54" s="177" t="str">
        <f t="shared" si="1"/>
        <v/>
      </c>
      <c r="BL54" s="177" t="str">
        <f t="shared" si="1"/>
        <v/>
      </c>
    </row>
    <row r="55" spans="1:64" ht="15.75" x14ac:dyDescent="0.3">
      <c r="A55" s="150">
        <v>50</v>
      </c>
      <c r="B55" s="10" t="s">
        <v>678</v>
      </c>
      <c r="C55">
        <v>166684.14968554699</v>
      </c>
      <c r="E55" s="10" t="s">
        <v>370</v>
      </c>
      <c r="F55" s="151">
        <f>IF(ISNUMBER(M48),M48/SUM($I$43:$AI$71),0)</f>
        <v>6.9897355733866146E-3</v>
      </c>
      <c r="H55" s="160" t="s">
        <v>19</v>
      </c>
      <c r="I55" s="183">
        <f>IF(AND(ISNUMBER(I86),I86&gt;0.8*'Ratio_M+Cl'!C79,I86&lt;1.2*'Ratio_M+Cl'!C79),I118/'Ratio_M+Cl'!C111,IF(OR(I118="N/A",I150="N/A"),"N/A",""))</f>
        <v>61.614474048792644</v>
      </c>
      <c r="J55" s="183">
        <f>IF(AND(ISNUMBER(J86),J86&gt;0.8*'Ratio_M+Cl'!D79,J86&lt;1.2*'Ratio_M+Cl'!D79),J118/'Ratio_M+Cl'!D111,IF(OR(J118="N/A",J150="N/A"),"N/A",""))</f>
        <v>219.72858471348988</v>
      </c>
      <c r="K55" s="180">
        <f>IF(AND(ISNUMBER(K86),K86&gt;0.8*'Ratio_M+Cl'!E79,K86&lt;1.2*'Ratio_M+Cl'!E79),K118/'Ratio_M+Cl'!E111,IF(OR(K118="N/A",K150="N/A"),"N/A",""))</f>
        <v>256.02053023857161</v>
      </c>
      <c r="L55" s="180">
        <f>IF(AND(ISNUMBER(L86),L86&gt;0.8*'Ratio_M+Cl'!F79,L86&lt;1.2*'Ratio_M+Cl'!F79),L118/'Ratio_M+Cl'!F111,IF(OR(L118="N/A",L150="N/A"),"N/A",""))</f>
        <v>207.97237745451</v>
      </c>
      <c r="M55" s="180">
        <f>IF(AND(ISNUMBER(M86),M86&gt;0.8*'Ratio_M+Cl'!G79,M86&lt;1.2*'Ratio_M+Cl'!G79),M118/'Ratio_M+Cl'!G111,IF(OR(M118="N/A",M150="N/A"),"N/A",""))</f>
        <v>89.482343176122896</v>
      </c>
      <c r="N55" s="183">
        <f>IF(AND(ISNUMBER(N86),N86&gt;0.8*'Ratio_M+Cl'!H79,N86&lt;1.2*'Ratio_M+Cl'!H79),N118/'Ratio_M+Cl'!H111,IF(OR(N118="N/A",N150="N/A"),"N/A",""))</f>
        <v>16.12250249739747</v>
      </c>
      <c r="O55" s="183" t="str">
        <f>IF(AND(ISNUMBER(O86),O86&gt;0.8*'Ratio_M+Cl'!I79,O86&lt;1.2*'Ratio_M+Cl'!I79),O118/'Ratio_M+Cl'!I111,IF(OR(O118="N/A",O150="N/A"),"N/A",""))</f>
        <v/>
      </c>
      <c r="P55" s="183" t="str">
        <f>IF(AND(ISNUMBER(P86),P86&gt;0.8*'Ratio_M+Cl'!J79,P86&lt;1.2*'Ratio_M+Cl'!J79),P118/'Ratio_M+Cl'!J111,IF(OR(P118="N/A",P150="N/A"),"N/A",""))</f>
        <v/>
      </c>
      <c r="Q55" s="183" t="str">
        <f>IF(AND(ISNUMBER(Q86),Q86&gt;0.8*'Ratio_M+Cl'!K79,Q86&lt;1.2*'Ratio_M+Cl'!K79),Q118/'Ratio_M+Cl'!K111,IF(OR(Q118="N/A",Q150="N/A"),"N/A",""))</f>
        <v/>
      </c>
      <c r="R55" s="183" t="str">
        <f>IF(AND(ISNUMBER(R86),R86&gt;0.8*'Ratio_M+Cl'!L79,R86&lt;1.2*'Ratio_M+Cl'!L79),R118/'Ratio_M+Cl'!L111,IF(OR(R118="N/A",R150="N/A"),"N/A",""))</f>
        <v/>
      </c>
      <c r="S55" s="183" t="str">
        <f>IF(AND(ISNUMBER(S86),S86&gt;0.8*'Ratio_M+Cl'!M79,S86&lt;1.2*'Ratio_M+Cl'!M79),S118/'Ratio_M+Cl'!M111,IF(OR(S118="N/A",S150="N/A"),"N/A",""))</f>
        <v/>
      </c>
      <c r="T55" s="183">
        <f>IF(AND(ISNUMBER(T86),T86&gt;0.8*'Ratio_M+Cl'!N79,T86&lt;1.2*'Ratio_M+Cl'!N79),T118/'Ratio_M+Cl'!N111,IF(OR(T118="N/A",T150="N/A"),"N/A",""))</f>
        <v>116.46833058603485</v>
      </c>
      <c r="U55" s="183">
        <f>IF(AND(ISNUMBER(U86),U86&gt;0.8*'Ratio_M+Cl'!O79,U86&lt;1.2*'Ratio_M+Cl'!O79),U118/'Ratio_M+Cl'!O111,IF(OR(U118="N/A",U150="N/A"),"N/A",""))</f>
        <v>476.99346917185756</v>
      </c>
      <c r="V55" s="183">
        <f>IF(AND(ISNUMBER(V86),V86&gt;0.8*'Ratio_M+Cl'!P79,V86&lt;1.2*'Ratio_M+Cl'!P79),V118/'Ratio_M+Cl'!P111,IF(OR(V118="N/A",V150="N/A"),"N/A",""))</f>
        <v>920.74472197453758</v>
      </c>
      <c r="W55" s="183">
        <f>IF(AND(ISNUMBER(W86),W86&gt;0.8*'Ratio_M+Cl'!Q79,W86&lt;1.2*'Ratio_M+Cl'!Q79),W118/'Ratio_M+Cl'!Q111,IF(OR(W118="N/A",W150="N/A"),"N/A",""))</f>
        <v>907.36612349778306</v>
      </c>
      <c r="X55" s="183">
        <f>IF(AND(ISNUMBER(X86),X86&gt;0.8*'Ratio_M+Cl'!R79,X86&lt;1.2*'Ratio_M+Cl'!R79),X118/'Ratio_M+Cl'!R111,IF(OR(X118="N/A",X150="N/A"),"N/A",""))</f>
        <v>460.6445783872793</v>
      </c>
      <c r="Y55" s="185">
        <f>IF(AND(ISNUMBER(Y86),Y86&gt;0.8*'Ratio_M+Cl'!S79,Y86&lt;1.2*'Ratio_M+Cl'!S79),Y118/'Ratio_M+Cl'!S111,IF(OR(Y118="N/A",Y150="N/A"),"N/A",""))</f>
        <v>114.70522172186527</v>
      </c>
      <c r="Z55" s="183" t="str">
        <f>IF(AND(ISNUMBER(Z86),Z86&gt;0.8*'Ratio_M+Cl'!T79,Z86&lt;1.2*'Ratio_M+Cl'!T79),Z118/'Ratio_M+Cl'!T111,IF(OR(Z118="N/A",Z150="N/A"),"N/A",""))</f>
        <v/>
      </c>
      <c r="AA55" s="184" t="str">
        <f>IF(AND(ISNUMBER(AA86),AA86&gt;0.8*'Ratio_M+Cl'!U79,AA86&lt;1.2*'Ratio_M+Cl'!U79),AA118/'Ratio_M+Cl'!U111,IF(OR(AA118="N/A",AA150="N/A"),"N/A",""))</f>
        <v/>
      </c>
      <c r="AB55" s="183" t="str">
        <f>IF(AND(ISNUMBER(AB86),AB86&gt;0.8*'Ratio_M+Cl'!V79,AB86&lt;1.2*'Ratio_M+Cl'!V79),AB118/'Ratio_M+Cl'!V111,IF(OR(AB118="N/A",AB150="N/A"),"N/A",""))</f>
        <v/>
      </c>
      <c r="AC55" s="183" t="str">
        <f>IF(AND(ISNUMBER(AC86),AC86&gt;0.8*'Ratio_M+Cl'!W79,AC86&lt;1.2*'Ratio_M+Cl'!W79),AC118/'Ratio_M+Cl'!W111,IF(OR(AC118="N/A",AC150="N/A"),"N/A",""))</f>
        <v/>
      </c>
      <c r="AD55" s="183" t="str">
        <f>IF(AND(ISNUMBER(AD86),AD86&gt;0.8*'Ratio_M+Cl'!X79,AD86&lt;1.2*'Ratio_M+Cl'!X79),AD118/'Ratio_M+Cl'!X111,IF(OR(AD118="N/A",AD150="N/A"),"N/A",""))</f>
        <v/>
      </c>
      <c r="AE55" s="183" t="str">
        <f>IF(AND(ISNUMBER(AE86),AE86&gt;0.8*'Ratio_M+Cl'!Y79,AE86&lt;1.2*'Ratio_M+Cl'!Y79),AE118/'Ratio_M+Cl'!Y111,IF(OR(AE118="N/A",AE150="N/A"),"N/A",""))</f>
        <v/>
      </c>
      <c r="AF55" s="183" t="str">
        <f>IF(AND(ISNUMBER(AF86),AF86&gt;0.8*'Ratio_M+Cl'!Z79,AF86&lt;1.2*'Ratio_M+Cl'!Z79),AF118/'Ratio_M+Cl'!Z111,IF(OR(AF118="N/A",AF150="N/A"),"N/A",""))</f>
        <v/>
      </c>
      <c r="AG55" s="183" t="str">
        <f>IF(AND(ISNUMBER(AG86),AG86&gt;0.8*'Ratio_M+Cl'!AA79,AG86&lt;1.2*'Ratio_M+Cl'!AA79),AG118/'Ratio_M+Cl'!AA111,IF(OR(AG118="N/A",AG150="N/A"),"N/A",""))</f>
        <v/>
      </c>
      <c r="AH55" s="183" t="str">
        <f>IF(AND(ISNUMBER(AH86),AH86&gt;0.8*'Ratio_M+Cl'!AB79,AH86&lt;1.2*'Ratio_M+Cl'!AB79),AH118/'Ratio_M+Cl'!AB111,IF(OR(AH118="N/A",AH150="N/A"),"N/A",""))</f>
        <v/>
      </c>
      <c r="AI55" s="183" t="str">
        <f>IF(AND(ISNUMBER(AI86),AI86&gt;0.8*'Ratio_M+Cl'!AC79,AI86&lt;1.2*'Ratio_M+Cl'!AC79),AI118/'Ratio_M+Cl'!AC111,IF(OR(AI118="N/A",AI150="N/A"),"N/A",""))</f>
        <v/>
      </c>
      <c r="AK55" s="160" t="s">
        <v>19</v>
      </c>
      <c r="AL55" s="177">
        <f t="shared" si="2"/>
        <v>0.15219809123685352</v>
      </c>
      <c r="AM55" s="177">
        <f t="shared" si="0"/>
        <v>0.54276647978988535</v>
      </c>
      <c r="AN55" s="177">
        <f t="shared" si="0"/>
        <v>0.6324136758661707</v>
      </c>
      <c r="AO55" s="177">
        <f t="shared" si="0"/>
        <v>0.51372667489623891</v>
      </c>
      <c r="AP55" s="177">
        <f t="shared" si="0"/>
        <v>0.22103640485548959</v>
      </c>
      <c r="AQ55" s="177">
        <f t="shared" si="0"/>
        <v>3.982528689804473E-2</v>
      </c>
      <c r="AR55" s="177" t="str">
        <f t="shared" si="0"/>
        <v/>
      </c>
      <c r="AS55" s="177" t="str">
        <f t="shared" si="0"/>
        <v/>
      </c>
      <c r="AT55" s="177" t="str">
        <f t="shared" si="0"/>
        <v/>
      </c>
      <c r="AU55" s="177" t="str">
        <f t="shared" si="0"/>
        <v/>
      </c>
      <c r="AV55" s="177" t="str">
        <f t="shared" si="0"/>
        <v/>
      </c>
      <c r="AW55" s="177">
        <f t="shared" si="0"/>
        <v>0.28769632263191736</v>
      </c>
      <c r="AX55" s="177">
        <f t="shared" si="0"/>
        <v>1.1782539194104218</v>
      </c>
      <c r="AY55" s="177">
        <f t="shared" si="0"/>
        <v>2.2743939855748554</v>
      </c>
      <c r="AZ55" s="177">
        <f t="shared" si="0"/>
        <v>2.2413466020984689</v>
      </c>
      <c r="BA55" s="177">
        <f t="shared" si="0"/>
        <v>1.1378694154498405</v>
      </c>
      <c r="BB55" s="177">
        <f t="shared" si="0"/>
        <v>0.28334114784690034</v>
      </c>
      <c r="BC55" s="177" t="str">
        <f t="shared" si="1"/>
        <v/>
      </c>
      <c r="BD55" s="177" t="str">
        <f t="shared" si="1"/>
        <v/>
      </c>
      <c r="BE55" s="177" t="str">
        <f t="shared" si="1"/>
        <v/>
      </c>
      <c r="BF55" s="177" t="str">
        <f t="shared" si="1"/>
        <v/>
      </c>
      <c r="BG55" s="177" t="str">
        <f t="shared" si="1"/>
        <v/>
      </c>
      <c r="BH55" s="177" t="str">
        <f t="shared" si="1"/>
        <v/>
      </c>
      <c r="BI55" s="177" t="str">
        <f t="shared" si="1"/>
        <v/>
      </c>
      <c r="BJ55" s="177" t="str">
        <f t="shared" si="1"/>
        <v/>
      </c>
      <c r="BK55" s="177" t="str">
        <f t="shared" si="1"/>
        <v/>
      </c>
      <c r="BL55" s="177" t="str">
        <f t="shared" si="1"/>
        <v/>
      </c>
    </row>
    <row r="56" spans="1:64" ht="15.75" x14ac:dyDescent="0.3">
      <c r="A56" s="150">
        <v>51</v>
      </c>
      <c r="B56" s="10" t="s">
        <v>47</v>
      </c>
      <c r="C56">
        <v>249605903.83235899</v>
      </c>
      <c r="E56" s="10" t="s">
        <v>371</v>
      </c>
      <c r="F56" s="151">
        <f>IF(ISNUMBER(N48),N48/SUM($I$43:$AI$71),0)</f>
        <v>4.0145488089716732E-3</v>
      </c>
      <c r="H56" s="160" t="s">
        <v>20</v>
      </c>
      <c r="I56" s="183">
        <f>IF(AND(ISNUMBER(I87),I87&gt;0.8*'Ratio_M+Cl'!C80,I87&lt;1.2*'Ratio_M+Cl'!C80),I119/'Ratio_M+Cl'!C112,IF(OR(I119="N/A",I151="N/A"),"N/A",""))</f>
        <v>204.66626035352868</v>
      </c>
      <c r="J56" s="183">
        <f>IF(AND(ISNUMBER(J87),J87&gt;0.8*'Ratio_M+Cl'!D80,J87&lt;1.2*'Ratio_M+Cl'!D80),J119/'Ratio_M+Cl'!D112,IF(OR(J119="N/A",J151="N/A"),"N/A",""))</f>
        <v>797.66461757722209</v>
      </c>
      <c r="K56" s="180">
        <f>IF(AND(ISNUMBER(K87),K87&gt;0.8*'Ratio_M+Cl'!E80,K87&lt;1.2*'Ratio_M+Cl'!E80),K119/'Ratio_M+Cl'!E112,IF(OR(K119="N/A",K151="N/A"),"N/A",""))</f>
        <v>1112.8734587575516</v>
      </c>
      <c r="L56" s="180">
        <f>IF(AND(ISNUMBER(L87),L87&gt;0.8*'Ratio_M+Cl'!F80,L87&lt;1.2*'Ratio_M+Cl'!F80),L119/'Ratio_M+Cl'!F112,IF(OR(L119="N/A",L151="N/A"),"N/A",""))</f>
        <v>992.09919513291788</v>
      </c>
      <c r="M56" s="180">
        <f>IF(AND(ISNUMBER(M87),M87&gt;0.8*'Ratio_M+Cl'!G80,M87&lt;1.2*'Ratio_M+Cl'!G80),M119/'Ratio_M+Cl'!G112,IF(OR(M119="N/A",M151="N/A"),"N/A",""))</f>
        <v>481.55747586987013</v>
      </c>
      <c r="N56" s="183">
        <f>IF(AND(ISNUMBER(N87),N87&gt;0.8*'Ratio_M+Cl'!H80,N87&lt;1.2*'Ratio_M+Cl'!H80),N119/'Ratio_M+Cl'!H112,IF(OR(N119="N/A",N151="N/A"),"N/A",""))</f>
        <v>130.07791024079194</v>
      </c>
      <c r="O56" s="183">
        <f>IF(AND(ISNUMBER(O87),O87&gt;0.8*'Ratio_M+Cl'!I80,O87&lt;1.2*'Ratio_M+Cl'!I80),O119/'Ratio_M+Cl'!I112,IF(OR(O119="N/A",O151="N/A"),"N/A",""))</f>
        <v>13.701382072036491</v>
      </c>
      <c r="P56" s="183" t="str">
        <f>IF(AND(ISNUMBER(P87),P87&gt;0.8*'Ratio_M+Cl'!J80,P87&lt;1.2*'Ratio_M+Cl'!J80),P119/'Ratio_M+Cl'!J112,IF(OR(P119="N/A",P151="N/A"),"N/A",""))</f>
        <v/>
      </c>
      <c r="Q56" s="183" t="str">
        <f>IF(AND(ISNUMBER(Q87),Q87&gt;0.8*'Ratio_M+Cl'!K80,Q87&lt;1.2*'Ratio_M+Cl'!K80),Q119/'Ratio_M+Cl'!K112,IF(OR(Q119="N/A",Q151="N/A"),"N/A",""))</f>
        <v/>
      </c>
      <c r="R56" s="183" t="str">
        <f>IF(AND(ISNUMBER(R87),R87&gt;0.8*'Ratio_M+Cl'!L80,R87&lt;1.2*'Ratio_M+Cl'!L80),R119/'Ratio_M+Cl'!L112,IF(OR(R119="N/A",R151="N/A"),"N/A",""))</f>
        <v/>
      </c>
      <c r="S56" s="183" t="str">
        <f>IF(AND(ISNUMBER(S87),S87&gt;0.8*'Ratio_M+Cl'!M80,S87&lt;1.2*'Ratio_M+Cl'!M80),S119/'Ratio_M+Cl'!M112,IF(OR(S119="N/A",S151="N/A"),"N/A",""))</f>
        <v/>
      </c>
      <c r="T56" s="183">
        <f>IF(AND(ISNUMBER(T87),T87&gt;0.8*'Ratio_M+Cl'!N80,T87&lt;1.2*'Ratio_M+Cl'!N80),T119/'Ratio_M+Cl'!N112,IF(OR(T119="N/A",T151="N/A"),"N/A",""))</f>
        <v>20.657420746086196</v>
      </c>
      <c r="U56" s="183">
        <f>IF(AND(ISNUMBER(U87),U87&gt;0.8*'Ratio_M+Cl'!O80,U87&lt;1.2*'Ratio_M+Cl'!O80),U119/'Ratio_M+Cl'!O112,IF(OR(U119="N/A",U151="N/A"),"N/A",""))</f>
        <v>212.73469789744078</v>
      </c>
      <c r="V56" s="183">
        <f>IF(AND(ISNUMBER(V87),V87&gt;0.8*'Ratio_M+Cl'!P80,V87&lt;1.2*'Ratio_M+Cl'!P80),V119/'Ratio_M+Cl'!P112,IF(OR(V119="N/A",V151="N/A"),"N/A",""))</f>
        <v>692.94793006866871</v>
      </c>
      <c r="W56" s="183">
        <f>IF(AND(ISNUMBER(W87),W87&gt;0.8*'Ratio_M+Cl'!Q80,W87&lt;1.2*'Ratio_M+Cl'!Q80),W119/'Ratio_M+Cl'!Q112,IF(OR(W119="N/A",W151="N/A"),"N/A",""))</f>
        <v>1101.2342769136471</v>
      </c>
      <c r="X56" s="183">
        <f>IF(AND(ISNUMBER(X87),X87&gt;0.8*'Ratio_M+Cl'!R80,X87&lt;1.2*'Ratio_M+Cl'!R80),X119/'Ratio_M+Cl'!R112,IF(OR(X119="N/A",X151="N/A"),"N/A",""))</f>
        <v>942.82979928242014</v>
      </c>
      <c r="Y56" s="183">
        <f>IF(AND(ISNUMBER(Y87),Y87&gt;0.8*'Ratio_M+Cl'!S80,Y87&lt;1.2*'Ratio_M+Cl'!S80),Y119/'Ratio_M+Cl'!S112,IF(OR(Y119="N/A",Y151="N/A"),"N/A",""))</f>
        <v>426.98055425284542</v>
      </c>
      <c r="Z56" s="185">
        <f>IF(AND(ISNUMBER(Z87),Z87&gt;0.8*'Ratio_M+Cl'!T80,Z87&lt;1.2*'Ratio_M+Cl'!T80),Z119/'Ratio_M+Cl'!T112,IF(OR(Z119="N/A",Z151="N/A"),"N/A",""))</f>
        <v>103.70720075060031</v>
      </c>
      <c r="AA56" s="183" t="str">
        <f>IF(AND(ISNUMBER(AA87),AA87&gt;0.8*'Ratio_M+Cl'!U80,AA87&lt;1.2*'Ratio_M+Cl'!U80),AA119/'Ratio_M+Cl'!U112,IF(OR(AA119="N/A",AA151="N/A"),"N/A",""))</f>
        <v/>
      </c>
      <c r="AB56" s="184" t="str">
        <f>IF(AND(ISNUMBER(AB87),AB87&gt;0.8*'Ratio_M+Cl'!V80,AB87&lt;1.2*'Ratio_M+Cl'!V80),AB119/'Ratio_M+Cl'!V112,IF(OR(AB119="N/A",AB151="N/A"),"N/A",""))</f>
        <v/>
      </c>
      <c r="AC56" s="183" t="str">
        <f>IF(AND(ISNUMBER(AC87),AC87&gt;0.8*'Ratio_M+Cl'!W80,AC87&lt;1.2*'Ratio_M+Cl'!W80),AC119/'Ratio_M+Cl'!W112,IF(OR(AC119="N/A",AC151="N/A"),"N/A",""))</f>
        <v/>
      </c>
      <c r="AD56" s="183" t="str">
        <f>IF(AND(ISNUMBER(AD87),AD87&gt;0.8*'Ratio_M+Cl'!X80,AD87&lt;1.2*'Ratio_M+Cl'!X80),AD119/'Ratio_M+Cl'!X112,IF(OR(AD119="N/A",AD151="N/A"),"N/A",""))</f>
        <v/>
      </c>
      <c r="AE56" s="183" t="str">
        <f>IF(AND(ISNUMBER(AE87),AE87&gt;0.8*'Ratio_M+Cl'!Y80,AE87&lt;1.2*'Ratio_M+Cl'!Y80),AE119/'Ratio_M+Cl'!Y112,IF(OR(AE119="N/A",AE151="N/A"),"N/A",""))</f>
        <v/>
      </c>
      <c r="AF56" s="183" t="str">
        <f>IF(AND(ISNUMBER(AF87),AF87&gt;0.8*'Ratio_M+Cl'!Z80,AF87&lt;1.2*'Ratio_M+Cl'!Z80),AF119/'Ratio_M+Cl'!Z112,IF(OR(AF119="N/A",AF151="N/A"),"N/A",""))</f>
        <v/>
      </c>
      <c r="AG56" s="183" t="str">
        <f>IF(AND(ISNUMBER(AG87),AG87&gt;0.8*'Ratio_M+Cl'!AA80,AG87&lt;1.2*'Ratio_M+Cl'!AA80),AG119/'Ratio_M+Cl'!AA112,IF(OR(AG119="N/A",AG151="N/A"),"N/A",""))</f>
        <v/>
      </c>
      <c r="AH56" s="183" t="str">
        <f>IF(AND(ISNUMBER(AH87),AH87&gt;0.8*'Ratio_M+Cl'!AB80,AH87&lt;1.2*'Ratio_M+Cl'!AB80),AH119/'Ratio_M+Cl'!AB112,IF(OR(AH119="N/A",AH151="N/A"),"N/A",""))</f>
        <v/>
      </c>
      <c r="AI56" s="183" t="str">
        <f>IF(AND(ISNUMBER(AI87),AI87&gt;0.8*'Ratio_M+Cl'!AC80,AI87&lt;1.2*'Ratio_M+Cl'!AC80),AI119/'Ratio_M+Cl'!AC112,IF(OR(AI119="N/A",AI151="N/A"),"N/A",""))</f>
        <v/>
      </c>
      <c r="AK56" s="160" t="s">
        <v>20</v>
      </c>
      <c r="AL56" s="177">
        <f t="shared" si="2"/>
        <v>0.50556001081376367</v>
      </c>
      <c r="AM56" s="177">
        <f t="shared" si="0"/>
        <v>1.9703654720202364</v>
      </c>
      <c r="AN56" s="177">
        <f t="shared" si="0"/>
        <v>2.7489842090825021</v>
      </c>
      <c r="AO56" s="177">
        <f t="shared" si="0"/>
        <v>2.4506515092099139</v>
      </c>
      <c r="AP56" s="177">
        <f t="shared" si="0"/>
        <v>1.1895277819005836</v>
      </c>
      <c r="AQ56" s="177">
        <f t="shared" si="0"/>
        <v>0.32131426838196364</v>
      </c>
      <c r="AR56" s="177">
        <f t="shared" si="0"/>
        <v>3.3844713127299052E-2</v>
      </c>
      <c r="AS56" s="177" t="str">
        <f t="shared" si="0"/>
        <v/>
      </c>
      <c r="AT56" s="177" t="str">
        <f t="shared" si="0"/>
        <v/>
      </c>
      <c r="AU56" s="177" t="str">
        <f t="shared" si="0"/>
        <v/>
      </c>
      <c r="AV56" s="177" t="str">
        <f t="shared" si="0"/>
        <v/>
      </c>
      <c r="AW56" s="177">
        <f t="shared" si="0"/>
        <v>5.1027296036660813E-2</v>
      </c>
      <c r="AX56" s="177">
        <f t="shared" si="0"/>
        <v>0.52549040561798999</v>
      </c>
      <c r="AY56" s="177">
        <f t="shared" si="0"/>
        <v>1.7116976799876888</v>
      </c>
      <c r="AZ56" s="177">
        <f t="shared" si="0"/>
        <v>2.720233476603668</v>
      </c>
      <c r="BA56" s="177">
        <f t="shared" si="0"/>
        <v>2.3289478329130029</v>
      </c>
      <c r="BB56" s="177">
        <f t="shared" si="0"/>
        <v>1.0547136262345529</v>
      </c>
      <c r="BC56" s="177">
        <f t="shared" si="1"/>
        <v>0.25617419032513583</v>
      </c>
      <c r="BD56" s="177" t="str">
        <f t="shared" si="1"/>
        <v/>
      </c>
      <c r="BE56" s="177" t="str">
        <f t="shared" si="1"/>
        <v/>
      </c>
      <c r="BF56" s="177" t="str">
        <f t="shared" si="1"/>
        <v/>
      </c>
      <c r="BG56" s="177" t="str">
        <f t="shared" si="1"/>
        <v/>
      </c>
      <c r="BH56" s="177" t="str">
        <f t="shared" si="1"/>
        <v/>
      </c>
      <c r="BI56" s="177" t="str">
        <f t="shared" si="1"/>
        <v/>
      </c>
      <c r="BJ56" s="177" t="str">
        <f t="shared" si="1"/>
        <v/>
      </c>
      <c r="BK56" s="177" t="str">
        <f t="shared" si="1"/>
        <v/>
      </c>
      <c r="BL56" s="177" t="str">
        <f t="shared" si="1"/>
        <v/>
      </c>
    </row>
    <row r="57" spans="1:64" ht="15.75" x14ac:dyDescent="0.3">
      <c r="A57" s="150">
        <v>52</v>
      </c>
      <c r="B57" s="10" t="s">
        <v>48</v>
      </c>
      <c r="C57">
        <v>203949398.80041501</v>
      </c>
      <c r="E57" s="10" t="s">
        <v>372</v>
      </c>
      <c r="F57" s="151">
        <f>IF(ISNUMBER(O48),O48/SUM($I$43:$AI$71),0)</f>
        <v>5.884196011465068E-3</v>
      </c>
      <c r="H57" s="160" t="s">
        <v>21</v>
      </c>
      <c r="I57" s="183">
        <f>IF(AND(ISNUMBER(I88),I88&gt;0.8*'Ratio_M+Cl'!C81,I88&lt;1.2*'Ratio_M+Cl'!C81),I120/'Ratio_M+Cl'!C113,IF(OR(I120="N/A",I152="N/A"),"N/A",""))</f>
        <v>333.29520419415815</v>
      </c>
      <c r="J57" s="183">
        <f>IF(AND(ISNUMBER(J88),J88&gt;0.8*'Ratio_M+Cl'!D81,J88&lt;1.2*'Ratio_M+Cl'!D81),J120/'Ratio_M+Cl'!D113,IF(OR(J120="N/A",J152="N/A"),"N/A",""))</f>
        <v>1312.4069373513084</v>
      </c>
      <c r="K57" s="180">
        <f>IF(AND(ISNUMBER(K88),K88&gt;0.8*'Ratio_M+Cl'!E81,K88&lt;1.2*'Ratio_M+Cl'!E81),K120/'Ratio_M+Cl'!E113,IF(OR(K120="N/A",K152="N/A"),"N/A",""))</f>
        <v>2150.075941591947</v>
      </c>
      <c r="L57" s="180">
        <f>IF(AND(ISNUMBER(L88),L88&gt;0.8*'Ratio_M+Cl'!F81,L88&lt;1.2*'Ratio_M+Cl'!F81),L120/'Ratio_M+Cl'!F113,IF(OR(L120="N/A",L152="N/A"),"N/A",""))</f>
        <v>2211.33592317181</v>
      </c>
      <c r="M57" s="180">
        <f>IF(AND(ISNUMBER(M88),M88&gt;0.8*'Ratio_M+Cl'!G81,M88&lt;1.2*'Ratio_M+Cl'!G81),M120/'Ratio_M+Cl'!G113,IF(OR(M120="N/A",M152="N/A"),"N/A",""))</f>
        <v>1216.0157138124721</v>
      </c>
      <c r="N57" s="183">
        <f>IF(AND(ISNUMBER(N88),N88&gt;0.8*'Ratio_M+Cl'!H81,N88&lt;1.2*'Ratio_M+Cl'!H81),N120/'Ratio_M+Cl'!H113,IF(OR(N120="N/A",N152="N/A"),"N/A",""))</f>
        <v>376.46666480601664</v>
      </c>
      <c r="O57" s="183">
        <f>IF(AND(ISNUMBER(O88),O88&gt;0.8*'Ratio_M+Cl'!I81,O88&lt;1.2*'Ratio_M+Cl'!I81),O120/'Ratio_M+Cl'!I113,IF(OR(O120="N/A",O152="N/A"),"N/A",""))</f>
        <v>70.937038078309484</v>
      </c>
      <c r="P57" s="183" t="str">
        <f>IF(AND(ISNUMBER(P88),P88&gt;0.8*'Ratio_M+Cl'!J81,P88&lt;1.2*'Ratio_M+Cl'!J81),P120/'Ratio_M+Cl'!J113,IF(OR(P120="N/A",P152="N/A"),"N/A",""))</f>
        <v/>
      </c>
      <c r="Q57" s="183" t="str">
        <f>IF(AND(ISNUMBER(Q88),Q88&gt;0.8*'Ratio_M+Cl'!K81,Q88&lt;1.2*'Ratio_M+Cl'!K81),Q120/'Ratio_M+Cl'!K113,IF(OR(Q120="N/A",Q152="N/A"),"N/A",""))</f>
        <v/>
      </c>
      <c r="R57" s="183" t="str">
        <f>IF(AND(ISNUMBER(R88),R88&gt;0.8*'Ratio_M+Cl'!L81,R88&lt;1.2*'Ratio_M+Cl'!L81),R120/'Ratio_M+Cl'!L113,IF(OR(R120="N/A",R152="N/A"),"N/A",""))</f>
        <v/>
      </c>
      <c r="S57" s="183" t="str">
        <f>IF(AND(ISNUMBER(S88),S88&gt;0.8*'Ratio_M+Cl'!M81,S88&lt;1.2*'Ratio_M+Cl'!M81),S120/'Ratio_M+Cl'!M113,IF(OR(S120="N/A",S152="N/A"),"N/A",""))</f>
        <v/>
      </c>
      <c r="T57" s="183" t="str">
        <f>IF(AND(ISNUMBER(T88),T88&gt;0.8*'Ratio_M+Cl'!N81,T88&lt;1.2*'Ratio_M+Cl'!N81),T120/'Ratio_M+Cl'!N113,IF(OR(T120="N/A",T152="N/A"),"N/A",""))</f>
        <v/>
      </c>
      <c r="U57" s="183">
        <f>IF(AND(ISNUMBER(U88),U88&gt;0.8*'Ratio_M+Cl'!O81,U88&lt;1.2*'Ratio_M+Cl'!O81),U120/'Ratio_M+Cl'!O113,IF(OR(U120="N/A",U152="N/A"),"N/A",""))</f>
        <v>75.860666954101916</v>
      </c>
      <c r="V57" s="183">
        <f>IF(AND(ISNUMBER(V88),V88&gt;0.8*'Ratio_M+Cl'!P81,V88&lt;1.2*'Ratio_M+Cl'!P81),V120/'Ratio_M+Cl'!P113,IF(OR(V120="N/A",V152="N/A"),"N/A",""))</f>
        <v>460.4630137949386</v>
      </c>
      <c r="W57" s="183">
        <f>IF(AND(ISNUMBER(W88),W88&gt;0.8*'Ratio_M+Cl'!Q81,W88&lt;1.2*'Ratio_M+Cl'!Q81),W120/'Ratio_M+Cl'!Q113,IF(OR(W120="N/A",W152="N/A"),"N/A",""))</f>
        <v>1229.209433270963</v>
      </c>
      <c r="X57" s="183">
        <f>IF(AND(ISNUMBER(X88),X88&gt;0.8*'Ratio_M+Cl'!R81,X88&lt;1.2*'Ratio_M+Cl'!R81),X120/'Ratio_M+Cl'!R113,IF(OR(X120="N/A",X152="N/A"),"N/A",""))</f>
        <v>1701.2112003523534</v>
      </c>
      <c r="Y57" s="183">
        <f>IF(AND(ISNUMBER(Y88),Y88&gt;0.8*'Ratio_M+Cl'!S81,Y88&lt;1.2*'Ratio_M+Cl'!S81),Y120/'Ratio_M+Cl'!S113,IF(OR(Y120="N/A",Y152="N/A"),"N/A",""))</f>
        <v>1277.9622670136562</v>
      </c>
      <c r="Z57" s="183">
        <f>IF(AND(ISNUMBER(Z88),Z88&gt;0.8*'Ratio_M+Cl'!T81,Z88&lt;1.2*'Ratio_M+Cl'!T81),Z120/'Ratio_M+Cl'!T113,IF(OR(Z120="N/A",Z152="N/A"),"N/A",""))</f>
        <v>581.40181080267314</v>
      </c>
      <c r="AA57" s="185">
        <f>IF(AND(ISNUMBER(AA88),AA88&gt;0.8*'Ratio_M+Cl'!U81,AA88&lt;1.2*'Ratio_M+Cl'!U81),AA120/'Ratio_M+Cl'!U113,IF(OR(AA120="N/A",AA152="N/A"),"N/A",""))</f>
        <v>144.55190104690379</v>
      </c>
      <c r="AB57" s="183" t="str">
        <f>IF(AND(ISNUMBER(AB88),AB88&gt;0.8*'Ratio_M+Cl'!V81,AB88&lt;1.2*'Ratio_M+Cl'!V81),AB120/'Ratio_M+Cl'!V113,IF(OR(AB120="N/A",AB152="N/A"),"N/A",""))</f>
        <v/>
      </c>
      <c r="AC57" s="184" t="str">
        <f>IF(AND(ISNUMBER(AC88),AC88&gt;0.8*'Ratio_M+Cl'!W81,AC88&lt;1.2*'Ratio_M+Cl'!W81),AC120/'Ratio_M+Cl'!W113,IF(OR(AC120="N/A",AC152="N/A"),"N/A",""))</f>
        <v/>
      </c>
      <c r="AD57" s="183" t="str">
        <f>IF(AND(ISNUMBER(AD88),AD88&gt;0.8*'Ratio_M+Cl'!X81,AD88&lt;1.2*'Ratio_M+Cl'!X81),AD120/'Ratio_M+Cl'!X113,IF(OR(AD120="N/A",AD152="N/A"),"N/A",""))</f>
        <v/>
      </c>
      <c r="AE57" s="183" t="str">
        <f>IF(AND(ISNUMBER(AE88),AE88&gt;0.8*'Ratio_M+Cl'!Y81,AE88&lt;1.2*'Ratio_M+Cl'!Y81),AE120/'Ratio_M+Cl'!Y113,IF(OR(AE120="N/A",AE152="N/A"),"N/A",""))</f>
        <v/>
      </c>
      <c r="AF57" s="183" t="str">
        <f>IF(AND(ISNUMBER(AF88),AF88&gt;0.8*'Ratio_M+Cl'!Z81,AF88&lt;1.2*'Ratio_M+Cl'!Z81),AF120/'Ratio_M+Cl'!Z113,IF(OR(AF120="N/A",AF152="N/A"),"N/A",""))</f>
        <v/>
      </c>
      <c r="AG57" s="183" t="str">
        <f>IF(AND(ISNUMBER(AG88),AG88&gt;0.8*'Ratio_M+Cl'!AA81,AG88&lt;1.2*'Ratio_M+Cl'!AA81),AG120/'Ratio_M+Cl'!AA113,IF(OR(AG120="N/A",AG152="N/A"),"N/A",""))</f>
        <v/>
      </c>
      <c r="AH57" s="183" t="str">
        <f>IF(AND(ISNUMBER(AH88),AH88&gt;0.8*'Ratio_M+Cl'!AB81,AH88&lt;1.2*'Ratio_M+Cl'!AB81),AH120/'Ratio_M+Cl'!AB113,IF(OR(AH120="N/A",AH152="N/A"),"N/A",""))</f>
        <v/>
      </c>
      <c r="AI57" s="183" t="str">
        <f>IF(AND(ISNUMBER(AI88),AI88&gt;0.8*'Ratio_M+Cl'!AC81,AI88&lt;1.2*'Ratio_M+Cl'!AC81),AI120/'Ratio_M+Cl'!AC113,IF(OR(AI120="N/A",AI152="N/A"),"N/A",""))</f>
        <v/>
      </c>
      <c r="AK57" s="160" t="s">
        <v>21</v>
      </c>
      <c r="AL57" s="177">
        <f t="shared" si="2"/>
        <v>0.82329508901719195</v>
      </c>
      <c r="AM57" s="177">
        <f t="shared" si="0"/>
        <v>3.2418653875499244</v>
      </c>
      <c r="AN57" s="177">
        <f t="shared" si="0"/>
        <v>5.3110484082917724</v>
      </c>
      <c r="AO57" s="177">
        <f t="shared" si="0"/>
        <v>5.46237084363832</v>
      </c>
      <c r="AP57" s="177">
        <f t="shared" si="0"/>
        <v>3.003762888728331</v>
      </c>
      <c r="AQ57" s="177">
        <f t="shared" si="0"/>
        <v>0.92993584189984391</v>
      </c>
      <c r="AR57" s="177">
        <f t="shared" si="0"/>
        <v>0.17522638893200551</v>
      </c>
      <c r="AS57" s="177" t="str">
        <f t="shared" si="0"/>
        <v/>
      </c>
      <c r="AT57" s="177" t="str">
        <f t="shared" si="0"/>
        <v/>
      </c>
      <c r="AU57" s="177" t="str">
        <f t="shared" si="0"/>
        <v/>
      </c>
      <c r="AV57" s="177" t="str">
        <f t="shared" si="0"/>
        <v/>
      </c>
      <c r="AW57" s="177" t="str">
        <f t="shared" si="0"/>
        <v/>
      </c>
      <c r="AX57" s="177">
        <f t="shared" si="0"/>
        <v>0.18738857855421728</v>
      </c>
      <c r="AY57" s="177">
        <f t="shared" si="0"/>
        <v>1.1374209204360137</v>
      </c>
      <c r="AZ57" s="177">
        <f t="shared" si="0"/>
        <v>3.0363535900026233</v>
      </c>
      <c r="BA57" s="177">
        <f t="shared" si="0"/>
        <v>4.202277167526324</v>
      </c>
      <c r="BB57" s="177">
        <f t="shared" si="0"/>
        <v>3.1567812712021674</v>
      </c>
      <c r="BC57" s="177">
        <f t="shared" si="1"/>
        <v>1.4361600453773742</v>
      </c>
      <c r="BD57" s="177">
        <f t="shared" si="1"/>
        <v>0.35706745474407553</v>
      </c>
      <c r="BE57" s="177" t="str">
        <f t="shared" si="1"/>
        <v/>
      </c>
      <c r="BF57" s="177" t="str">
        <f t="shared" si="1"/>
        <v/>
      </c>
      <c r="BG57" s="177" t="str">
        <f t="shared" si="1"/>
        <v/>
      </c>
      <c r="BH57" s="177" t="str">
        <f t="shared" si="1"/>
        <v/>
      </c>
      <c r="BI57" s="177" t="str">
        <f t="shared" si="1"/>
        <v/>
      </c>
      <c r="BJ57" s="177" t="str">
        <f t="shared" si="1"/>
        <v/>
      </c>
      <c r="BK57" s="177" t="str">
        <f t="shared" si="1"/>
        <v/>
      </c>
      <c r="BL57" s="177" t="str">
        <f t="shared" si="1"/>
        <v/>
      </c>
    </row>
    <row r="58" spans="1:64" ht="15.75" x14ac:dyDescent="0.3">
      <c r="A58" s="150">
        <v>53</v>
      </c>
      <c r="B58" s="10" t="s">
        <v>49</v>
      </c>
      <c r="C58">
        <v>1489567733.5485799</v>
      </c>
      <c r="E58" s="10" t="s">
        <v>373</v>
      </c>
      <c r="F58" s="151">
        <f>IF(ISNUMBER(P48),P48/SUM($I$43:$AI$71),0)</f>
        <v>1.7804014123777839E-2</v>
      </c>
      <c r="H58" s="160" t="s">
        <v>22</v>
      </c>
      <c r="I58" s="183">
        <f>IF(AND(ISNUMBER(I89),I89&gt;0.8*'Ratio_M+Cl'!C82,I89&lt;1.2*'Ratio_M+Cl'!C82),I121/'Ratio_M+Cl'!C114,IF(OR(I121="N/A",I153="N/A"),"N/A",""))</f>
        <v>286.67163568705507</v>
      </c>
      <c r="J58" s="183">
        <f>IF(AND(ISNUMBER(J89),J89&gt;0.8*'Ratio_M+Cl'!D82,J89&lt;1.2*'Ratio_M+Cl'!D82),J121/'Ratio_M+Cl'!D114,IF(OR(J121="N/A",J153="N/A"),"N/A",""))</f>
        <v>1371.3359320960528</v>
      </c>
      <c r="K58" s="180">
        <f>IF(AND(ISNUMBER(K89),K89&gt;0.8*'Ratio_M+Cl'!E82,K89&lt;1.2*'Ratio_M+Cl'!E82),K121/'Ratio_M+Cl'!E114,IF(OR(K121="N/A",K153="N/A"),"N/A",""))</f>
        <v>2782.086718094024</v>
      </c>
      <c r="L58" s="180">
        <f>IF(AND(ISNUMBER(L89),L89&gt;0.8*'Ratio_M+Cl'!F82,L89&lt;1.2*'Ratio_M+Cl'!F82),L121/'Ratio_M+Cl'!F114,IF(OR(L121="N/A",L153="N/A"),"N/A",""))</f>
        <v>3241.2401926688576</v>
      </c>
      <c r="M58" s="180">
        <f>IF(AND(ISNUMBER(M89),M89&gt;0.8*'Ratio_M+Cl'!G82,M89&lt;1.2*'Ratio_M+Cl'!G82),M121/'Ratio_M+Cl'!G114,IF(OR(M121="N/A",M153="N/A"),"N/A",""))</f>
        <v>2005.3175272715564</v>
      </c>
      <c r="N58" s="183">
        <f>IF(AND(ISNUMBER(N89),N89&gt;0.8*'Ratio_M+Cl'!H82,N89&lt;1.2*'Ratio_M+Cl'!H82),N121/'Ratio_M+Cl'!H114,IF(OR(N121="N/A",N153="N/A"),"N/A",""))</f>
        <v>716.55653269099491</v>
      </c>
      <c r="O58" s="183">
        <f>IF(AND(ISNUMBER(O89),O89&gt;0.8*'Ratio_M+Cl'!I82,O89&lt;1.2*'Ratio_M+Cl'!I82),O121/'Ratio_M+Cl'!I114,IF(OR(O121="N/A",O153="N/A"),"N/A",""))</f>
        <v>167.11024658396002</v>
      </c>
      <c r="P58" s="183">
        <f>IF(AND(ISNUMBER(P89),P89&gt;0.8*'Ratio_M+Cl'!J82,P89&lt;1.2*'Ratio_M+Cl'!J82),P121/'Ratio_M+Cl'!J114,IF(OR(P121="N/A",P153="N/A"),"N/A",""))</f>
        <v>19.819135667366702</v>
      </c>
      <c r="Q58" s="183" t="str">
        <f>IF(AND(ISNUMBER(Q89),Q89&gt;0.8*'Ratio_M+Cl'!K82,Q89&lt;1.2*'Ratio_M+Cl'!K82),Q121/'Ratio_M+Cl'!K114,IF(OR(Q121="N/A",Q153="N/A"),"N/A",""))</f>
        <v/>
      </c>
      <c r="R58" s="183" t="str">
        <f>IF(AND(ISNUMBER(R89),R89&gt;0.8*'Ratio_M+Cl'!L82,R89&lt;1.2*'Ratio_M+Cl'!L82),R121/'Ratio_M+Cl'!L114,IF(OR(R121="N/A",R153="N/A"),"N/A",""))</f>
        <v/>
      </c>
      <c r="S58" s="183" t="str">
        <f>IF(AND(ISNUMBER(S89),S89&gt;0.8*'Ratio_M+Cl'!M82,S89&lt;1.2*'Ratio_M+Cl'!M82),S121/'Ratio_M+Cl'!M114,IF(OR(S121="N/A",S153="N/A"),"N/A",""))</f>
        <v/>
      </c>
      <c r="T58" s="183" t="str">
        <f>IF(AND(ISNUMBER(T89),T89&gt;0.8*'Ratio_M+Cl'!N82,T89&lt;1.2*'Ratio_M+Cl'!N82),T121/'Ratio_M+Cl'!N114,IF(OR(T121="N/A",T153="N/A"),"N/A",""))</f>
        <v/>
      </c>
      <c r="U58" s="183" t="str">
        <f>IF(AND(ISNUMBER(U89),U89&gt;0.8*'Ratio_M+Cl'!O82,U89&lt;1.2*'Ratio_M+Cl'!O82),U121/'Ratio_M+Cl'!O114,IF(OR(U121="N/A",U153="N/A"),"N/A",""))</f>
        <v/>
      </c>
      <c r="V58" s="183">
        <f>IF(AND(ISNUMBER(V89),V89&gt;0.8*'Ratio_M+Cl'!P82,V89&lt;1.2*'Ratio_M+Cl'!P82),V121/'Ratio_M+Cl'!P114,IF(OR(V121="N/A",V153="N/A"),"N/A",""))</f>
        <v>178.89124565096412</v>
      </c>
      <c r="W58" s="183">
        <f>IF(AND(ISNUMBER(W89),W89&gt;0.8*'Ratio_M+Cl'!Q82,W89&lt;1.2*'Ratio_M+Cl'!Q82),W121/'Ratio_M+Cl'!Q114,IF(OR(W121="N/A",W153="N/A"),"N/A",""))</f>
        <v>787.48301872343211</v>
      </c>
      <c r="X58" s="183">
        <f>IF(AND(ISNUMBER(X89),X89&gt;0.8*'Ratio_M+Cl'!R82,X89&lt;1.2*'Ratio_M+Cl'!R82),X121/'Ratio_M+Cl'!R114,IF(OR(X121="N/A",X153="N/A"),"N/A",""))</f>
        <v>1768.977528190876</v>
      </c>
      <c r="Y58" s="183">
        <f>IF(AND(ISNUMBER(Y89),Y89&gt;0.8*'Ratio_M+Cl'!S82,Y89&lt;1.2*'Ratio_M+Cl'!S82),Y121/'Ratio_M+Cl'!S114,IF(OR(Y121="N/A",Y153="N/A"),"N/A",""))</f>
        <v>2146.0778135403248</v>
      </c>
      <c r="Z58" s="183">
        <f>IF(AND(ISNUMBER(Z89),Z89&gt;0.8*'Ratio_M+Cl'!T82,Z89&lt;1.2*'Ratio_M+Cl'!T82),Z121/'Ratio_M+Cl'!T114,IF(OR(Z121="N/A",Z153="N/A"),"N/A",""))</f>
        <v>1589.4721710459587</v>
      </c>
      <c r="AA58" s="183">
        <f>IF(AND(ISNUMBER(AA89),AA89&gt;0.8*'Ratio_M+Cl'!U82,AA89&lt;1.2*'Ratio_M+Cl'!U82),AA121/'Ratio_M+Cl'!U114,IF(OR(AA121="N/A",AA153="N/A"),"N/A",""))</f>
        <v>700.91107748098989</v>
      </c>
      <c r="AB58" s="185">
        <f>IF(AND(ISNUMBER(AB89),AB89&gt;0.8*'Ratio_M+Cl'!V82,AB89&lt;1.2*'Ratio_M+Cl'!V82),AB121/'Ratio_M+Cl'!V114,IF(OR(AB121="N/A",AB153="N/A"),"N/A",""))</f>
        <v>174.93965489855319</v>
      </c>
      <c r="AC58" s="183" t="str">
        <f>IF(AND(ISNUMBER(AC89),AC89&gt;0.8*'Ratio_M+Cl'!W82,AC89&lt;1.2*'Ratio_M+Cl'!W82),AC121/'Ratio_M+Cl'!W114,IF(OR(AC121="N/A",AC153="N/A"),"N/A",""))</f>
        <v/>
      </c>
      <c r="AD58" s="184" t="str">
        <f>IF(AND(ISNUMBER(AD89),AD89&gt;0.8*'Ratio_M+Cl'!X82,AD89&lt;1.2*'Ratio_M+Cl'!X82),AD121/'Ratio_M+Cl'!X114,IF(OR(AD121="N/A",AD153="N/A"),"N/A",""))</f>
        <v/>
      </c>
      <c r="AE58" s="183" t="str">
        <f>IF(AND(ISNUMBER(AE89),AE89&gt;0.8*'Ratio_M+Cl'!Y82,AE89&lt;1.2*'Ratio_M+Cl'!Y82),AE121/'Ratio_M+Cl'!Y114,IF(OR(AE121="N/A",AE153="N/A"),"N/A",""))</f>
        <v/>
      </c>
      <c r="AF58" s="183" t="str">
        <f>IF(AND(ISNUMBER(AF89),AF89&gt;0.8*'Ratio_M+Cl'!Z82,AF89&lt;1.2*'Ratio_M+Cl'!Z82),AF121/'Ratio_M+Cl'!Z114,IF(OR(AF121="N/A",AF153="N/A"),"N/A",""))</f>
        <v/>
      </c>
      <c r="AG58" s="183" t="str">
        <f>IF(AND(ISNUMBER(AG89),AG89&gt;0.8*'Ratio_M+Cl'!AA82,AG89&lt;1.2*'Ratio_M+Cl'!AA82),AG121/'Ratio_M+Cl'!AA114,IF(OR(AG121="N/A",AG153="N/A"),"N/A",""))</f>
        <v/>
      </c>
      <c r="AH58" s="183" t="str">
        <f>IF(AND(ISNUMBER(AH89),AH89&gt;0.8*'Ratio_M+Cl'!AB82,AH89&lt;1.2*'Ratio_M+Cl'!AB82),AH121/'Ratio_M+Cl'!AB114,IF(OR(AH121="N/A",AH153="N/A"),"N/A",""))</f>
        <v/>
      </c>
      <c r="AI58" s="183" t="str">
        <f>IF(AND(ISNUMBER(AI89),AI89&gt;0.8*'Ratio_M+Cl'!AC82,AI89&lt;1.2*'Ratio_M+Cl'!AC82),AI121/'Ratio_M+Cl'!AC114,IF(OR(AI121="N/A",AI153="N/A"),"N/A",""))</f>
        <v/>
      </c>
      <c r="AK58" s="160" t="s">
        <v>22</v>
      </c>
      <c r="AL58" s="177">
        <f t="shared" si="2"/>
        <v>0.70812705028959666</v>
      </c>
      <c r="AM58" s="177">
        <f t="shared" si="0"/>
        <v>3.38742989422013</v>
      </c>
      <c r="AN58" s="177">
        <f t="shared" si="0"/>
        <v>6.8722210923037146</v>
      </c>
      <c r="AO58" s="177">
        <f t="shared" si="0"/>
        <v>8.0064072310950447</v>
      </c>
      <c r="AP58" s="177">
        <f t="shared" si="0"/>
        <v>4.9534708311044717</v>
      </c>
      <c r="AQ58" s="177">
        <f t="shared" si="0"/>
        <v>1.7700148905353592</v>
      </c>
      <c r="AR58" s="177">
        <f t="shared" si="0"/>
        <v>0.41279035403365616</v>
      </c>
      <c r="AS58" s="177">
        <f t="shared" si="0"/>
        <v>4.8956591208564625E-2</v>
      </c>
      <c r="AT58" s="177" t="str">
        <f t="shared" si="0"/>
        <v/>
      </c>
      <c r="AU58" s="177" t="str">
        <f t="shared" si="0"/>
        <v/>
      </c>
      <c r="AV58" s="177" t="str">
        <f t="shared" si="0"/>
        <v/>
      </c>
      <c r="AW58" s="177" t="str">
        <f t="shared" si="0"/>
        <v/>
      </c>
      <c r="AX58" s="177" t="str">
        <f t="shared" si="0"/>
        <v/>
      </c>
      <c r="AY58" s="177">
        <f t="shared" si="0"/>
        <v>0.44189139885376222</v>
      </c>
      <c r="AZ58" s="177">
        <f t="shared" si="0"/>
        <v>1.9452152141431824</v>
      </c>
      <c r="BA58" s="177">
        <f t="shared" si="0"/>
        <v>4.3696713700474135</v>
      </c>
      <c r="BB58" s="177">
        <f t="shared" ref="BB58:BL70" si="3">IF(ISNUMBER(Y58),Y58*10^6/$AF$3,"")</f>
        <v>5.3011723610257429</v>
      </c>
      <c r="BC58" s="177">
        <f t="shared" si="1"/>
        <v>3.9262630127414497</v>
      </c>
      <c r="BD58" s="177">
        <f t="shared" si="1"/>
        <v>1.731367990496762</v>
      </c>
      <c r="BE58" s="177">
        <f t="shared" si="1"/>
        <v>0.43213030652682172</v>
      </c>
      <c r="BF58" s="177" t="str">
        <f t="shared" si="1"/>
        <v/>
      </c>
      <c r="BG58" s="177" t="str">
        <f t="shared" si="1"/>
        <v/>
      </c>
      <c r="BH58" s="177" t="str">
        <f t="shared" si="1"/>
        <v/>
      </c>
      <c r="BI58" s="177" t="str">
        <f t="shared" si="1"/>
        <v/>
      </c>
      <c r="BJ58" s="177" t="str">
        <f t="shared" si="1"/>
        <v/>
      </c>
      <c r="BK58" s="177" t="str">
        <f t="shared" si="1"/>
        <v/>
      </c>
      <c r="BL58" s="177" t="str">
        <f t="shared" si="1"/>
        <v/>
      </c>
    </row>
    <row r="59" spans="1:64" ht="15.75" x14ac:dyDescent="0.3">
      <c r="A59" s="150">
        <v>54</v>
      </c>
      <c r="B59" s="10" t="s">
        <v>50</v>
      </c>
      <c r="C59">
        <v>1437184791.61499</v>
      </c>
      <c r="E59" s="10" t="s">
        <v>374</v>
      </c>
      <c r="F59" s="151">
        <f>IF(ISNUMBER(Q48),Q48/SUM($I$43:$AI$71),0)</f>
        <v>2.5278114152098349E-2</v>
      </c>
      <c r="H59" s="160" t="s">
        <v>23</v>
      </c>
      <c r="I59" s="183">
        <f>IF(AND(ISNUMBER(I90),I90&gt;0.8*'Ratio_M+Cl'!C83,I90&lt;1.2*'Ratio_M+Cl'!C83),I122/'Ratio_M+Cl'!C115,IF(OR(I122="N/A",I154="N/A"),"N/A",""))</f>
        <v>242.4486216150913</v>
      </c>
      <c r="J59" s="183">
        <f>IF(AND(ISNUMBER(J90),J90&gt;0.8*'Ratio_M+Cl'!D83,J90&lt;1.2*'Ratio_M+Cl'!D83),J122/'Ratio_M+Cl'!D115,IF(OR(J122="N/A",J154="N/A"),"N/A",""))</f>
        <v>1123.3308782671029</v>
      </c>
      <c r="K59" s="180">
        <f>IF(AND(ISNUMBER(K90),K90&gt;0.8*'Ratio_M+Cl'!E83,K90&lt;1.2*'Ratio_M+Cl'!E83),K122/'Ratio_M+Cl'!E115,IF(OR(K122="N/A",K154="N/A"),"N/A",""))</f>
        <v>2669.6204953167412</v>
      </c>
      <c r="L59" s="180">
        <f>IF(AND(ISNUMBER(L90),L90&gt;0.8*'Ratio_M+Cl'!F83,L90&lt;1.2*'Ratio_M+Cl'!F83),L122/'Ratio_M+Cl'!F115,IF(OR(L122="N/A",L154="N/A"),"N/A",""))</f>
        <v>3552.0590973480171</v>
      </c>
      <c r="M59" s="180">
        <f>IF(AND(ISNUMBER(M90),M90&gt;0.8*'Ratio_M+Cl'!G83,M90&lt;1.2*'Ratio_M+Cl'!G83),M122/'Ratio_M+Cl'!G115,IF(OR(M122="N/A",M154="N/A"),"N/A",""))</f>
        <v>2456.6365455062323</v>
      </c>
      <c r="N59" s="183">
        <f>IF(AND(ISNUMBER(N90),N90&gt;0.8*'Ratio_M+Cl'!H83,N90&lt;1.2*'Ratio_M+Cl'!H83),N122/'Ratio_M+Cl'!H115,IF(OR(N122="N/A",N154="N/A"),"N/A",""))</f>
        <v>1025.3899057322949</v>
      </c>
      <c r="O59" s="183">
        <f>IF(AND(ISNUMBER(O90),O90&gt;0.8*'Ratio_M+Cl'!I83,O90&lt;1.2*'Ratio_M+Cl'!I83),O122/'Ratio_M+Cl'!I115,IF(OR(O122="N/A",O154="N/A"),"N/A",""))</f>
        <v>267.7707838891572</v>
      </c>
      <c r="P59" s="183">
        <f>IF(AND(ISNUMBER(P90),P90&gt;0.8*'Ratio_M+Cl'!J83,P90&lt;1.2*'Ratio_M+Cl'!J83),P122/'Ratio_M+Cl'!J115,IF(OR(P122="N/A",P154="N/A"),"N/A",""))</f>
        <v>40.343449552659116</v>
      </c>
      <c r="Q59" s="183" t="str">
        <f>IF(AND(ISNUMBER(Q90),Q90&gt;0.8*'Ratio_M+Cl'!K83,Q90&lt;1.2*'Ratio_M+Cl'!K83),Q122/'Ratio_M+Cl'!K115,IF(OR(Q122="N/A",Q154="N/A"),"N/A",""))</f>
        <v/>
      </c>
      <c r="R59" s="183" t="str">
        <f>IF(AND(ISNUMBER(R90),R90&gt;0.8*'Ratio_M+Cl'!L83,R90&lt;1.2*'Ratio_M+Cl'!L83),R122/'Ratio_M+Cl'!L115,IF(OR(R122="N/A",R154="N/A"),"N/A",""))</f>
        <v/>
      </c>
      <c r="S59" s="183" t="str">
        <f>IF(AND(ISNUMBER(S90),S90&gt;0.8*'Ratio_M+Cl'!M83,S90&lt;1.2*'Ratio_M+Cl'!M83),S122/'Ratio_M+Cl'!M115,IF(OR(S122="N/A",S154="N/A"),"N/A",""))</f>
        <v/>
      </c>
      <c r="T59" s="183" t="str">
        <f>IF(AND(ISNUMBER(T90),T90&gt;0.8*'Ratio_M+Cl'!N83,T90&lt;1.2*'Ratio_M+Cl'!N83),T122/'Ratio_M+Cl'!N115,IF(OR(T122="N/A",T154="N/A"),"N/A",""))</f>
        <v/>
      </c>
      <c r="U59" s="183" t="str">
        <f>IF(AND(ISNUMBER(U90),U90&gt;0.8*'Ratio_M+Cl'!O83,U90&lt;1.2*'Ratio_M+Cl'!O83),U122/'Ratio_M+Cl'!O115,IF(OR(U122="N/A",U154="N/A"),"N/A",""))</f>
        <v/>
      </c>
      <c r="V59" s="183" t="str">
        <f>IF(AND(ISNUMBER(V90),V90&gt;0.8*'Ratio_M+Cl'!P83,V90&lt;1.2*'Ratio_M+Cl'!P83),V122/'Ratio_M+Cl'!P115,IF(OR(V122="N/A",V154="N/A"),"N/A",""))</f>
        <v/>
      </c>
      <c r="W59" s="183">
        <f>IF(AND(ISNUMBER(W90),W90&gt;0.8*'Ratio_M+Cl'!Q83,W90&lt;1.2*'Ratio_M+Cl'!Q83),W122/'Ratio_M+Cl'!Q115,IF(OR(W122="N/A",W154="N/A"),"N/A",""))</f>
        <v>293.12523877134373</v>
      </c>
      <c r="X59" s="183">
        <f>IF(AND(ISNUMBER(X90),X90&gt;0.8*'Ratio_M+Cl'!R83,X90&lt;1.2*'Ratio_M+Cl'!R83),X122/'Ratio_M+Cl'!R115,IF(OR(X122="N/A",X154="N/A"),"N/A",""))</f>
        <v>1043.0979049704845</v>
      </c>
      <c r="Y59" s="183">
        <f>IF(AND(ISNUMBER(Y90),Y90&gt;0.8*'Ratio_M+Cl'!S83,Y90&lt;1.2*'Ratio_M+Cl'!S83),Y122/'Ratio_M+Cl'!S115,IF(OR(Y122="N/A",Y154="N/A"),"N/A",""))</f>
        <v>2055.648876854676</v>
      </c>
      <c r="Z59" s="183">
        <f>IF(AND(ISNUMBER(Z90),Z90&gt;0.8*'Ratio_M+Cl'!T83,Z90&lt;1.2*'Ratio_M+Cl'!T83),Z122/'Ratio_M+Cl'!T115,IF(OR(Z122="N/A",Z154="N/A"),"N/A",""))</f>
        <v>2393.7067406192496</v>
      </c>
      <c r="AA59" s="183">
        <f>IF(AND(ISNUMBER(AA90),AA90&gt;0.8*'Ratio_M+Cl'!U83,AA90&lt;1.2*'Ratio_M+Cl'!U83),AA122/'Ratio_M+Cl'!U115,IF(OR(AA122="N/A",AA154="N/A"),"N/A",""))</f>
        <v>1736.4427104168062</v>
      </c>
      <c r="AB59" s="183">
        <f>IF(AND(ISNUMBER(AB90),AB90&gt;0.8*'Ratio_M+Cl'!V83,AB90&lt;1.2*'Ratio_M+Cl'!V83),AB122/'Ratio_M+Cl'!V115,IF(OR(AB122="N/A",AB154="N/A"),"N/A",""))</f>
        <v>772.29906282041634</v>
      </c>
      <c r="AC59" s="185">
        <f>IF(AND(ISNUMBER(AC90),AC90&gt;0.8*'Ratio_M+Cl'!W83,AC90&lt;1.2*'Ratio_M+Cl'!W83),AC122/'Ratio_M+Cl'!W115,IF(OR(AC122="N/A",AC154="N/A"),"N/A",""))</f>
        <v>201.37415549950916</v>
      </c>
      <c r="AD59" s="183" t="str">
        <f>IF(AND(ISNUMBER(AD90),AD90&gt;0.8*'Ratio_M+Cl'!X83,AD90&lt;1.2*'Ratio_M+Cl'!X83),AD122/'Ratio_M+Cl'!X115,IF(OR(AD122="N/A",AD154="N/A"),"N/A",""))</f>
        <v/>
      </c>
      <c r="AE59" s="184" t="str">
        <f>IF(AND(ISNUMBER(AE90),AE90&gt;0.8*'Ratio_M+Cl'!Y83,AE90&lt;1.2*'Ratio_M+Cl'!Y83),AE122/'Ratio_M+Cl'!Y115,IF(OR(AE122="N/A",AE154="N/A"),"N/A",""))</f>
        <v/>
      </c>
      <c r="AF59" s="183" t="str">
        <f>IF(AND(ISNUMBER(AF90),AF90&gt;0.8*'Ratio_M+Cl'!Z83,AF90&lt;1.2*'Ratio_M+Cl'!Z83),AF122/'Ratio_M+Cl'!Z115,IF(OR(AF122="N/A",AF154="N/A"),"N/A",""))</f>
        <v/>
      </c>
      <c r="AG59" s="183" t="str">
        <f>IF(AND(ISNUMBER(AG90),AG90&gt;0.8*'Ratio_M+Cl'!AA83,AG90&lt;1.2*'Ratio_M+Cl'!AA83),AG122/'Ratio_M+Cl'!AA115,IF(OR(AG122="N/A",AG154="N/A"),"N/A",""))</f>
        <v/>
      </c>
      <c r="AH59" s="183" t="str">
        <f>IF(AND(ISNUMBER(AH90),AH90&gt;0.8*'Ratio_M+Cl'!AB83,AH90&lt;1.2*'Ratio_M+Cl'!AB83),AH122/'Ratio_M+Cl'!AB115,IF(OR(AH122="N/A",AH154="N/A"),"N/A",""))</f>
        <v/>
      </c>
      <c r="AI59" s="183" t="str">
        <f>IF(AND(ISNUMBER(AI90),AI90&gt;0.8*'Ratio_M+Cl'!AC83,AI90&lt;1.2*'Ratio_M+Cl'!AC83),AI122/'Ratio_M+Cl'!AC115,IF(OR(AI122="N/A",AI154="N/A"),"N/A",""))</f>
        <v/>
      </c>
      <c r="AK59" s="160" t="s">
        <v>23</v>
      </c>
      <c r="AL59" s="177">
        <f t="shared" si="2"/>
        <v>0.59888878388544986</v>
      </c>
      <c r="AM59" s="177">
        <f t="shared" si="2"/>
        <v>2.774815790268383</v>
      </c>
      <c r="AN59" s="177">
        <f t="shared" si="2"/>
        <v>6.594410647605832</v>
      </c>
      <c r="AO59" s="177">
        <f t="shared" si="2"/>
        <v>8.7741820882663628</v>
      </c>
      <c r="AP59" s="177">
        <f t="shared" si="2"/>
        <v>6.0683045479323177</v>
      </c>
      <c r="AQ59" s="177">
        <f t="shared" si="2"/>
        <v>2.5328851513429504</v>
      </c>
      <c r="AR59" s="177">
        <f t="shared" si="2"/>
        <v>0.66143877434792975</v>
      </c>
      <c r="AS59" s="177">
        <f t="shared" si="2"/>
        <v>9.9655090960649506E-2</v>
      </c>
      <c r="AT59" s="177" t="str">
        <f t="shared" si="2"/>
        <v/>
      </c>
      <c r="AU59" s="177" t="str">
        <f t="shared" si="2"/>
        <v/>
      </c>
      <c r="AV59" s="177" t="str">
        <f t="shared" si="2"/>
        <v/>
      </c>
      <c r="AW59" s="177" t="str">
        <f t="shared" si="2"/>
        <v/>
      </c>
      <c r="AX59" s="177" t="str">
        <f t="shared" si="2"/>
        <v/>
      </c>
      <c r="AY59" s="177" t="str">
        <f t="shared" si="2"/>
        <v/>
      </c>
      <c r="AZ59" s="177">
        <f t="shared" si="2"/>
        <v>0.72406853297191542</v>
      </c>
      <c r="BA59" s="177">
        <f t="shared" si="2"/>
        <v>2.5766268812738402</v>
      </c>
      <c r="BB59" s="177">
        <f t="shared" si="3"/>
        <v>5.0777977113414012</v>
      </c>
      <c r="BC59" s="177">
        <f t="shared" si="3"/>
        <v>5.9128573687821442</v>
      </c>
      <c r="BD59" s="177">
        <f t="shared" si="3"/>
        <v>4.289304910049216</v>
      </c>
      <c r="BE59" s="177">
        <f t="shared" si="3"/>
        <v>1.907708294843125</v>
      </c>
      <c r="BF59" s="177">
        <f t="shared" si="3"/>
        <v>0.49742795933286382</v>
      </c>
      <c r="BG59" s="177" t="str">
        <f t="shared" si="3"/>
        <v/>
      </c>
      <c r="BH59" s="177" t="str">
        <f t="shared" si="3"/>
        <v/>
      </c>
      <c r="BI59" s="177" t="str">
        <f t="shared" si="3"/>
        <v/>
      </c>
      <c r="BJ59" s="177" t="str">
        <f t="shared" si="3"/>
        <v/>
      </c>
      <c r="BK59" s="177" t="str">
        <f t="shared" si="3"/>
        <v/>
      </c>
      <c r="BL59" s="177" t="str">
        <f t="shared" si="3"/>
        <v/>
      </c>
    </row>
    <row r="60" spans="1:64" ht="15.75" x14ac:dyDescent="0.3">
      <c r="A60" s="150">
        <v>55</v>
      </c>
      <c r="B60" s="10" t="s">
        <v>51</v>
      </c>
      <c r="C60">
        <v>1556311041.0890801</v>
      </c>
      <c r="E60" s="10" t="s">
        <v>498</v>
      </c>
      <c r="F60" s="151">
        <f>IF(ISNUMBER(R48),R48/SUM($I$43:$AI$71),0)</f>
        <v>1.5554691780583595E-2</v>
      </c>
      <c r="H60" s="160" t="s">
        <v>24</v>
      </c>
      <c r="I60" s="183">
        <f>IF(AND(ISNUMBER(I91),I91&gt;0.8*'Ratio_M+Cl'!C84,I91&lt;1.2*'Ratio_M+Cl'!C84),I123/'Ratio_M+Cl'!C116,IF(OR(I123="N/A",I155="N/A"),"N/A",""))</f>
        <v>202.31260251078902</v>
      </c>
      <c r="J60" s="183">
        <f>IF(AND(ISNUMBER(J91),J91&gt;0.8*'Ratio_M+Cl'!D84,J91&lt;1.2*'Ratio_M+Cl'!D84),J123/'Ratio_M+Cl'!D116,IF(OR(J123="N/A",J155="N/A"),"N/A",""))</f>
        <v>920.67653921937142</v>
      </c>
      <c r="K60" s="180">
        <f>IF(AND(ISNUMBER(K91),K91&gt;0.8*'Ratio_M+Cl'!E84,K91&lt;1.2*'Ratio_M+Cl'!E84),K123/'Ratio_M+Cl'!E116,IF(OR(K123="N/A",K155="N/A"),"N/A",""))</f>
        <v>2377.6035776986141</v>
      </c>
      <c r="L60" s="180">
        <f>IF(AND(ISNUMBER(L91),L91&gt;0.8*'Ratio_M+Cl'!F84,L91&lt;1.2*'Ratio_M+Cl'!F84),L123/'Ratio_M+Cl'!F116,IF(OR(L123="N/A",L155="N/A"),"N/A",""))</f>
        <v>3370.8698710793747</v>
      </c>
      <c r="M60" s="180">
        <f>IF(AND(ISNUMBER(M91),M91&gt;0.8*'Ratio_M+Cl'!G84,M91&lt;1.2*'Ratio_M+Cl'!G84),M123/'Ratio_M+Cl'!G116,IF(OR(M123="N/A",M155="N/A"),"N/A",""))</f>
        <v>2601.0711097828084</v>
      </c>
      <c r="N60" s="183">
        <f>IF(AND(ISNUMBER(N91),N91&gt;0.8*'Ratio_M+Cl'!H84,N91&lt;1.2*'Ratio_M+Cl'!H84),N123/'Ratio_M+Cl'!H116,IF(OR(N123="N/A",N155="N/A"),"N/A",""))</f>
        <v>1220.2587328927809</v>
      </c>
      <c r="O60" s="183">
        <f>IF(AND(ISNUMBER(O91),O91&gt;0.8*'Ratio_M+Cl'!I84,O91&lt;1.2*'Ratio_M+Cl'!I84),O123/'Ratio_M+Cl'!I116,IF(OR(O123="N/A",O155="N/A"),"N/A",""))</f>
        <v>377.52899153702214</v>
      </c>
      <c r="P60" s="183">
        <f>IF(AND(ISNUMBER(P91),P91&gt;0.8*'Ratio_M+Cl'!J84,P91&lt;1.2*'Ratio_M+Cl'!J84),P123/'Ratio_M+Cl'!J116,IF(OR(P123="N/A",P155="N/A"),"N/A",""))</f>
        <v>77.011447171807689</v>
      </c>
      <c r="Q60" s="183" t="str">
        <f>IF(AND(ISNUMBER(Q91),Q91&gt;0.8*'Ratio_M+Cl'!K84,Q91&lt;1.2*'Ratio_M+Cl'!K84),Q123/'Ratio_M+Cl'!K116,IF(OR(Q123="N/A",Q155="N/A"),"N/A",""))</f>
        <v/>
      </c>
      <c r="R60" s="183" t="str">
        <f>IF(AND(ISNUMBER(R91),R91&gt;0.8*'Ratio_M+Cl'!L84,R91&lt;1.2*'Ratio_M+Cl'!L84),R123/'Ratio_M+Cl'!L116,IF(OR(R123="N/A",R155="N/A"),"N/A",""))</f>
        <v/>
      </c>
      <c r="S60" s="183" t="str">
        <f>IF(AND(ISNUMBER(S91),S91&gt;0.8*'Ratio_M+Cl'!M84,S91&lt;1.2*'Ratio_M+Cl'!M84),S123/'Ratio_M+Cl'!M116,IF(OR(S123="N/A",S155="N/A"),"N/A",""))</f>
        <v/>
      </c>
      <c r="T60" s="183" t="str">
        <f>IF(AND(ISNUMBER(T91),T91&gt;0.8*'Ratio_M+Cl'!N84,T91&lt;1.2*'Ratio_M+Cl'!N84),T123/'Ratio_M+Cl'!N116,IF(OR(T123="N/A",T155="N/A"),"N/A",""))</f>
        <v/>
      </c>
      <c r="U60" s="186" t="str">
        <f>IF(AND(ISNUMBER(U91),U91&gt;0.8*'Ratio_M+Cl'!O84,U91&lt;1.2*'Ratio_M+Cl'!O84),U123/'Ratio_M+Cl'!O116,IF(OR(U123="N/A",U155="N/A"),"N/A",""))</f>
        <v/>
      </c>
      <c r="V60" s="183" t="str">
        <f>IF(AND(ISNUMBER(V91),V91&gt;0.8*'Ratio_M+Cl'!P84,V91&lt;1.2*'Ratio_M+Cl'!P84),V123/'Ratio_M+Cl'!P116,IF(OR(V123="N/A",V155="N/A"),"N/A",""))</f>
        <v/>
      </c>
      <c r="W60" s="183">
        <f>IF(AND(ISNUMBER(W91),W91&gt;0.8*'Ratio_M+Cl'!Q84,W91&lt;1.2*'Ratio_M+Cl'!Q84),W123/'Ratio_M+Cl'!Q116,IF(OR(W123="N/A",W155="N/A"),"N/A",""))</f>
        <v>59.483149713865359</v>
      </c>
      <c r="X60" s="183">
        <f>IF(AND(ISNUMBER(X91),X91&gt;0.8*'Ratio_M+Cl'!R84,X91&lt;1.2*'Ratio_M+Cl'!R84),X123/'Ratio_M+Cl'!R116,IF(OR(X123="N/A",X155="N/A"),"N/A",""))</f>
        <v>363.81401402145639</v>
      </c>
      <c r="Y60" s="183">
        <f>IF(AND(ISNUMBER(Y91),Y91&gt;0.8*'Ratio_M+Cl'!S84,Y91&lt;1.2*'Ratio_M+Cl'!S84),Y123/'Ratio_M+Cl'!S116,IF(OR(Y123="N/A",Y155="N/A"),"N/A",""))</f>
        <v>1116.1621130724204</v>
      </c>
      <c r="Z60" s="183">
        <f>IF(AND(ISNUMBER(Z91),Z91&gt;0.8*'Ratio_M+Cl'!T84,Z91&lt;1.2*'Ratio_M+Cl'!T84),Z123/'Ratio_M+Cl'!T116,IF(OR(Z123="N/A",Z155="N/A"),"N/A",""))</f>
        <v>2046.1423060527104</v>
      </c>
      <c r="AA60" s="183">
        <f>IF(AND(ISNUMBER(AA91),AA91&gt;0.8*'Ratio_M+Cl'!U84,AA91&lt;1.2*'Ratio_M+Cl'!U84),AA123/'Ratio_M+Cl'!U116,IF(OR(AA123="N/A",AA155="N/A"),"N/A",""))</f>
        <v>2276.6045087352768</v>
      </c>
      <c r="AB60" s="183">
        <f>IF(AND(ISNUMBER(AB91),AB91&gt;0.8*'Ratio_M+Cl'!V84,AB91&lt;1.2*'Ratio_M+Cl'!V84),AB123/'Ratio_M+Cl'!V116,IF(OR(AB123="N/A",AB155="N/A"),"N/A",""))</f>
        <v>1635.7772253310807</v>
      </c>
      <c r="AC60" s="183">
        <f>IF(AND(ISNUMBER(AC91),AC91&gt;0.8*'Ratio_M+Cl'!W84,AC91&lt;1.2*'Ratio_M+Cl'!W84),AC123/'Ratio_M+Cl'!W116,IF(OR(AC123="N/A",AC155="N/A"),"N/A",""))</f>
        <v>748.01836826447811</v>
      </c>
      <c r="AD60" s="185">
        <f>IF(AND(ISNUMBER(AD91),AD91&gt;0.8*'Ratio_M+Cl'!X84,AD91&lt;1.2*'Ratio_M+Cl'!X84),AD123/'Ratio_M+Cl'!X116,IF(OR(AD123="N/A",AD155="N/A"),"N/A",""))</f>
        <v>177.81263021039337</v>
      </c>
      <c r="AE60" s="183" t="str">
        <f>IF(AND(ISNUMBER(AE91),AE91&gt;0.8*'Ratio_M+Cl'!Y84,AE91&lt;1.2*'Ratio_M+Cl'!Y84),AE123/'Ratio_M+Cl'!Y116,IF(OR(AE123="N/A",AE155="N/A"),"N/A",""))</f>
        <v/>
      </c>
      <c r="AF60" s="184" t="str">
        <f>IF(AND(ISNUMBER(AF91),AF91&gt;0.8*'Ratio_M+Cl'!Z84,AF91&lt;1.2*'Ratio_M+Cl'!Z84),AF123/'Ratio_M+Cl'!Z116,IF(OR(AF123="N/A",AF155="N/A"),"N/A",""))</f>
        <v/>
      </c>
      <c r="AG60" s="183" t="str">
        <f>IF(AND(ISNUMBER(AG91),AG91&gt;0.8*'Ratio_M+Cl'!AA84,AG91&lt;1.2*'Ratio_M+Cl'!AA84),AG123/'Ratio_M+Cl'!AA116,IF(OR(AG123="N/A",AG155="N/A"),"N/A",""))</f>
        <v/>
      </c>
      <c r="AH60" s="183" t="str">
        <f>IF(AND(ISNUMBER(AH91),AH91&gt;0.8*'Ratio_M+Cl'!AB84,AH91&lt;1.2*'Ratio_M+Cl'!AB84),AH123/'Ratio_M+Cl'!AB116,IF(OR(AH123="N/A",AH155="N/A"),"N/A",""))</f>
        <v/>
      </c>
      <c r="AI60" s="183" t="str">
        <f>IF(AND(ISNUMBER(AI91),AI91&gt;0.8*'Ratio_M+Cl'!AC84,AI91&lt;1.2*'Ratio_M+Cl'!AC84),AI123/'Ratio_M+Cl'!AC116,IF(OR(AI123="N/A",AI155="N/A"),"N/A",""))</f>
        <v/>
      </c>
      <c r="AK60" s="160" t="s">
        <v>24</v>
      </c>
      <c r="AL60" s="177">
        <f t="shared" si="2"/>
        <v>0.49974608094387712</v>
      </c>
      <c r="AM60" s="177">
        <f t="shared" si="2"/>
        <v>2.274225562726949</v>
      </c>
      <c r="AN60" s="177">
        <f t="shared" si="2"/>
        <v>5.873079853884331</v>
      </c>
      <c r="AO60" s="177">
        <f t="shared" si="2"/>
        <v>8.3266142916325432</v>
      </c>
      <c r="AP60" s="177">
        <f t="shared" si="2"/>
        <v>6.4250821611618552</v>
      </c>
      <c r="AQ60" s="177">
        <f t="shared" si="2"/>
        <v>3.0142438579336055</v>
      </c>
      <c r="AR60" s="177">
        <f t="shared" si="2"/>
        <v>0.93255996720846668</v>
      </c>
      <c r="AS60" s="177">
        <f t="shared" si="2"/>
        <v>0.19023119881953432</v>
      </c>
      <c r="AT60" s="177" t="str">
        <f t="shared" si="2"/>
        <v/>
      </c>
      <c r="AU60" s="177" t="str">
        <f t="shared" si="2"/>
        <v/>
      </c>
      <c r="AV60" s="177" t="str">
        <f t="shared" si="2"/>
        <v/>
      </c>
      <c r="AW60" s="177" t="str">
        <f t="shared" si="2"/>
        <v/>
      </c>
      <c r="AX60" s="177" t="str">
        <f t="shared" si="2"/>
        <v/>
      </c>
      <c r="AY60" s="177" t="str">
        <f t="shared" si="2"/>
        <v/>
      </c>
      <c r="AZ60" s="177">
        <f t="shared" si="2"/>
        <v>0.14693336244397753</v>
      </c>
      <c r="BA60" s="177">
        <f t="shared" si="2"/>
        <v>0.89868167105401997</v>
      </c>
      <c r="BB60" s="177">
        <f t="shared" si="3"/>
        <v>2.7571077371526189</v>
      </c>
      <c r="BC60" s="177">
        <f t="shared" si="3"/>
        <v>5.0543148860377007</v>
      </c>
      <c r="BD60" s="177">
        <f t="shared" si="3"/>
        <v>5.6235952035609955</v>
      </c>
      <c r="BE60" s="177">
        <f t="shared" si="3"/>
        <v>4.0406442678866847</v>
      </c>
      <c r="BF60" s="177">
        <f t="shared" si="3"/>
        <v>1.847730904426834</v>
      </c>
      <c r="BG60" s="177">
        <f t="shared" si="3"/>
        <v>0.43922703769889032</v>
      </c>
      <c r="BH60" s="177" t="str">
        <f t="shared" si="3"/>
        <v/>
      </c>
      <c r="BI60" s="177" t="str">
        <f t="shared" si="3"/>
        <v/>
      </c>
      <c r="BJ60" s="177" t="str">
        <f t="shared" si="3"/>
        <v/>
      </c>
      <c r="BK60" s="177" t="str">
        <f t="shared" si="3"/>
        <v/>
      </c>
      <c r="BL60" s="177" t="str">
        <f t="shared" si="3"/>
        <v/>
      </c>
    </row>
    <row r="61" spans="1:64" ht="15.75" x14ac:dyDescent="0.3">
      <c r="A61" s="150">
        <v>56</v>
      </c>
      <c r="B61" s="10" t="s">
        <v>52</v>
      </c>
      <c r="C61">
        <v>1412055746.3960299</v>
      </c>
      <c r="E61" s="10" t="s">
        <v>1569</v>
      </c>
      <c r="F61" s="151">
        <f>IF(ISNUMBER(S48),S48/SUM($I$43:$AI$71),0)</f>
        <v>3.8032585865360184E-3</v>
      </c>
      <c r="H61" s="160" t="s">
        <v>330</v>
      </c>
      <c r="I61" s="183">
        <f>IF(AND(ISNUMBER(I92),I92&gt;0.8*'Ratio_M+Cl'!C85,I92&lt;1.2*'Ratio_M+Cl'!C85),I124/'Ratio_M+Cl'!C117,IF(OR(I124="N/A",I156="N/A"),"N/A",""))</f>
        <v>159.94377031737633</v>
      </c>
      <c r="J61" s="183">
        <f>IF(AND(ISNUMBER(J92),J92&gt;0.8*'Ratio_M+Cl'!D85,J92&lt;1.2*'Ratio_M+Cl'!D85),J124/'Ratio_M+Cl'!D117,IF(OR(J124="N/A",J156="N/A"),"N/A",""))</f>
        <v>672.83193294019679</v>
      </c>
      <c r="K61" s="180">
        <f>IF(AND(ISNUMBER(K92),K92&gt;0.8*'Ratio_M+Cl'!E85,K92&lt;1.2*'Ratio_M+Cl'!E85),K124/'Ratio_M+Cl'!E117,IF(OR(K124="N/A",K156="N/A"),"N/A",""))</f>
        <v>2070.6361430112688</v>
      </c>
      <c r="L61" s="180">
        <f>IF(AND(ISNUMBER(L92),L92&gt;0.8*'Ratio_M+Cl'!F85,L92&lt;1.2*'Ratio_M+Cl'!F85),L124/'Ratio_M+Cl'!F117,IF(OR(L124="N/A",L156="N/A"),"N/A",""))</f>
        <v>2997.9154800001488</v>
      </c>
      <c r="M61" s="180">
        <f>IF(AND(ISNUMBER(M92),M92&gt;0.8*'Ratio_M+Cl'!G85,M92&lt;1.2*'Ratio_M+Cl'!G85),M124/'Ratio_M+Cl'!G117,IF(OR(M124="N/A",M156="N/A"),"N/A",""))</f>
        <v>2520.7889775853819</v>
      </c>
      <c r="N61" s="186">
        <f>IF(AND(ISNUMBER(N92),N92&gt;0.8*'Ratio_M+Cl'!H85,N92&lt;1.2*'Ratio_M+Cl'!H85),N124/'Ratio_M+Cl'!H117,IF(OR(N124="N/A",N156="N/A"),"N/A",""))</f>
        <v>1342.8262313353521</v>
      </c>
      <c r="O61" s="186">
        <f>IF(AND(ISNUMBER(O92),O92&gt;0.8*'Ratio_M+Cl'!I85,O92&lt;1.2*'Ratio_M+Cl'!I85),O124/'Ratio_M+Cl'!I117,IF(OR(O124="N/A",O156="N/A"),"N/A",""))</f>
        <v>472.3245795021096</v>
      </c>
      <c r="P61" s="186">
        <f>IF(AND(ISNUMBER(P92),P92&gt;0.8*'Ratio_M+Cl'!J85,P92&lt;1.2*'Ratio_M+Cl'!J85),P124/'Ratio_M+Cl'!J117,IF(OR(P124="N/A",P156="N/A"),"N/A",""))</f>
        <v>100.06421103696347</v>
      </c>
      <c r="Q61" s="186" t="str">
        <f>IF(AND(ISNUMBER(Q92),Q92&gt;0.8*'Ratio_M+Cl'!K85,Q92&lt;1.2*'Ratio_M+Cl'!K85),Q124/'Ratio_M+Cl'!K117,IF(OR(Q124="N/A",Q156="N/A"),"N/A",""))</f>
        <v/>
      </c>
      <c r="R61" s="186" t="str">
        <f>IF(AND(ISNUMBER(R92),R92&gt;0.8*'Ratio_M+Cl'!L85,R92&lt;1.2*'Ratio_M+Cl'!L85),R124/'Ratio_M+Cl'!L117,IF(OR(R124="N/A",R156="N/A"),"N/A",""))</f>
        <v/>
      </c>
      <c r="S61" s="186" t="str">
        <f>IF(AND(ISNUMBER(S92),S92&gt;0.8*'Ratio_M+Cl'!M85,S92&lt;1.2*'Ratio_M+Cl'!M85),S124/'Ratio_M+Cl'!M117,IF(OR(S124="N/A",S156="N/A"),"N/A",""))</f>
        <v/>
      </c>
      <c r="T61" s="186" t="str">
        <f>IF(AND(ISNUMBER(T92),T92&gt;0.8*'Ratio_M+Cl'!N85,T92&lt;1.2*'Ratio_M+Cl'!N85),T124/'Ratio_M+Cl'!N117,IF(OR(T124="N/A",T156="N/A"),"N/A",""))</f>
        <v/>
      </c>
      <c r="U61" s="186" t="str">
        <f>IF(AND(ISNUMBER(U92),U92&gt;0.8*'Ratio_M+Cl'!O85,U92&lt;1.2*'Ratio_M+Cl'!O85),U124/'Ratio_M+Cl'!O117,IF(OR(U124="N/A",U156="N/A"),"N/A",""))</f>
        <v/>
      </c>
      <c r="V61" s="186" t="str">
        <f>IF(AND(ISNUMBER(V92),V92&gt;0.8*'Ratio_M+Cl'!P85,V92&lt;1.2*'Ratio_M+Cl'!P85),V124/'Ratio_M+Cl'!P117,IF(OR(V124="N/A",V156="N/A"),"N/A",""))</f>
        <v/>
      </c>
      <c r="W61" s="186" t="str">
        <f>IF(AND(ISNUMBER(W92),W92&gt;0.8*'Ratio_M+Cl'!Q85,W92&lt;1.2*'Ratio_M+Cl'!Q85),W124/'Ratio_M+Cl'!Q117,IF(OR(W124="N/A",W156="N/A"),"N/A",""))</f>
        <v/>
      </c>
      <c r="X61" s="183">
        <f>IF(AND(ISNUMBER(X92),X92&gt;0.8*'Ratio_M+Cl'!R85,X92&lt;1.2*'Ratio_M+Cl'!R85),X124/'Ratio_M+Cl'!R117,IF(OR(X124="N/A",X156="N/A"),"N/A",""))</f>
        <v>110.26562150066826</v>
      </c>
      <c r="Y61" s="183">
        <f>IF(AND(ISNUMBER(Y92),Y92&gt;0.8*'Ratio_M+Cl'!S85,Y92&lt;1.2*'Ratio_M+Cl'!S85),Y124/'Ratio_M+Cl'!S117,IF(OR(Y124="N/A",Y156="N/A"),"N/A",""))</f>
        <v>603.52736103268398</v>
      </c>
      <c r="Z61" s="183">
        <f>IF(AND(ISNUMBER(Z92),Z92&gt;0.8*'Ratio_M+Cl'!T85,Z92&lt;1.2*'Ratio_M+Cl'!T85),Z124/'Ratio_M+Cl'!T117,IF(OR(Z124="N/A",Z156="N/A"),"N/A",""))</f>
        <v>1741.1685995677312</v>
      </c>
      <c r="AA61" s="183">
        <f>IF(AND(ISNUMBER(AA92),AA92&gt;0.8*'Ratio_M+Cl'!U85,AA92&lt;1.2*'Ratio_M+Cl'!U85),AA124/'Ratio_M+Cl'!U117,IF(OR(AA124="N/A",AA156="N/A"),"N/A",""))</f>
        <v>3086.2535409776829</v>
      </c>
      <c r="AB61" s="183">
        <f>IF(AND(ISNUMBER(AB92),AB92&gt;0.8*'Ratio_M+Cl'!V85,AB92&lt;1.2*'Ratio_M+Cl'!V85),AB124/'Ratio_M+Cl'!V117,IF(OR(AB124="N/A",AB156="N/A"),"N/A",""))</f>
        <v>3502.5582418655581</v>
      </c>
      <c r="AC61" s="183">
        <f>IF(AND(ISNUMBER(AC92),AC92&gt;0.8*'Ratio_M+Cl'!W85,AC92&lt;1.2*'Ratio_M+Cl'!W85),AC124/'Ratio_M+Cl'!W117,IF(OR(AC124="N/A",AC156="N/A"),"N/A",""))</f>
        <v>2530.5284051437702</v>
      </c>
      <c r="AD61" s="183">
        <f>IF(AND(ISNUMBER(AD92),AD92&gt;0.8*'Ratio_M+Cl'!X85,AD92&lt;1.2*'Ratio_M+Cl'!X85),AD124/'Ratio_M+Cl'!X117,IF(OR(AD124="N/A",AD156="N/A"),"N/A",""))</f>
        <v>1151.1777876207263</v>
      </c>
      <c r="AE61" s="185">
        <f>IF(AND(ISNUMBER(AE92),AE92&gt;0.8*'Ratio_M+Cl'!Y85,AE92&lt;1.2*'Ratio_M+Cl'!Y85),AE124/'Ratio_M+Cl'!Y117,IF(OR(AE124="N/A",AE156="N/A"),"N/A",""))</f>
        <v>307.18358432167008</v>
      </c>
      <c r="AF61" s="183">
        <f>IF(AND(ISNUMBER(AF92),AF92&gt;0.8*'Ratio_M+Cl'!Z85,AF92&lt;1.2*'Ratio_M+Cl'!Z85),AF124/'Ratio_M+Cl'!Z117,IF(OR(AF124="N/A",AF156="N/A"),"N/A",""))</f>
        <v>32.913410055151772</v>
      </c>
      <c r="AG61" s="184" t="str">
        <f>IF(AND(ISNUMBER(AG92),AG92&gt;0.8*'Ratio_M+Cl'!AA85,AG92&lt;1.2*'Ratio_M+Cl'!AA85),AG124/'Ratio_M+Cl'!AA117,IF(OR(AG124="N/A",AG156="N/A"),"N/A",""))</f>
        <v/>
      </c>
      <c r="AH61" s="183" t="str">
        <f>IF(AND(ISNUMBER(AH92),AH92&gt;0.8*'Ratio_M+Cl'!AB85,AH92&lt;1.2*'Ratio_M+Cl'!AB85),AH124/'Ratio_M+Cl'!AB117,IF(OR(AH124="N/A",AH156="N/A"),"N/A",""))</f>
        <v/>
      </c>
      <c r="AI61" s="183" t="str">
        <f>IF(AND(ISNUMBER(AI92),AI92&gt;0.8*'Ratio_M+Cl'!AC85,AI92&lt;1.2*'Ratio_M+Cl'!AC85),AI124/'Ratio_M+Cl'!AC117,IF(OR(AI124="N/A",AI156="N/A"),"N/A",""))</f>
        <v/>
      </c>
      <c r="AK61" s="160" t="s">
        <v>330</v>
      </c>
      <c r="AL61" s="177">
        <f t="shared" si="2"/>
        <v>0.39508795495443166</v>
      </c>
      <c r="AM61" s="177">
        <f t="shared" si="2"/>
        <v>1.6620077911499629</v>
      </c>
      <c r="AN61" s="177">
        <f t="shared" si="2"/>
        <v>5.1148187739586977</v>
      </c>
      <c r="AO61" s="177">
        <f t="shared" si="2"/>
        <v>7.4053543552787824</v>
      </c>
      <c r="AP61" s="177">
        <f t="shared" si="2"/>
        <v>6.2267718214323144</v>
      </c>
      <c r="AQ61" s="177">
        <f t="shared" si="2"/>
        <v>3.3170061487528497</v>
      </c>
      <c r="AR61" s="177">
        <f t="shared" si="2"/>
        <v>1.1667209783782808</v>
      </c>
      <c r="AS61" s="177">
        <f t="shared" si="2"/>
        <v>0.24717539435437186</v>
      </c>
      <c r="AT61" s="177" t="str">
        <f t="shared" si="2"/>
        <v/>
      </c>
      <c r="AU61" s="177" t="str">
        <f t="shared" si="2"/>
        <v/>
      </c>
      <c r="AV61" s="177" t="str">
        <f t="shared" si="2"/>
        <v/>
      </c>
      <c r="AW61" s="177" t="str">
        <f t="shared" si="2"/>
        <v/>
      </c>
      <c r="AX61" s="177" t="str">
        <f t="shared" si="2"/>
        <v/>
      </c>
      <c r="AY61" s="177" t="str">
        <f t="shared" si="2"/>
        <v/>
      </c>
      <c r="AZ61" s="177" t="str">
        <f t="shared" si="2"/>
        <v/>
      </c>
      <c r="BA61" s="177">
        <f t="shared" si="2"/>
        <v>0.27237459023276234</v>
      </c>
      <c r="BB61" s="177">
        <f t="shared" si="3"/>
        <v>1.4908138676254725</v>
      </c>
      <c r="BC61" s="177">
        <f t="shared" si="3"/>
        <v>4.3009786493656978</v>
      </c>
      <c r="BD61" s="177">
        <f t="shared" si="3"/>
        <v>7.6235641910666931</v>
      </c>
      <c r="BE61" s="177">
        <f t="shared" si="3"/>
        <v>8.6519066678342185</v>
      </c>
      <c r="BF61" s="177">
        <f t="shared" si="3"/>
        <v>6.2508298420031378</v>
      </c>
      <c r="BG61" s="177">
        <f t="shared" si="3"/>
        <v>2.8436023297284274</v>
      </c>
      <c r="BH61" s="177">
        <f t="shared" si="3"/>
        <v>0.75879500579733272</v>
      </c>
      <c r="BI61" s="177">
        <f t="shared" si="3"/>
        <v>8.1301646469026725E-2</v>
      </c>
      <c r="BJ61" s="177" t="str">
        <f t="shared" si="3"/>
        <v/>
      </c>
      <c r="BK61" s="177" t="str">
        <f t="shared" si="3"/>
        <v/>
      </c>
      <c r="BL61" s="177" t="str">
        <f t="shared" si="3"/>
        <v/>
      </c>
    </row>
    <row r="62" spans="1:64" ht="15.75" x14ac:dyDescent="0.3">
      <c r="A62" s="150">
        <v>57</v>
      </c>
      <c r="B62" s="10" t="s">
        <v>53</v>
      </c>
      <c r="C62">
        <v>620059213.56310999</v>
      </c>
      <c r="E62" s="10" t="s">
        <v>1570</v>
      </c>
      <c r="F62" s="151">
        <f>IF(ISNUMBER(T48),T48/SUM($I$43:$AI$71),0)</f>
        <v>3.1841531808081582E-4</v>
      </c>
      <c r="H62" s="160" t="s">
        <v>331</v>
      </c>
      <c r="I62" s="183">
        <f>IF(AND(ISNUMBER(I93),I93&gt;0.8*'Ratio_M+Cl'!C86,I93&lt;1.2*'Ratio_M+Cl'!C86),I125/'Ratio_M+Cl'!C118,IF(OR(I125="N/A",I157="N/A"),"N/A",""))</f>
        <v>109.31724823326682</v>
      </c>
      <c r="J62" s="183">
        <f>IF(AND(ISNUMBER(J93),J93&gt;0.8*'Ratio_M+Cl'!D86,J93&lt;1.2*'Ratio_M+Cl'!D86),J125/'Ratio_M+Cl'!D118,IF(OR(J125="N/A",J157="N/A"),"N/A",""))</f>
        <v>607.12813618607868</v>
      </c>
      <c r="K62" s="180">
        <f>IF(AND(ISNUMBER(K93),K93&gt;0.8*'Ratio_M+Cl'!E86,K93&lt;1.2*'Ratio_M+Cl'!E86),K125/'Ratio_M+Cl'!E118,IF(OR(K125="N/A",K157="N/A"),"N/A",""))</f>
        <v>1686.4576153105047</v>
      </c>
      <c r="L62" s="180">
        <f>IF(AND(ISNUMBER(L93),L93&gt;0.8*'Ratio_M+Cl'!F86,L93&lt;1.2*'Ratio_M+Cl'!F86),L125/'Ratio_M+Cl'!F118,IF(OR(L125="N/A",L157="N/A"),"N/A",""))</f>
        <v>2531.7158767541682</v>
      </c>
      <c r="M62" s="180">
        <f>IF(AND(ISNUMBER(M93),M93&gt;0.8*'Ratio_M+Cl'!G86,M93&lt;1.2*'Ratio_M+Cl'!G86),M125/'Ratio_M+Cl'!G118,IF(OR(M125="N/A",M157="N/A"),"N/A",""))</f>
        <v>2242.6368520801498</v>
      </c>
      <c r="N62" s="186">
        <f>IF(AND(ISNUMBER(N93),N93&gt;0.8*'Ratio_M+Cl'!H86,N93&lt;1.2*'Ratio_M+Cl'!H86),N125/'Ratio_M+Cl'!H118,IF(OR(N125="N/A",N157="N/A"),"N/A",""))</f>
        <v>1315.3095014698865</v>
      </c>
      <c r="O62" s="186">
        <f>IF(AND(ISNUMBER(O93),O93&gt;0.8*'Ratio_M+Cl'!I86,O93&lt;1.2*'Ratio_M+Cl'!I86),O125/'Ratio_M+Cl'!I118,IF(OR(O125="N/A",O157="N/A"),"N/A",""))</f>
        <v>526.05013794492083</v>
      </c>
      <c r="P62" s="186">
        <f>IF(AND(ISNUMBER(P93),P93&gt;0.8*'Ratio_M+Cl'!J86,P93&lt;1.2*'Ratio_M+Cl'!J86),P125/'Ratio_M+Cl'!J118,IF(OR(P125="N/A",P157="N/A"),"N/A",""))</f>
        <v>137.08484736349038</v>
      </c>
      <c r="Q62" s="186">
        <f>IF(AND(ISNUMBER(Q93),Q93&gt;0.8*'Ratio_M+Cl'!K86,Q93&lt;1.2*'Ratio_M+Cl'!K86),Q125/'Ratio_M+Cl'!K118,IF(OR(Q125="N/A",Q157="N/A"),"N/A",""))</f>
        <v>17.948600458191351</v>
      </c>
      <c r="R62" s="186" t="str">
        <f>IF(AND(ISNUMBER(R93),R93&gt;0.8*'Ratio_M+Cl'!L86,R93&lt;1.2*'Ratio_M+Cl'!L86),R125/'Ratio_M+Cl'!L118,IF(OR(R125="N/A",R157="N/A"),"N/A",""))</f>
        <v/>
      </c>
      <c r="S62" s="186" t="str">
        <f>IF(AND(ISNUMBER(S93),S93&gt;0.8*'Ratio_M+Cl'!M86,S93&lt;1.2*'Ratio_M+Cl'!M86),S125/'Ratio_M+Cl'!M118,IF(OR(S125="N/A",S157="N/A"),"N/A",""))</f>
        <v/>
      </c>
      <c r="T62" s="186" t="str">
        <f>IF(AND(ISNUMBER(T93),T93&gt;0.8*'Ratio_M+Cl'!N86,T93&lt;1.2*'Ratio_M+Cl'!N86),T125/'Ratio_M+Cl'!N118,IF(OR(T125="N/A",T157="N/A"),"N/A",""))</f>
        <v/>
      </c>
      <c r="U62" s="186" t="str">
        <f>IF(AND(ISNUMBER(U93),U93&gt;0.8*'Ratio_M+Cl'!O86,U93&lt;1.2*'Ratio_M+Cl'!O86),U125/'Ratio_M+Cl'!O118,IF(OR(U125="N/A",U157="N/A"),"N/A",""))</f>
        <v/>
      </c>
      <c r="V62" s="186" t="str">
        <f>IF(AND(ISNUMBER(V93),V93&gt;0.8*'Ratio_M+Cl'!P86,V93&lt;1.2*'Ratio_M+Cl'!P86),V125/'Ratio_M+Cl'!P118,IF(OR(V125="N/A",V157="N/A"),"N/A",""))</f>
        <v/>
      </c>
      <c r="W62" s="186" t="str">
        <f>IF(AND(ISNUMBER(W93),W93&gt;0.8*'Ratio_M+Cl'!Q86,W93&lt;1.2*'Ratio_M+Cl'!Q86),W125/'Ratio_M+Cl'!Q118,IF(OR(W125="N/A",W157="N/A"),"N/A",""))</f>
        <v/>
      </c>
      <c r="X62" s="183" t="str">
        <f>IF(AND(ISNUMBER(X93),X93&gt;0.8*'Ratio_M+Cl'!R86,X93&lt;1.2*'Ratio_M+Cl'!R86),X125/'Ratio_M+Cl'!R118,IF(OR(X125="N/A",X157="N/A"),"N/A",""))</f>
        <v/>
      </c>
      <c r="Y62" s="183">
        <f>IF(AND(ISNUMBER(Y93),Y93&gt;0.8*'Ratio_M+Cl'!S86,Y93&lt;1.2*'Ratio_M+Cl'!S86),Y125/'Ratio_M+Cl'!S118,IF(OR(Y125="N/A",Y157="N/A"),"N/A",""))</f>
        <v>90.947014229772947</v>
      </c>
      <c r="Z62" s="183">
        <f>IF(AND(ISNUMBER(Z93),Z93&gt;0.8*'Ratio_M+Cl'!T86,Z93&lt;1.2*'Ratio_M+Cl'!T86),Z125/'Ratio_M+Cl'!T118,IF(OR(Z125="N/A",Z157="N/A"),"N/A",""))</f>
        <v>416.14844301802538</v>
      </c>
      <c r="AA62" s="183">
        <f>IF(AND(ISNUMBER(AA93),AA93&gt;0.8*'Ratio_M+Cl'!U86,AA93&lt;1.2*'Ratio_M+Cl'!U86),AA125/'Ratio_M+Cl'!U118,IF(OR(AA125="N/A",AA157="N/A"),"N/A",""))</f>
        <v>1099.0187398573644</v>
      </c>
      <c r="AB62" s="183">
        <f>IF(AND(ISNUMBER(AB93),AB93&gt;0.8*'Ratio_M+Cl'!V86,AB93&lt;1.2*'Ratio_M+Cl'!V86),AB125/'Ratio_M+Cl'!V118,IF(OR(AB125="N/A",AB157="N/A"),"N/A",""))</f>
        <v>1865.9320569341901</v>
      </c>
      <c r="AC62" s="183">
        <f>IF(AND(ISNUMBER(AC93),AC93&gt;0.8*'Ratio_M+Cl'!W86,AC93&lt;1.2*'Ratio_M+Cl'!W86),AC125/'Ratio_M+Cl'!W118,IF(OR(AC125="N/A",AC157="N/A"),"N/A",""))</f>
        <v>1994.4555760321416</v>
      </c>
      <c r="AD62" s="183">
        <f>IF(AND(ISNUMBER(AD93),AD93&gt;0.8*'Ratio_M+Cl'!X86,AD93&lt;1.2*'Ratio_M+Cl'!X86),AD125/'Ratio_M+Cl'!X118,IF(OR(AD125="N/A",AD157="N/A"),"N/A",""))</f>
        <v>1304.1295738694455</v>
      </c>
      <c r="AE62" s="183">
        <f>IF(AND(ISNUMBER(AE93),AE93&gt;0.8*'Ratio_M+Cl'!Y86,AE93&lt;1.2*'Ratio_M+Cl'!Y86),AE125/'Ratio_M+Cl'!Y118,IF(OR(AE125="N/A",AE157="N/A"),"N/A",""))</f>
        <v>538.59087113012629</v>
      </c>
      <c r="AF62" s="185" t="str">
        <f>IF(AND(ISNUMBER(AF93),AF93&gt;0.8*'Ratio_M+Cl'!Z86,AF93&lt;1.2*'Ratio_M+Cl'!Z86),AF125/'Ratio_M+Cl'!Z118,IF(OR(AF125="N/A",AF157="N/A"),"N/A",""))</f>
        <v/>
      </c>
      <c r="AG62" s="183" t="str">
        <f>IF(AND(ISNUMBER(AG93),AG93&gt;0.8*'Ratio_M+Cl'!AA86,AG93&lt;1.2*'Ratio_M+Cl'!AA86),AG125/'Ratio_M+Cl'!AA118,IF(OR(AG125="N/A",AG157="N/A"),"N/A",""))</f>
        <v/>
      </c>
      <c r="AH62" s="184" t="str">
        <f>IF(AND(ISNUMBER(AH93),AH93&gt;0.8*'Ratio_M+Cl'!AB86,AH93&lt;1.2*'Ratio_M+Cl'!AB86),AH125/'Ratio_M+Cl'!AB118,IF(OR(AH125="N/A",AH157="N/A"),"N/A",""))</f>
        <v/>
      </c>
      <c r="AI62" s="183" t="str">
        <f>IF(AND(ISNUMBER(AI93),AI93&gt;0.8*'Ratio_M+Cl'!AC86,AI93&lt;1.2*'Ratio_M+Cl'!AC86),AI125/'Ratio_M+Cl'!AC118,IF(OR(AI125="N/A",AI157="N/A"),"N/A",""))</f>
        <v/>
      </c>
      <c r="AK62" s="160" t="s">
        <v>331</v>
      </c>
      <c r="AL62" s="177">
        <f t="shared" si="2"/>
        <v>0.27003194910327299</v>
      </c>
      <c r="AM62" s="177">
        <f t="shared" si="2"/>
        <v>1.4997083865478571</v>
      </c>
      <c r="AN62" s="177">
        <f t="shared" si="2"/>
        <v>4.1658333364795519</v>
      </c>
      <c r="AO62" s="177">
        <f t="shared" si="2"/>
        <v>6.25376309616607</v>
      </c>
      <c r="AP62" s="177">
        <f t="shared" si="2"/>
        <v>5.5396893910630229</v>
      </c>
      <c r="AQ62" s="177">
        <f t="shared" si="2"/>
        <v>3.2490352080403233</v>
      </c>
      <c r="AR62" s="177">
        <f t="shared" si="2"/>
        <v>1.2994321241255375</v>
      </c>
      <c r="AS62" s="177">
        <f t="shared" si="2"/>
        <v>0.33862257900142678</v>
      </c>
      <c r="AT62" s="177">
        <f t="shared" si="2"/>
        <v>4.4336055322753622E-2</v>
      </c>
      <c r="AU62" s="177" t="str">
        <f t="shared" si="2"/>
        <v/>
      </c>
      <c r="AV62" s="177" t="str">
        <f t="shared" si="2"/>
        <v/>
      </c>
      <c r="AW62" s="177" t="str">
        <f t="shared" si="2"/>
        <v/>
      </c>
      <c r="AX62" s="177" t="str">
        <f t="shared" si="2"/>
        <v/>
      </c>
      <c r="AY62" s="177" t="str">
        <f t="shared" si="2"/>
        <v/>
      </c>
      <c r="AZ62" s="177" t="str">
        <f t="shared" si="2"/>
        <v/>
      </c>
      <c r="BA62" s="177" t="str">
        <f t="shared" si="2"/>
        <v/>
      </c>
      <c r="BB62" s="177">
        <f t="shared" si="3"/>
        <v>0.22465438816374406</v>
      </c>
      <c r="BC62" s="177">
        <f t="shared" si="3"/>
        <v>1.0279564936053054</v>
      </c>
      <c r="BD62" s="177">
        <f t="shared" si="3"/>
        <v>2.7147607282561981</v>
      </c>
      <c r="BE62" s="177">
        <f t="shared" si="3"/>
        <v>4.6091653272597322</v>
      </c>
      <c r="BF62" s="177">
        <f t="shared" si="3"/>
        <v>4.9266399886560315</v>
      </c>
      <c r="BG62" s="177">
        <f t="shared" si="3"/>
        <v>3.2214189106163467</v>
      </c>
      <c r="BH62" s="177">
        <f t="shared" si="3"/>
        <v>1.3304098397185888</v>
      </c>
      <c r="BI62" s="177" t="str">
        <f t="shared" si="3"/>
        <v/>
      </c>
      <c r="BJ62" s="177" t="str">
        <f t="shared" si="3"/>
        <v/>
      </c>
      <c r="BK62" s="177" t="str">
        <f t="shared" si="3"/>
        <v/>
      </c>
      <c r="BL62" s="177" t="str">
        <f t="shared" si="3"/>
        <v/>
      </c>
    </row>
    <row r="63" spans="1:64" ht="15.75" x14ac:dyDescent="0.3">
      <c r="A63" s="150">
        <v>58</v>
      </c>
      <c r="B63" s="10" t="s">
        <v>54</v>
      </c>
      <c r="C63">
        <v>484216214.175156</v>
      </c>
      <c r="E63" s="10" t="s">
        <v>499</v>
      </c>
      <c r="F63" s="151">
        <f>IF(ISNUMBER(I49),I49/SUM($I$43:$AI$71),0)</f>
        <v>2.1189044972147635E-4</v>
      </c>
      <c r="H63" s="160" t="s">
        <v>332</v>
      </c>
      <c r="I63" s="177">
        <f>IF(AND(ISNUMBER(I94),I94&gt;0.8*'Ratio_M+Cl'!C87,I94&lt;1.2*'Ratio_M+Cl'!C87),I126/'Ratio_M+Cl'!C119,IF(OR(I126="N/A",I158="N/A"),"N/A",""))</f>
        <v>73.996384528663739</v>
      </c>
      <c r="J63" s="177">
        <f>IF(AND(ISNUMBER(J94),J94&gt;0.8*'Ratio_M+Cl'!D87,J94&lt;1.2*'Ratio_M+Cl'!D87),J126/'Ratio_M+Cl'!D119,IF(OR(J126="N/A",J158="N/A"),"N/A",""))</f>
        <v>430.96291909103718</v>
      </c>
      <c r="K63" s="177">
        <f>IF(AND(ISNUMBER(K94),K94&gt;0.8*'Ratio_M+Cl'!E87,K94&lt;1.2*'Ratio_M+Cl'!E87),K126/'Ratio_M+Cl'!E119,IF(OR(K126="N/A",K158="N/A"),"N/A",""))</f>
        <v>1257.4999267049086</v>
      </c>
      <c r="L63" s="177">
        <f>IF(AND(ISNUMBER(L94),L94&gt;0.8*'Ratio_M+Cl'!F87,L94&lt;1.2*'Ratio_M+Cl'!F87),L126/'Ratio_M+Cl'!F119,IF(OR(L126="N/A",L158="N/A"),"N/A",""))</f>
        <v>1969.7419373346236</v>
      </c>
      <c r="M63" s="177">
        <f>IF(AND(ISNUMBER(M94),M94&gt;0.8*'Ratio_M+Cl'!G87,M94&lt;1.2*'Ratio_M+Cl'!G87),M126/'Ratio_M+Cl'!G119,IF(OR(M126="N/A",M158="N/A"),"N/A",""))</f>
        <v>1890.8212845942703</v>
      </c>
      <c r="N63" s="177">
        <f>IF(AND(ISNUMBER(N94),N94&gt;0.8*'Ratio_M+Cl'!H87,N94&lt;1.2*'Ratio_M+Cl'!H87),N126/'Ratio_M+Cl'!H119,IF(OR(N126="N/A",N158="N/A"),"N/A",""))</f>
        <v>1189.6513373564751</v>
      </c>
      <c r="O63" s="177">
        <f>IF(AND(ISNUMBER(O94),O94&gt;0.8*'Ratio_M+Cl'!I87,O94&lt;1.2*'Ratio_M+Cl'!I87),O126/'Ratio_M+Cl'!I119,IF(OR(O126="N/A",O158="N/A"),"N/A",""))</f>
        <v>507.70482800544193</v>
      </c>
      <c r="P63" s="177">
        <f>IF(AND(ISNUMBER(P94),P94&gt;0.8*'Ratio_M+Cl'!J87,P94&lt;1.2*'Ratio_M+Cl'!J87),P126/'Ratio_M+Cl'!J119,IF(OR(P126="N/A",P158="N/A"),"N/A",""))</f>
        <v>159.45981255019404</v>
      </c>
      <c r="Q63" s="177">
        <f>IF(AND(ISNUMBER(Q94),Q94&gt;0.8*'Ratio_M+Cl'!K87,Q94&lt;1.2*'Ratio_M+Cl'!K87),Q126/'Ratio_M+Cl'!K119,IF(OR(Q126="N/A",Q158="N/A"),"N/A",""))</f>
        <v>23.36828056541632</v>
      </c>
      <c r="R63" s="186" t="str">
        <f>IF(AND(ISNUMBER(R94),R94&gt;0.8*'Ratio_M+Cl'!L87,R94&lt;1.2*'Ratio_M+Cl'!L87),R126/'Ratio_M+Cl'!L119,IF(OR(R126="N/A",R158="N/A"),"N/A",""))</f>
        <v/>
      </c>
      <c r="S63" s="186" t="str">
        <f>IF(AND(ISNUMBER(S94),S94&gt;0.8*'Ratio_M+Cl'!M87,S94&lt;1.2*'Ratio_M+Cl'!M87),S126/'Ratio_M+Cl'!M119,IF(OR(S126="N/A",S158="N/A"),"N/A",""))</f>
        <v/>
      </c>
      <c r="T63" s="186" t="str">
        <f>IF(AND(ISNUMBER(T94),T94&gt;0.8*'Ratio_M+Cl'!N87,T94&lt;1.2*'Ratio_M+Cl'!N87),T126/'Ratio_M+Cl'!N119,IF(OR(T126="N/A",T158="N/A"),"N/A",""))</f>
        <v/>
      </c>
      <c r="U63" s="186" t="str">
        <f>IF(AND(ISNUMBER(U94),U94&gt;0.8*'Ratio_M+Cl'!O87,U94&lt;1.2*'Ratio_M+Cl'!O87),U126/'Ratio_M+Cl'!O119,IF(OR(U126="N/A",U158="N/A"),"N/A",""))</f>
        <v/>
      </c>
      <c r="V63" s="186" t="str">
        <f>IF(AND(ISNUMBER(V94),V94&gt;0.8*'Ratio_M+Cl'!P87,V94&lt;1.2*'Ratio_M+Cl'!P87),V126/'Ratio_M+Cl'!P119,IF(OR(V126="N/A",V158="N/A"),"N/A",""))</f>
        <v/>
      </c>
      <c r="W63" s="186" t="str">
        <f>IF(AND(ISNUMBER(W94),W94&gt;0.8*'Ratio_M+Cl'!Q87,W94&lt;1.2*'Ratio_M+Cl'!Q87),W126/'Ratio_M+Cl'!Q119,IF(OR(W126="N/A",W158="N/A"),"N/A",""))</f>
        <v/>
      </c>
      <c r="X63" s="183" t="str">
        <f>IF(AND(ISNUMBER(X94),X94&gt;0.8*'Ratio_M+Cl'!R87,X94&lt;1.2*'Ratio_M+Cl'!R87),X126/'Ratio_M+Cl'!R119,IF(OR(X126="N/A",X158="N/A"),"N/A",""))</f>
        <v/>
      </c>
      <c r="Y63" s="183">
        <f>IF(AND(ISNUMBER(Y94),Y94&gt;0.8*'Ratio_M+Cl'!S87,Y94&lt;1.2*'Ratio_M+Cl'!S87),Y126/'Ratio_M+Cl'!S119,IF(OR(Y126="N/A",Y158="N/A"),"N/A",""))</f>
        <v>8.6649258125455066</v>
      </c>
      <c r="Z63" s="183">
        <f>IF(AND(ISNUMBER(Z94),Z94&gt;0.8*'Ratio_M+Cl'!T87,Z94&lt;1.2*'Ratio_M+Cl'!T87),Z126/'Ratio_M+Cl'!T119,IF(OR(Z126="N/A",Z158="N/A"),"N/A",""))</f>
        <v>146.806064263824</v>
      </c>
      <c r="AA63" s="183">
        <f>IF(AND(ISNUMBER(AA94),AA94&gt;0.8*'Ratio_M+Cl'!U87,AA94&lt;1.2*'Ratio_M+Cl'!U87),AA126/'Ratio_M+Cl'!U119,IF(OR(AA126="N/A",AA158="N/A"),"N/A",""))</f>
        <v>617.64295342180492</v>
      </c>
      <c r="AB63" s="183">
        <f>IF(AND(ISNUMBER(AB94),AB94&gt;0.8*'Ratio_M+Cl'!V87,AB94&lt;1.2*'Ratio_M+Cl'!V87),AB126/'Ratio_M+Cl'!V119,IF(OR(AB126="N/A",AB158="N/A"),"N/A",""))</f>
        <v>1577.2785975944198</v>
      </c>
      <c r="AC63" s="183">
        <f>IF(AND(ISNUMBER(AC94),AC94&gt;0.8*'Ratio_M+Cl'!W87,AC94&lt;1.2*'Ratio_M+Cl'!W87),AC126/'Ratio_M+Cl'!W119,IF(OR(AC126="N/A",AC158="N/A"),"N/A",""))</f>
        <v>2498.8043157417364</v>
      </c>
      <c r="AD63" s="183">
        <f>IF(AND(ISNUMBER(AD94),AD94&gt;0.8*'Ratio_M+Cl'!X87,AD94&lt;1.2*'Ratio_M+Cl'!X87),AD126/'Ratio_M+Cl'!X119,IF(OR(AD126="N/A",AD158="N/A"),"N/A",""))</f>
        <v>2540.4094228706413</v>
      </c>
      <c r="AE63" s="183">
        <f>IF(AND(ISNUMBER(AE94),AE94&gt;0.8*'Ratio_M+Cl'!Y87,AE94&lt;1.2*'Ratio_M+Cl'!Y87),AE126/'Ratio_M+Cl'!Y119,IF(OR(AE126="N/A",AE158="N/A"),"N/A",""))</f>
        <v>1630.2101647036143</v>
      </c>
      <c r="AF63" s="183">
        <f>IF(AND(ISNUMBER(AF94),AF94&gt;0.8*'Ratio_M+Cl'!Z87,AF94&lt;1.2*'Ratio_M+Cl'!Z87),AF126/'Ratio_M+Cl'!Z119,IF(OR(AF126="N/A",AF158="N/A"),"N/A",""))</f>
        <v>674.72442505956212</v>
      </c>
      <c r="AG63" s="185">
        <f>IF(AND(ISNUMBER(AG94),AG94&gt;0.8*'Ratio_M+Cl'!AA87,AG94&lt;1.2*'Ratio_M+Cl'!AA87),AG126/'Ratio_M+Cl'!AA119,IF(OR(AG126="N/A",AG158="N/A"),"N/A",""))</f>
        <v>156.38770937149786</v>
      </c>
      <c r="AH63" s="183">
        <f>IF(AND(ISNUMBER(AH94),AH94&gt;0.8*'Ratio_M+Cl'!AB87,AH94&lt;1.2*'Ratio_M+Cl'!AB87),AH126/'Ratio_M+Cl'!AB119,IF(OR(AH126="N/A",AH158="N/A"),"N/A",""))</f>
        <v>13.479219589919657</v>
      </c>
      <c r="AI63" s="184" t="str">
        <f>IF(AND(ISNUMBER(AI94),AI94&gt;0.8*'Ratio_M+Cl'!AC87,AI94&lt;1.2*'Ratio_M+Cl'!AC87),AI126/'Ratio_M+Cl'!AC119,IF(OR(AI126="N/A",AI158="N/A"),"N/A",""))</f>
        <v/>
      </c>
      <c r="AK63" s="160" t="s">
        <v>332</v>
      </c>
      <c r="AL63" s="177">
        <f t="shared" si="2"/>
        <v>0.18278348809359907</v>
      </c>
      <c r="AM63" s="177">
        <f t="shared" si="2"/>
        <v>1.0645507357179766</v>
      </c>
      <c r="AN63" s="177">
        <f t="shared" si="2"/>
        <v>3.1062358565847505</v>
      </c>
      <c r="AO63" s="177">
        <f t="shared" si="2"/>
        <v>4.8655931535519796</v>
      </c>
      <c r="AP63" s="177">
        <f t="shared" si="2"/>
        <v>4.6706458965692077</v>
      </c>
      <c r="AQ63" s="177">
        <f t="shared" si="2"/>
        <v>2.9386384543287938</v>
      </c>
      <c r="AR63" s="177">
        <f t="shared" si="2"/>
        <v>1.254116129806961</v>
      </c>
      <c r="AS63" s="177">
        <f t="shared" si="2"/>
        <v>0.39389249805016491</v>
      </c>
      <c r="AT63" s="177">
        <f t="shared" si="2"/>
        <v>5.7723574735493777E-2</v>
      </c>
      <c r="AU63" s="177" t="str">
        <f t="shared" si="2"/>
        <v/>
      </c>
      <c r="AV63" s="177" t="str">
        <f t="shared" si="2"/>
        <v/>
      </c>
      <c r="AW63" s="177" t="str">
        <f t="shared" si="2"/>
        <v/>
      </c>
      <c r="AX63" s="177" t="str">
        <f t="shared" si="2"/>
        <v/>
      </c>
      <c r="AY63" s="177" t="str">
        <f t="shared" si="2"/>
        <v/>
      </c>
      <c r="AZ63" s="177" t="str">
        <f t="shared" si="2"/>
        <v/>
      </c>
      <c r="BA63" s="177" t="str">
        <f t="shared" si="2"/>
        <v/>
      </c>
      <c r="BB63" s="177">
        <f t="shared" si="3"/>
        <v>2.1403820932302677E-2</v>
      </c>
      <c r="BC63" s="177">
        <f t="shared" si="3"/>
        <v>0.36263561619068457</v>
      </c>
      <c r="BD63" s="177">
        <f t="shared" si="3"/>
        <v>1.5256817497500585</v>
      </c>
      <c r="BE63" s="177">
        <f t="shared" si="3"/>
        <v>3.8961428399520011</v>
      </c>
      <c r="BF63" s="177">
        <f t="shared" si="3"/>
        <v>6.1724660171428747</v>
      </c>
      <c r="BG63" s="177">
        <f t="shared" si="3"/>
        <v>6.2752376140522239</v>
      </c>
      <c r="BH63" s="177">
        <f t="shared" si="3"/>
        <v>4.026892693855082</v>
      </c>
      <c r="BI63" s="177">
        <f t="shared" si="3"/>
        <v>1.6666825642888214</v>
      </c>
      <c r="BJ63" s="177">
        <f t="shared" si="3"/>
        <v>0.38630388762869217</v>
      </c>
      <c r="BK63" s="177">
        <f t="shared" si="3"/>
        <v>3.3295934512458526E-2</v>
      </c>
      <c r="BL63" s="177" t="str">
        <f t="shared" si="3"/>
        <v/>
      </c>
    </row>
    <row r="64" spans="1:64" ht="15.75" x14ac:dyDescent="0.3">
      <c r="A64" s="150">
        <v>59</v>
      </c>
      <c r="B64" s="10" t="s">
        <v>55</v>
      </c>
      <c r="C64">
        <v>588226362.31147802</v>
      </c>
      <c r="E64" s="10" t="s">
        <v>375</v>
      </c>
      <c r="F64" s="151">
        <f>IF(ISNUMBER(J49),J49/SUM($I$43:$AI$71),0)</f>
        <v>4.6390466528529947E-3</v>
      </c>
      <c r="H64" s="160" t="s">
        <v>333</v>
      </c>
      <c r="I64" s="177" t="str">
        <f>IF(AND(ISNUMBER(I95),I95&gt;0.8*'Ratio_M+Cl'!C88,I95&lt;1.2*'Ratio_M+Cl'!C88),I127/'Ratio_M+Cl'!C120,IF(OR(I127="N/A",I159="N/A"),"N/A",""))</f>
        <v/>
      </c>
      <c r="J64" s="177">
        <f>IF(AND(ISNUMBER(J95),J95&gt;0.8*'Ratio_M+Cl'!D88,J95&lt;1.2*'Ratio_M+Cl'!D88),J127/'Ratio_M+Cl'!D120,IF(OR(J127="N/A",J159="N/A"),"N/A",""))</f>
        <v>312.41971891059063</v>
      </c>
      <c r="K64" s="177">
        <f>IF(AND(ISNUMBER(K95),K95&gt;0.8*'Ratio_M+Cl'!E88,K95&lt;1.2*'Ratio_M+Cl'!E88),K127/'Ratio_M+Cl'!E120,IF(OR(K127="N/A",K159="N/A"),"N/A",""))</f>
        <v>921.19784610278452</v>
      </c>
      <c r="L64" s="177">
        <f>IF(AND(ISNUMBER(L95),L95&gt;0.8*'Ratio_M+Cl'!F88,L95&lt;1.2*'Ratio_M+Cl'!F88),L127/'Ratio_M+Cl'!F120,IF(OR(L127="N/A",L159="N/A"),"N/A",""))</f>
        <v>1497.1659192954478</v>
      </c>
      <c r="M64" s="177">
        <f>IF(AND(ISNUMBER(M95),M95&gt;0.8*'Ratio_M+Cl'!G88,M95&lt;1.2*'Ratio_M+Cl'!G88),M127/'Ratio_M+Cl'!G120,IF(OR(M127="N/A",M159="N/A"),"N/A",""))</f>
        <v>1526.9660978563497</v>
      </c>
      <c r="N64" s="177">
        <f>IF(AND(ISNUMBER(N95),N95&gt;0.8*'Ratio_M+Cl'!H88,N95&lt;1.2*'Ratio_M+Cl'!H88),N127/'Ratio_M+Cl'!H120,IF(OR(N127="N/A",N159="N/A"),"N/A",""))</f>
        <v>1049.5752588287273</v>
      </c>
      <c r="O64" s="177">
        <f>IF(AND(ISNUMBER(O95),O95&gt;0.8*'Ratio_M+Cl'!I88,O95&lt;1.2*'Ratio_M+Cl'!I88),O127/'Ratio_M+Cl'!I120,IF(OR(O127="N/A",O159="N/A"),"N/A",""))</f>
        <v>503.31308997298032</v>
      </c>
      <c r="P64" s="177">
        <f>IF(AND(ISNUMBER(P95),P95&gt;0.8*'Ratio_M+Cl'!J88,P95&lt;1.2*'Ratio_M+Cl'!J88),P127/'Ratio_M+Cl'!J120,IF(OR(P127="N/A",P159="N/A"),"N/A",""))</f>
        <v>169.43463190092024</v>
      </c>
      <c r="Q64" s="177" t="str">
        <f>IF(AND(ISNUMBER(Q95),Q95&gt;0.8*'Ratio_M+Cl'!K88,Q95&lt;1.2*'Ratio_M+Cl'!K88),Q127/'Ratio_M+Cl'!K120,IF(OR(Q127="N/A",Q159="N/A"),"N/A",""))</f>
        <v/>
      </c>
      <c r="R64" s="186" t="str">
        <f>IF(AND(ISNUMBER(R95),R95&gt;0.8*'Ratio_M+Cl'!L88,R95&lt;1.2*'Ratio_M+Cl'!L88),R127/'Ratio_M+Cl'!L120,IF(OR(R127="N/A",R159="N/A"),"N/A",""))</f>
        <v/>
      </c>
      <c r="S64" s="186" t="str">
        <f>IF(AND(ISNUMBER(S95),S95&gt;0.8*'Ratio_M+Cl'!M88,S95&lt;1.2*'Ratio_M+Cl'!M88),S127/'Ratio_M+Cl'!M120,IF(OR(S127="N/A",S159="N/A"),"N/A",""))</f>
        <v/>
      </c>
      <c r="T64" s="186" t="str">
        <f>IF(AND(ISNUMBER(T95),T95&gt;0.8*'Ratio_M+Cl'!N88,T95&lt;1.2*'Ratio_M+Cl'!N88),T127/'Ratio_M+Cl'!N120,IF(OR(T127="N/A",T159="N/A"),"N/A",""))</f>
        <v/>
      </c>
      <c r="U64" s="186" t="str">
        <f>IF(AND(ISNUMBER(U95),U95&gt;0.8*'Ratio_M+Cl'!O88,U95&lt;1.2*'Ratio_M+Cl'!O88),U127/'Ratio_M+Cl'!O120,IF(OR(U127="N/A",U159="N/A"),"N/A",""))</f>
        <v/>
      </c>
      <c r="V64" s="186" t="str">
        <f>IF(AND(ISNUMBER(V95),V95&gt;0.8*'Ratio_M+Cl'!P88,V95&lt;1.2*'Ratio_M+Cl'!P88),V127/'Ratio_M+Cl'!P120,IF(OR(V127="N/A",V159="N/A"),"N/A",""))</f>
        <v/>
      </c>
      <c r="W64" s="186" t="str">
        <f>IF(AND(ISNUMBER(W95),W95&gt;0.8*'Ratio_M+Cl'!Q88,W95&lt;1.2*'Ratio_M+Cl'!Q88),W127/'Ratio_M+Cl'!Q120,IF(OR(W127="N/A",W159="N/A"),"N/A",""))</f>
        <v/>
      </c>
      <c r="X64" s="183" t="str">
        <f>IF(AND(ISNUMBER(X95),X95&gt;0.8*'Ratio_M+Cl'!R88,X95&lt;1.2*'Ratio_M+Cl'!R88),X127/'Ratio_M+Cl'!R120,IF(OR(X127="N/A",X159="N/A"),"N/A",""))</f>
        <v/>
      </c>
      <c r="Y64" s="183" t="str">
        <f>IF(AND(ISNUMBER(Y95),Y95&gt;0.8*'Ratio_M+Cl'!S88,Y95&lt;1.2*'Ratio_M+Cl'!S88),Y127/'Ratio_M+Cl'!S120,IF(OR(Y127="N/A",Y159="N/A"),"N/A",""))</f>
        <v/>
      </c>
      <c r="Z64" s="183" t="str">
        <f>IF(AND(ISNUMBER(Z95),Z95&gt;0.8*'Ratio_M+Cl'!T88,Z95&lt;1.2*'Ratio_M+Cl'!T88),Z127/'Ratio_M+Cl'!T120,IF(OR(Z127="N/A",Z159="N/A"),"N/A",""))</f>
        <v/>
      </c>
      <c r="AA64" s="183">
        <f>IF(AND(ISNUMBER(AA95),AA95&gt;0.8*'Ratio_M+Cl'!U88,AA95&lt;1.2*'Ratio_M+Cl'!U88),AA127/'Ratio_M+Cl'!U120,IF(OR(AA127="N/A",AA159="N/A"),"N/A",""))</f>
        <v>112.74673003871654</v>
      </c>
      <c r="AB64" s="183">
        <f>IF(AND(ISNUMBER(AB95),AB95&gt;0.8*'Ratio_M+Cl'!V88,AB95&lt;1.2*'Ratio_M+Cl'!V88),AB127/'Ratio_M+Cl'!V120,IF(OR(AB127="N/A",AB159="N/A"),"N/A",""))</f>
        <v>437.27453083911593</v>
      </c>
      <c r="AC64" s="183">
        <f>IF(AND(ISNUMBER(AC95),AC95&gt;0.8*'Ratio_M+Cl'!W88,AC95&lt;1.2*'Ratio_M+Cl'!W88),AC127/'Ratio_M+Cl'!W120,IF(OR(AC127="N/A",AC159="N/A"),"N/A",""))</f>
        <v>1015.283047255193</v>
      </c>
      <c r="AD64" s="183">
        <f>IF(AND(ISNUMBER(AD95),AD95&gt;0.8*'Ratio_M+Cl'!X88,AD95&lt;1.2*'Ratio_M+Cl'!X88),AD127/'Ratio_M+Cl'!X120,IF(OR(AD127="N/A",AD159="N/A"),"N/A",""))</f>
        <v>1428.8835395370811</v>
      </c>
      <c r="AE64" s="183">
        <f>IF(AND(ISNUMBER(AE95),AE95&gt;0.8*'Ratio_M+Cl'!Y88,AE95&lt;1.2*'Ratio_M+Cl'!Y88),AE127/'Ratio_M+Cl'!Y120,IF(OR(AE127="N/A",AE159="N/A"),"N/A",""))</f>
        <v>1315.3135968167221</v>
      </c>
      <c r="AF64" s="183">
        <f>IF(AND(ISNUMBER(AF95),AF95&gt;0.8*'Ratio_M+Cl'!Z88,AF95&lt;1.2*'Ratio_M+Cl'!Z88),AF127/'Ratio_M+Cl'!Z120,IF(OR(AF127="N/A",AF159="N/A"),"N/A",""))</f>
        <v>799.56550196395312</v>
      </c>
      <c r="AG64" s="183">
        <f>IF(AND(ISNUMBER(AG95),AG95&gt;0.8*'Ratio_M+Cl'!AA88,AG95&lt;1.2*'Ratio_M+Cl'!AA88),AG127/'Ratio_M+Cl'!AA120,IF(OR(AG127="N/A",AG159="N/A"),"N/A",""))</f>
        <v>299.28745448736299</v>
      </c>
      <c r="AH64" s="185">
        <f>IF(AND(ISNUMBER(AH95),AH95&gt;0.8*'Ratio_M+Cl'!AB88,AH95&lt;1.2*'Ratio_M+Cl'!AB88),AH127/'Ratio_M+Cl'!AB120,IF(OR(AH127="N/A",AH159="N/A"),"N/A",""))</f>
        <v>57.086013297157322</v>
      </c>
      <c r="AI64" s="187" t="str">
        <f>IF(AND(ISNUMBER(AI95),AI95&gt;0.8*'Ratio_M+Cl'!AC88,AI95&lt;1.2*'Ratio_M+Cl'!AC88),AI127/'Ratio_M+Cl'!AC120,IF(OR(AI127="N/A",AI159="N/A"),"N/A",""))</f>
        <v/>
      </c>
      <c r="AK64" s="160" t="s">
        <v>333</v>
      </c>
      <c r="AL64" s="177" t="str">
        <f t="shared" si="2"/>
        <v/>
      </c>
      <c r="AM64" s="177">
        <f t="shared" si="2"/>
        <v>0.77172913697667045</v>
      </c>
      <c r="AN64" s="177">
        <f t="shared" si="2"/>
        <v>2.2755132782163527</v>
      </c>
      <c r="AO64" s="177">
        <f t="shared" si="2"/>
        <v>3.6982510797899337</v>
      </c>
      <c r="AP64" s="177">
        <f t="shared" si="2"/>
        <v>3.7718625219957858</v>
      </c>
      <c r="AQ64" s="177">
        <f t="shared" si="2"/>
        <v>2.5926270323537559</v>
      </c>
      <c r="AR64" s="177">
        <f t="shared" si="2"/>
        <v>1.2432677998313837</v>
      </c>
      <c r="AS64" s="177">
        <f t="shared" si="2"/>
        <v>0.41853197585225949</v>
      </c>
      <c r="AT64" s="177" t="str">
        <f t="shared" si="2"/>
        <v/>
      </c>
      <c r="AU64" s="177" t="str">
        <f t="shared" si="2"/>
        <v/>
      </c>
      <c r="AV64" s="177" t="str">
        <f t="shared" si="2"/>
        <v/>
      </c>
      <c r="AW64" s="177" t="str">
        <f t="shared" si="2"/>
        <v/>
      </c>
      <c r="AX64" s="177" t="str">
        <f t="shared" si="2"/>
        <v/>
      </c>
      <c r="AY64" s="177" t="str">
        <f t="shared" si="2"/>
        <v/>
      </c>
      <c r="AZ64" s="177" t="str">
        <f t="shared" si="2"/>
        <v/>
      </c>
      <c r="BA64" s="177" t="str">
        <f t="shared" si="2"/>
        <v/>
      </c>
      <c r="BB64" s="177" t="str">
        <f t="shared" si="3"/>
        <v/>
      </c>
      <c r="BC64" s="177" t="str">
        <f t="shared" si="3"/>
        <v/>
      </c>
      <c r="BD64" s="177">
        <f t="shared" si="3"/>
        <v>0.27850334470924087</v>
      </c>
      <c r="BE64" s="177">
        <f t="shared" si="3"/>
        <v>1.0801414759704209</v>
      </c>
      <c r="BF64" s="177">
        <f t="shared" si="3"/>
        <v>2.5079195147394833</v>
      </c>
      <c r="BG64" s="177">
        <f t="shared" si="3"/>
        <v>3.52958214242136</v>
      </c>
      <c r="BH64" s="177">
        <f t="shared" si="3"/>
        <v>3.2490453242343014</v>
      </c>
      <c r="BI64" s="177">
        <f t="shared" si="3"/>
        <v>1.9750609754679049</v>
      </c>
      <c r="BJ64" s="177">
        <f t="shared" si="3"/>
        <v>0.73929023995305698</v>
      </c>
      <c r="BK64" s="177">
        <f t="shared" si="3"/>
        <v>0.14101203319967698</v>
      </c>
      <c r="BL64" s="177" t="str">
        <f t="shared" si="3"/>
        <v/>
      </c>
    </row>
    <row r="65" spans="1:64" ht="15.75" x14ac:dyDescent="0.3">
      <c r="A65" s="150">
        <v>60</v>
      </c>
      <c r="B65" s="10" t="s">
        <v>56</v>
      </c>
      <c r="C65">
        <v>503605872.65916401</v>
      </c>
      <c r="E65" s="10" t="s">
        <v>376</v>
      </c>
      <c r="F65" s="151">
        <f>IF(ISNUMBER(K49),K49/SUM($I$43:$AI$71),0)</f>
        <v>8.0479580388269582E-3</v>
      </c>
      <c r="H65" s="160" t="s">
        <v>334</v>
      </c>
      <c r="I65" s="177" t="str">
        <f>IF(AND(ISNUMBER(I96),I96&gt;0.8*'Ratio_M+Cl'!C89,I96&lt;1.2*'Ratio_M+Cl'!C89),I128/'Ratio_M+Cl'!C121,IF(OR(I128="N/A",I160="N/A"),"N/A",""))</f>
        <v/>
      </c>
      <c r="J65" s="177">
        <f>IF(AND(ISNUMBER(J96),J96&gt;0.8*'Ratio_M+Cl'!D89,J96&lt;1.2*'Ratio_M+Cl'!D89),J128/'Ratio_M+Cl'!D121,IF(OR(J128="N/A",J160="N/A"),"N/A",""))</f>
        <v>207.91605269379221</v>
      </c>
      <c r="K65" s="177">
        <f>IF(AND(ISNUMBER(K96),K96&gt;0.8*'Ratio_M+Cl'!E89,K96&lt;1.2*'Ratio_M+Cl'!E89),K128/'Ratio_M+Cl'!E121,IF(OR(K128="N/A",K160="N/A"),"N/A",""))</f>
        <v>594.61053826802129</v>
      </c>
      <c r="L65" s="177">
        <f>IF(AND(ISNUMBER(L96),L96&gt;0.8*'Ratio_M+Cl'!F89,L96&lt;1.2*'Ratio_M+Cl'!F89),L128/'Ratio_M+Cl'!F121,IF(OR(L128="N/A",L160="N/A"),"N/A",""))</f>
        <v>994.72008802184121</v>
      </c>
      <c r="M65" s="177">
        <f>IF(AND(ISNUMBER(M96),M96&gt;0.8*'Ratio_M+Cl'!G89,M96&lt;1.2*'Ratio_M+Cl'!G89),M128/'Ratio_M+Cl'!G121,IF(OR(M128="N/A",M160="N/A"),"N/A",""))</f>
        <v>1072.8595123995358</v>
      </c>
      <c r="N65" s="177">
        <f>IF(AND(ISNUMBER(N96),N96&gt;0.8*'Ratio_M+Cl'!H89,N96&lt;1.2*'Ratio_M+Cl'!H89),N128/'Ratio_M+Cl'!H121,IF(OR(N128="N/A",N160="N/A"),"N/A",""))</f>
        <v>782.2163570827787</v>
      </c>
      <c r="O65" s="177">
        <f>IF(AND(ISNUMBER(O96),O96&gt;0.8*'Ratio_M+Cl'!I89,O96&lt;1.2*'Ratio_M+Cl'!I89),O128/'Ratio_M+Cl'!I121,IF(OR(O128="N/A",O160="N/A"),"N/A",""))</f>
        <v>399.47673900895575</v>
      </c>
      <c r="P65" s="177">
        <f>IF(AND(ISNUMBER(P96),P96&gt;0.8*'Ratio_M+Cl'!J89,P96&lt;1.2*'Ratio_M+Cl'!J89),P128/'Ratio_M+Cl'!J121,IF(OR(P128="N/A",P160="N/A"),"N/A",""))</f>
        <v>147.6193851191511</v>
      </c>
      <c r="Q65" s="177">
        <f>IF(AND(ISNUMBER(Q96),Q96&gt;0.8*'Ratio_M+Cl'!K89,Q96&lt;1.2*'Ratio_M+Cl'!K89),Q128/'Ratio_M+Cl'!K121,IF(OR(Q128="N/A",Q160="N/A"),"N/A",""))</f>
        <v>34.515269293068243</v>
      </c>
      <c r="R65" s="186" t="str">
        <f>IF(AND(ISNUMBER(R96),R96&gt;0.8*'Ratio_M+Cl'!L89,R96&lt;1.2*'Ratio_M+Cl'!L89),R128/'Ratio_M+Cl'!L121,IF(OR(R128="N/A",R160="N/A"),"N/A",""))</f>
        <v/>
      </c>
      <c r="S65" s="186" t="str">
        <f>IF(AND(ISNUMBER(S96),S96&gt;0.8*'Ratio_M+Cl'!M89,S96&lt;1.2*'Ratio_M+Cl'!M89),S128/'Ratio_M+Cl'!M121,IF(OR(S128="N/A",S160="N/A"),"N/A",""))</f>
        <v/>
      </c>
      <c r="T65" s="186" t="str">
        <f>IF(AND(ISNUMBER(T96),T96&gt;0.8*'Ratio_M+Cl'!N89,T96&lt;1.2*'Ratio_M+Cl'!N89),T128/'Ratio_M+Cl'!N121,IF(OR(T128="N/A",T160="N/A"),"N/A",""))</f>
        <v/>
      </c>
      <c r="U65" s="186" t="str">
        <f>IF(AND(ISNUMBER(U96),U96&gt;0.8*'Ratio_M+Cl'!O89,U96&lt;1.2*'Ratio_M+Cl'!O89),U128/'Ratio_M+Cl'!O121,IF(OR(U128="N/A",U160="N/A"),"N/A",""))</f>
        <v/>
      </c>
      <c r="V65" s="186" t="str">
        <f>IF(AND(ISNUMBER(V96),V96&gt;0.8*'Ratio_M+Cl'!P89,V96&lt;1.2*'Ratio_M+Cl'!P89),V128/'Ratio_M+Cl'!P121,IF(OR(V128="N/A",V160="N/A"),"N/A",""))</f>
        <v/>
      </c>
      <c r="W65" s="186" t="str">
        <f>IF(AND(ISNUMBER(W96),W96&gt;0.8*'Ratio_M+Cl'!Q89,W96&lt;1.2*'Ratio_M+Cl'!Q89),W128/'Ratio_M+Cl'!Q121,IF(OR(W128="N/A",W160="N/A"),"N/A",""))</f>
        <v/>
      </c>
      <c r="X65" s="183" t="str">
        <f>IF(AND(ISNUMBER(X96),X96&gt;0.8*'Ratio_M+Cl'!R89,X96&lt;1.2*'Ratio_M+Cl'!R89),X128/'Ratio_M+Cl'!R121,IF(OR(X128="N/A",X160="N/A"),"N/A",""))</f>
        <v/>
      </c>
      <c r="Y65" s="183" t="str">
        <f>IF(AND(ISNUMBER(Y96),Y96&gt;0.8*'Ratio_M+Cl'!S89,Y96&lt;1.2*'Ratio_M+Cl'!S89),Y128/'Ratio_M+Cl'!S121,IF(OR(Y128="N/A",Y160="N/A"),"N/A",""))</f>
        <v/>
      </c>
      <c r="Z65" s="183" t="str">
        <f>IF(AND(ISNUMBER(Z96),Z96&gt;0.8*'Ratio_M+Cl'!T89,Z96&lt;1.2*'Ratio_M+Cl'!T89),Z128/'Ratio_M+Cl'!T121,IF(OR(Z128="N/A",Z160="N/A"),"N/A",""))</f>
        <v/>
      </c>
      <c r="AA65" s="183" t="str">
        <f>IF(AND(ISNUMBER(AA96),AA96&gt;0.8*'Ratio_M+Cl'!U89,AA96&lt;1.2*'Ratio_M+Cl'!U89),AA128/'Ratio_M+Cl'!U121,IF(OR(AA128="N/A",AA160="N/A"),"N/A",""))</f>
        <v/>
      </c>
      <c r="AB65" s="183">
        <f>IF(AND(ISNUMBER(AB96),AB96&gt;0.8*'Ratio_M+Cl'!V89,AB96&lt;1.2*'Ratio_M+Cl'!V89),AB128/'Ratio_M+Cl'!V121,IF(OR(AB128="N/A",AB160="N/A"),"N/A",""))</f>
        <v>125.71340831558126</v>
      </c>
      <c r="AC65" s="183">
        <f>IF(AND(ISNUMBER(AC96),AC96&gt;0.8*'Ratio_M+Cl'!W89,AC96&lt;1.2*'Ratio_M+Cl'!W89),AC128/'Ratio_M+Cl'!W121,IF(OR(AC128="N/A",AC160="N/A"),"N/A",""))</f>
        <v>461.25001876239833</v>
      </c>
      <c r="AD65" s="183">
        <f>IF(AND(ISNUMBER(AD96),AD96&gt;0.8*'Ratio_M+Cl'!X89,AD96&lt;1.2*'Ratio_M+Cl'!X89),AD128/'Ratio_M+Cl'!X121,IF(OR(AD128="N/A",AD160="N/A"),"N/A",""))</f>
        <v>926.26628475197117</v>
      </c>
      <c r="AE65" s="183">
        <f>IF(AND(ISNUMBER(AE96),AE96&gt;0.8*'Ratio_M+Cl'!Y89,AE96&lt;1.2*'Ratio_M+Cl'!Y89),AE128/'Ratio_M+Cl'!Y121,IF(OR(AE128="N/A",AE160="N/A"),"N/A",""))</f>
        <v>1207.2283987912513</v>
      </c>
      <c r="AF65" s="183">
        <f>IF(AND(ISNUMBER(AF96),AF96&gt;0.8*'Ratio_M+Cl'!Z89,AF96&lt;1.2*'Ratio_M+Cl'!Z89),AF128/'Ratio_M+Cl'!Z121,IF(OR(AF128="N/A",AF160="N/A"),"N/A",""))</f>
        <v>1026.4498114367775</v>
      </c>
      <c r="AG65" s="183">
        <f>IF(AND(ISNUMBER(AG96),AG96&gt;0.8*'Ratio_M+Cl'!AA89,AG96&lt;1.2*'Ratio_M+Cl'!AA89),AG128/'Ratio_M+Cl'!AA121,IF(OR(AG128="N/A",AG160="N/A"),"N/A",""))</f>
        <v>600.15842006551145</v>
      </c>
      <c r="AH65" s="183">
        <f>IF(AND(ISNUMBER(AH96),AH96&gt;0.8*'Ratio_M+Cl'!AB89,AH96&lt;1.2*'Ratio_M+Cl'!AB89),AH128/'Ratio_M+Cl'!AB121,IF(OR(AH128="N/A",AH160="N/A"),"N/A",""))</f>
        <v>209.26065797925583</v>
      </c>
      <c r="AI65" s="185">
        <f>IF(AND(ISNUMBER(AI96),AI96&gt;0.8*'Ratio_M+Cl'!AC89,AI96&lt;1.2*'Ratio_M+Cl'!AC89),AI128/'Ratio_M+Cl'!AC121,IF(OR(AI128="N/A",AI160="N/A"),"N/A",""))</f>
        <v>33.486401059040077</v>
      </c>
      <c r="AK65" s="160" t="s">
        <v>334</v>
      </c>
      <c r="AL65" s="177" t="str">
        <f t="shared" si="2"/>
        <v/>
      </c>
      <c r="AM65" s="177">
        <f t="shared" si="2"/>
        <v>0.51358754328466616</v>
      </c>
      <c r="AN65" s="177">
        <f t="shared" si="2"/>
        <v>1.4687878189472956</v>
      </c>
      <c r="AO65" s="177">
        <f t="shared" si="2"/>
        <v>2.4571255544921065</v>
      </c>
      <c r="AP65" s="177">
        <f t="shared" si="2"/>
        <v>2.6501430463108919</v>
      </c>
      <c r="AQ65" s="177">
        <f t="shared" si="2"/>
        <v>1.9322056760229183</v>
      </c>
      <c r="AR65" s="177">
        <f t="shared" si="2"/>
        <v>0.98677458680469177</v>
      </c>
      <c r="AS65" s="177">
        <f t="shared" si="2"/>
        <v>0.3646446551974265</v>
      </c>
      <c r="AT65" s="177">
        <f t="shared" si="2"/>
        <v>8.5258507615775164E-2</v>
      </c>
      <c r="AU65" s="177" t="str">
        <f t="shared" si="2"/>
        <v/>
      </c>
      <c r="AV65" s="177" t="str">
        <f t="shared" si="2"/>
        <v/>
      </c>
      <c r="AW65" s="177" t="str">
        <f t="shared" si="2"/>
        <v/>
      </c>
      <c r="AX65" s="177" t="str">
        <f t="shared" si="2"/>
        <v/>
      </c>
      <c r="AY65" s="177" t="str">
        <f t="shared" si="2"/>
        <v/>
      </c>
      <c r="AZ65" s="177" t="str">
        <f t="shared" si="2"/>
        <v/>
      </c>
      <c r="BA65" s="177" t="str">
        <f t="shared" si="2"/>
        <v/>
      </c>
      <c r="BB65" s="177" t="str">
        <f t="shared" si="3"/>
        <v/>
      </c>
      <c r="BC65" s="177" t="str">
        <f t="shared" si="3"/>
        <v/>
      </c>
      <c r="BD65" s="177" t="str">
        <f t="shared" si="3"/>
        <v/>
      </c>
      <c r="BE65" s="177">
        <f t="shared" si="3"/>
        <v>0.31053321616214591</v>
      </c>
      <c r="BF65" s="177">
        <f t="shared" si="3"/>
        <v>1.1393649547833073</v>
      </c>
      <c r="BG65" s="177">
        <f t="shared" si="3"/>
        <v>2.2880331722812834</v>
      </c>
      <c r="BH65" s="177">
        <f t="shared" si="3"/>
        <v>2.9820567459108553</v>
      </c>
      <c r="BI65" s="177">
        <f t="shared" si="3"/>
        <v>2.5355032963097575</v>
      </c>
      <c r="BJ65" s="177">
        <f t="shared" si="3"/>
        <v>1.4824920180502046</v>
      </c>
      <c r="BK65" s="177">
        <f t="shared" si="3"/>
        <v>0.51690894399568232</v>
      </c>
      <c r="BL65" s="177">
        <f t="shared" si="3"/>
        <v>8.2717030409797332E-2</v>
      </c>
    </row>
    <row r="66" spans="1:64" ht="15.75" x14ac:dyDescent="0.3">
      <c r="A66" s="150">
        <v>61</v>
      </c>
      <c r="B66" s="10" t="s">
        <v>57</v>
      </c>
      <c r="C66">
        <v>908893811.98913598</v>
      </c>
      <c r="E66" s="10" t="s">
        <v>377</v>
      </c>
      <c r="F66" s="151">
        <f>IF(ISNUMBER(L49),L49/SUM($I$43:$AI$71),0)</f>
        <v>6.187637111437023E-3</v>
      </c>
      <c r="H66" s="160" t="s">
        <v>335</v>
      </c>
      <c r="I66" s="177" t="str">
        <f>IF(AND(ISNUMBER(I97),I97&gt;0.8*'Ratio_M+Cl'!C90,I97&lt;1.2*'Ratio_M+Cl'!C90),I129/'Ratio_M+Cl'!C122,IF(OR(I129="N/A",I161="N/A"),"N/A",""))</f>
        <v/>
      </c>
      <c r="J66" s="177">
        <f>IF(AND(ISNUMBER(J97),J97&gt;0.8*'Ratio_M+Cl'!D90,J97&lt;1.2*'Ratio_M+Cl'!D90),J129/'Ratio_M+Cl'!D122,IF(OR(J129="N/A",J161="N/A"),"N/A",""))</f>
        <v>151.52352845335528</v>
      </c>
      <c r="K66" s="177">
        <f>IF(AND(ISNUMBER(K97),K97&gt;0.8*'Ratio_M+Cl'!E90,K97&lt;1.2*'Ratio_M+Cl'!E90),K129/'Ratio_M+Cl'!E122,IF(OR(K129="N/A",K161="N/A"),"N/A",""))</f>
        <v>416.41010844236177</v>
      </c>
      <c r="L66" s="177">
        <f>IF(AND(ISNUMBER(L97),L97&gt;0.8*'Ratio_M+Cl'!F90,L97&lt;1.2*'Ratio_M+Cl'!F90),L129/'Ratio_M+Cl'!F122,IF(OR(L129="N/A",L161="N/A"),"N/A",""))</f>
        <v>684.98704790101237</v>
      </c>
      <c r="M66" s="177">
        <f>IF(AND(ISNUMBER(M97),M97&gt;0.8*'Ratio_M+Cl'!G90,M97&lt;1.2*'Ratio_M+Cl'!G90),M129/'Ratio_M+Cl'!G122,IF(OR(M129="N/A",M161="N/A"),"N/A",""))</f>
        <v>758.71332826475862</v>
      </c>
      <c r="N66" s="177">
        <f>IF(AND(ISNUMBER(N97),N97&gt;0.8*'Ratio_M+Cl'!H90,N97&lt;1.2*'Ratio_M+Cl'!H90),N129/'Ratio_M+Cl'!H122,IF(OR(N129="N/A",N161="N/A"),"N/A",""))</f>
        <v>610.34275713959937</v>
      </c>
      <c r="O66" s="177">
        <f>IF(AND(ISNUMBER(O97),O97&gt;0.8*'Ratio_M+Cl'!I90,O97&lt;1.2*'Ratio_M+Cl'!I90),O129/'Ratio_M+Cl'!I122,IF(OR(O129="N/A",O161="N/A"),"N/A",""))</f>
        <v>339.41977453220147</v>
      </c>
      <c r="P66" s="177">
        <f>IF(AND(ISNUMBER(P97),P97&gt;0.8*'Ratio_M+Cl'!J90,P97&lt;1.2*'Ratio_M+Cl'!J90),P129/'Ratio_M+Cl'!J122,IF(OR(P129="N/A",P161="N/A"),"N/A",""))</f>
        <v>129.98527069040284</v>
      </c>
      <c r="Q66" s="177">
        <f>IF(AND(ISNUMBER(Q97),Q97&gt;0.8*'Ratio_M+Cl'!K90,Q97&lt;1.2*'Ratio_M+Cl'!K90),Q129/'Ratio_M+Cl'!K122,IF(OR(Q129="N/A",Q161="N/A"),"N/A",""))</f>
        <v>29.861735227221331</v>
      </c>
      <c r="R66" s="186" t="str">
        <f>IF(AND(ISNUMBER(R97),R97&gt;0.8*'Ratio_M+Cl'!L90,R97&lt;1.2*'Ratio_M+Cl'!L90),R129/'Ratio_M+Cl'!L122,IF(OR(R129="N/A",R161="N/A"),"N/A",""))</f>
        <v/>
      </c>
      <c r="S66" s="186" t="str">
        <f>IF(AND(ISNUMBER(S97),S97&gt;0.8*'Ratio_M+Cl'!M90,S97&lt;1.2*'Ratio_M+Cl'!M90),S129/'Ratio_M+Cl'!M122,IF(OR(S129="N/A",S161="N/A"),"N/A",""))</f>
        <v/>
      </c>
      <c r="T66" s="186" t="str">
        <f>IF(AND(ISNUMBER(T97),T97&gt;0.8*'Ratio_M+Cl'!N90,T97&lt;1.2*'Ratio_M+Cl'!N90),T129/'Ratio_M+Cl'!N122,IF(OR(T129="N/A",T161="N/A"),"N/A",""))</f>
        <v/>
      </c>
      <c r="U66" s="186" t="str">
        <f>IF(AND(ISNUMBER(U97),U97&gt;0.8*'Ratio_M+Cl'!O90,U97&lt;1.2*'Ratio_M+Cl'!O90),U129/'Ratio_M+Cl'!O122,IF(OR(U129="N/A",U161="N/A"),"N/A",""))</f>
        <v/>
      </c>
      <c r="V66" s="186" t="str">
        <f>IF(AND(ISNUMBER(V97),V97&gt;0.8*'Ratio_M+Cl'!P90,V97&lt;1.2*'Ratio_M+Cl'!P90),V129/'Ratio_M+Cl'!P122,IF(OR(V129="N/A",V161="N/A"),"N/A",""))</f>
        <v/>
      </c>
      <c r="W66" s="186" t="str">
        <f>IF(AND(ISNUMBER(W97),W97&gt;0.8*'Ratio_M+Cl'!Q90,W97&lt;1.2*'Ratio_M+Cl'!Q90),W129/'Ratio_M+Cl'!Q122,IF(OR(W129="N/A",W161="N/A"),"N/A",""))</f>
        <v/>
      </c>
      <c r="X66" s="183" t="str">
        <f>IF(AND(ISNUMBER(X97),X97&gt;0.8*'Ratio_M+Cl'!R90,X97&lt;1.2*'Ratio_M+Cl'!R90),X129/'Ratio_M+Cl'!R122,IF(OR(X129="N/A",X161="N/A"),"N/A",""))</f>
        <v/>
      </c>
      <c r="Y66" s="183" t="str">
        <f>IF(AND(ISNUMBER(Y97),Y97&gt;0.8*'Ratio_M+Cl'!S90,Y97&lt;1.2*'Ratio_M+Cl'!S90),Y129/'Ratio_M+Cl'!S122,IF(OR(Y129="N/A",Y161="N/A"),"N/A",""))</f>
        <v/>
      </c>
      <c r="Z66" s="183" t="str">
        <f>IF(AND(ISNUMBER(Z97),Z97&gt;0.8*'Ratio_M+Cl'!T90,Z97&lt;1.2*'Ratio_M+Cl'!T90),Z129/'Ratio_M+Cl'!T122,IF(OR(Z129="N/A",Z161="N/A"),"N/A",""))</f>
        <v/>
      </c>
      <c r="AA66" s="183" t="str">
        <f>IF(AND(ISNUMBER(AA97),AA97&gt;0.8*'Ratio_M+Cl'!U90,AA97&lt;1.2*'Ratio_M+Cl'!U90),AA129/'Ratio_M+Cl'!U122,IF(OR(AA129="N/A",AA161="N/A"),"N/A",""))</f>
        <v/>
      </c>
      <c r="AB66" s="183">
        <f>IF(AND(ISNUMBER(AB97),AB97&gt;0.8*'Ratio_M+Cl'!V90,AB97&lt;1.2*'Ratio_M+Cl'!V90),AB129/'Ratio_M+Cl'!V122,IF(OR(AB129="N/A",AB161="N/A"),"N/A",""))</f>
        <v>10.123179084856412</v>
      </c>
      <c r="AC66" s="183">
        <f>IF(AND(ISNUMBER(AC97),AC97&gt;0.8*'Ratio_M+Cl'!W90,AC97&lt;1.2*'Ratio_M+Cl'!W90),AC129/'Ratio_M+Cl'!W122,IF(OR(AC129="N/A",AC161="N/A"),"N/A",""))</f>
        <v>118.24772588837732</v>
      </c>
      <c r="AD66" s="183">
        <f>IF(AND(ISNUMBER(AD97),AD97&gt;0.8*'Ratio_M+Cl'!X90,AD97&lt;1.2*'Ratio_M+Cl'!X90),AD129/'Ratio_M+Cl'!X122,IF(OR(AD129="N/A",AD161="N/A"),"N/A",""))</f>
        <v>360.72972137789327</v>
      </c>
      <c r="AE66" s="183">
        <f>IF(AND(ISNUMBER(AE97),AE97&gt;0.8*'Ratio_M+Cl'!Y90,AE97&lt;1.2*'Ratio_M+Cl'!Y90),AE129/'Ratio_M+Cl'!Y122,IF(OR(AE129="N/A",AE161="N/A"),"N/A",""))</f>
        <v>665.53248293990987</v>
      </c>
      <c r="AF66" s="183">
        <f>IF(AND(ISNUMBER(AF97),AF97&gt;0.8*'Ratio_M+Cl'!Z90,AF97&lt;1.2*'Ratio_M+Cl'!Z90),AF129/'Ratio_M+Cl'!Z122,IF(OR(AF129="N/A",AF161="N/A"),"N/A",""))</f>
        <v>815.63620571215665</v>
      </c>
      <c r="AG66" s="183">
        <f>IF(AND(ISNUMBER(AG97),AG97&gt;0.8*'Ratio_M+Cl'!AA90,AG97&lt;1.2*'Ratio_M+Cl'!AA90),AG129/'Ratio_M+Cl'!AA122,IF(OR(AG129="N/A",AG161="N/A"),"N/A",""))</f>
        <v>684.3764312395308</v>
      </c>
      <c r="AH66" s="183">
        <f>IF(AND(ISNUMBER(AH97),AH97&gt;0.8*'Ratio_M+Cl'!AB90,AH97&lt;1.2*'Ratio_M+Cl'!AB90),AH129/'Ratio_M+Cl'!AB122,IF(OR(AH129="N/A",AH161="N/A"),"N/A",""))</f>
        <v>369.22019845367038</v>
      </c>
      <c r="AI66" s="188" t="str">
        <f>IF(AND(ISNUMBER(AI97),AI97&gt;0.8*'Ratio_M+Cl'!AC90,AI97&lt;1.2*'Ratio_M+Cl'!AC90),AI129/'Ratio_M+Cl'!AC122,IF(OR(AI129="N/A",AI161="N/A"),"N/A",""))</f>
        <v/>
      </c>
      <c r="AK66" s="160" t="s">
        <v>335</v>
      </c>
      <c r="AL66" s="177" t="str">
        <f t="shared" si="2"/>
        <v/>
      </c>
      <c r="AM66" s="177">
        <f t="shared" si="2"/>
        <v>0.3742885444386202</v>
      </c>
      <c r="AN66" s="177">
        <f t="shared" si="2"/>
        <v>1.0286028511169372</v>
      </c>
      <c r="AO66" s="177">
        <f t="shared" si="2"/>
        <v>1.6920329650130985</v>
      </c>
      <c r="AP66" s="177">
        <f t="shared" si="2"/>
        <v>1.8741492504896142</v>
      </c>
      <c r="AQ66" s="177">
        <f t="shared" si="2"/>
        <v>1.507649039790931</v>
      </c>
      <c r="AR66" s="177">
        <f t="shared" si="2"/>
        <v>0.83842380559696628</v>
      </c>
      <c r="AS66" s="177">
        <f t="shared" si="2"/>
        <v>0.32108543314543958</v>
      </c>
      <c r="AT66" s="177">
        <f t="shared" si="2"/>
        <v>7.3763497502295952E-2</v>
      </c>
      <c r="AU66" s="177" t="str">
        <f t="shared" si="2"/>
        <v/>
      </c>
      <c r="AV66" s="177" t="str">
        <f t="shared" si="2"/>
        <v/>
      </c>
      <c r="AW66" s="177" t="str">
        <f t="shared" si="2"/>
        <v/>
      </c>
      <c r="AX66" s="177" t="str">
        <f t="shared" si="2"/>
        <v/>
      </c>
      <c r="AY66" s="177" t="str">
        <f t="shared" si="2"/>
        <v/>
      </c>
      <c r="AZ66" s="177" t="str">
        <f t="shared" si="2"/>
        <v/>
      </c>
      <c r="BA66" s="177" t="str">
        <f t="shared" si="2"/>
        <v/>
      </c>
      <c r="BB66" s="177" t="str">
        <f t="shared" si="3"/>
        <v/>
      </c>
      <c r="BC66" s="177" t="str">
        <f t="shared" si="3"/>
        <v/>
      </c>
      <c r="BD66" s="177" t="str">
        <f t="shared" si="3"/>
        <v/>
      </c>
      <c r="BE66" s="177">
        <f t="shared" si="3"/>
        <v>2.500595124359703E-2</v>
      </c>
      <c r="BF66" s="177">
        <f t="shared" si="3"/>
        <v>0.29209172765246311</v>
      </c>
      <c r="BG66" s="177">
        <f t="shared" si="3"/>
        <v>0.89106295060865126</v>
      </c>
      <c r="BH66" s="177">
        <f t="shared" si="3"/>
        <v>1.6439769246324178</v>
      </c>
      <c r="BI66" s="177">
        <f t="shared" si="3"/>
        <v>2.0147583107624105</v>
      </c>
      <c r="BJ66" s="177">
        <f t="shared" si="3"/>
        <v>1.6905246393836155</v>
      </c>
      <c r="BK66" s="177">
        <f t="shared" si="3"/>
        <v>0.91203585388459607</v>
      </c>
      <c r="BL66" s="177" t="str">
        <f t="shared" si="3"/>
        <v/>
      </c>
    </row>
    <row r="67" spans="1:64" ht="15.75" x14ac:dyDescent="0.3">
      <c r="A67" s="150">
        <v>62</v>
      </c>
      <c r="B67" s="10" t="s">
        <v>58</v>
      </c>
      <c r="C67">
        <v>869542324.94457996</v>
      </c>
      <c r="E67" s="10" t="s">
        <v>378</v>
      </c>
      <c r="F67" s="151">
        <f>IF(ISNUMBER(M49),M49/SUM($I$43:$AI$71),0)</f>
        <v>3.8304954365249604E-3</v>
      </c>
      <c r="H67" s="160" t="s">
        <v>336</v>
      </c>
      <c r="I67" s="177" t="str">
        <f>IF(AND(ISNUMBER(I98),I98&gt;0.8*'Ratio_M+Cl'!C91,I98&lt;1.2*'Ratio_M+Cl'!C91),I130/'Ratio_M+Cl'!C123,IF(OR(I130="N/A",I162="N/A"),"N/A",""))</f>
        <v/>
      </c>
      <c r="J67" s="177">
        <f>IF(AND(ISNUMBER(J98),J98&gt;0.8*'Ratio_M+Cl'!D91,J98&lt;1.2*'Ratio_M+Cl'!D91),J130/'Ratio_M+Cl'!D123,IF(OR(J130="N/A",J162="N/A"),"N/A",""))</f>
        <v>109.31840164630545</v>
      </c>
      <c r="K67" s="177">
        <f>IF(AND(ISNUMBER(K98),K98&gt;0.8*'Ratio_M+Cl'!E91,K98&lt;1.2*'Ratio_M+Cl'!E91),K130/'Ratio_M+Cl'!E123,IF(OR(K130="N/A",K162="N/A"),"N/A",""))</f>
        <v>268.26847987250284</v>
      </c>
      <c r="L67" s="177">
        <f>IF(AND(ISNUMBER(L98),L98&gt;0.8*'Ratio_M+Cl'!F91,L98&lt;1.2*'Ratio_M+Cl'!F91),L130/'Ratio_M+Cl'!F123,IF(OR(L130="N/A",L162="N/A"),"N/A",""))</f>
        <v>423.65532894881801</v>
      </c>
      <c r="M67" s="177">
        <f>IF(AND(ISNUMBER(M98),M98&gt;0.8*'Ratio_M+Cl'!G91,M98&lt;1.2*'Ratio_M+Cl'!G91),M130/'Ratio_M+Cl'!G123,IF(OR(M130="N/A",M162="N/A"),"N/A",""))</f>
        <v>505.46453973661346</v>
      </c>
      <c r="N67" s="177">
        <f>IF(AND(ISNUMBER(N98),N98&gt;0.8*'Ratio_M+Cl'!H91,N98&lt;1.2*'Ratio_M+Cl'!H91),N130/'Ratio_M+Cl'!H123,IF(OR(N130="N/A",N162="N/A"),"N/A",""))</f>
        <v>415.82873059198073</v>
      </c>
      <c r="O67" s="177">
        <f>IF(AND(ISNUMBER(O98),O98&gt;0.8*'Ratio_M+Cl'!I91,O98&lt;1.2*'Ratio_M+Cl'!I91),O130/'Ratio_M+Cl'!I123,IF(OR(O130="N/A",O162="N/A"),"N/A",""))</f>
        <v>247.85815348374004</v>
      </c>
      <c r="P67" s="177">
        <f>IF(AND(ISNUMBER(P98),P98&gt;0.8*'Ratio_M+Cl'!J91,P98&lt;1.2*'Ratio_M+Cl'!J91),P130/'Ratio_M+Cl'!J123,IF(OR(P130="N/A",P162="N/A"),"N/A",""))</f>
        <v>100.95616721943875</v>
      </c>
      <c r="Q67" s="177">
        <f>IF(AND(ISNUMBER(Q98),Q98&gt;0.8*'Ratio_M+Cl'!K91,Q98&lt;1.2*'Ratio_M+Cl'!K91),Q130/'Ratio_M+Cl'!K123,IF(OR(Q130="N/A",Q162="N/A"),"N/A",""))</f>
        <v>23.497340176386039</v>
      </c>
      <c r="R67" s="186" t="str">
        <f>IF(AND(ISNUMBER(R98),R98&gt;0.8*'Ratio_M+Cl'!L91,R98&lt;1.2*'Ratio_M+Cl'!L91),R130/'Ratio_M+Cl'!L123,IF(OR(R130="N/A",R162="N/A"),"N/A",""))</f>
        <v/>
      </c>
      <c r="S67" s="186" t="str">
        <f>IF(AND(ISNUMBER(S98),S98&gt;0.8*'Ratio_M+Cl'!M91,S98&lt;1.2*'Ratio_M+Cl'!M91),S130/'Ratio_M+Cl'!M123,IF(OR(S130="N/A",S162="N/A"),"N/A",""))</f>
        <v/>
      </c>
      <c r="T67" s="186" t="str">
        <f>IF(AND(ISNUMBER(T98),T98&gt;0.8*'Ratio_M+Cl'!N91,T98&lt;1.2*'Ratio_M+Cl'!N91),T130/'Ratio_M+Cl'!N123,IF(OR(T130="N/A",T162="N/A"),"N/A",""))</f>
        <v/>
      </c>
      <c r="U67" s="186" t="str">
        <f>IF(AND(ISNUMBER(U98),U98&gt;0.8*'Ratio_M+Cl'!O91,U98&lt;1.2*'Ratio_M+Cl'!O91),U130/'Ratio_M+Cl'!O123,IF(OR(U130="N/A",U162="N/A"),"N/A",""))</f>
        <v/>
      </c>
      <c r="V67" s="186" t="str">
        <f>IF(AND(ISNUMBER(V98),V98&gt;0.8*'Ratio_M+Cl'!P91,V98&lt;1.2*'Ratio_M+Cl'!P91),V130/'Ratio_M+Cl'!P123,IF(OR(V130="N/A",V162="N/A"),"N/A",""))</f>
        <v/>
      </c>
      <c r="W67" s="186" t="str">
        <f>IF(AND(ISNUMBER(W98),W98&gt;0.8*'Ratio_M+Cl'!Q91,W98&lt;1.2*'Ratio_M+Cl'!Q91),W130/'Ratio_M+Cl'!Q123,IF(OR(W130="N/A",W162="N/A"),"N/A",""))</f>
        <v/>
      </c>
      <c r="X67" s="183" t="str">
        <f>IF(AND(ISNUMBER(X98),X98&gt;0.8*'Ratio_M+Cl'!R91,X98&lt;1.2*'Ratio_M+Cl'!R91),X130/'Ratio_M+Cl'!R123,IF(OR(X130="N/A",X162="N/A"),"N/A",""))</f>
        <v/>
      </c>
      <c r="Y67" s="183" t="str">
        <f>IF(AND(ISNUMBER(Y98),Y98&gt;0.8*'Ratio_M+Cl'!S91,Y98&lt;1.2*'Ratio_M+Cl'!S91),Y130/'Ratio_M+Cl'!S123,IF(OR(Y130="N/A",Y162="N/A"),"N/A",""))</f>
        <v/>
      </c>
      <c r="Z67" s="183" t="str">
        <f>IF(AND(ISNUMBER(Z98),Z98&gt;0.8*'Ratio_M+Cl'!T91,Z98&lt;1.2*'Ratio_M+Cl'!T91),Z130/'Ratio_M+Cl'!T123,IF(OR(Z130="N/A",Z162="N/A"),"N/A",""))</f>
        <v/>
      </c>
      <c r="AA67" s="183" t="str">
        <f>IF(AND(ISNUMBER(AA98),AA98&gt;0.8*'Ratio_M+Cl'!U91,AA98&lt;1.2*'Ratio_M+Cl'!U91),AA130/'Ratio_M+Cl'!U123,IF(OR(AA130="N/A",AA162="N/A"),"N/A",""))</f>
        <v/>
      </c>
      <c r="AB67" s="183" t="str">
        <f>IF(AND(ISNUMBER(AB98),AB98&gt;0.8*'Ratio_M+Cl'!V91,AB98&lt;1.2*'Ratio_M+Cl'!V91),AB130/'Ratio_M+Cl'!V123,IF(OR(AB130="N/A",AB162="N/A"),"N/A",""))</f>
        <v/>
      </c>
      <c r="AC67" s="183">
        <f>IF(AND(ISNUMBER(AC98),AC98&gt;0.8*'Ratio_M+Cl'!W91,AC98&lt;1.2*'Ratio_M+Cl'!W91),AC130/'Ratio_M+Cl'!W123,IF(OR(AC130="N/A",AC162="N/A"),"N/A",""))</f>
        <v>15.327545676946349</v>
      </c>
      <c r="AD67" s="183">
        <f>IF(AND(ISNUMBER(AD98),AD98&gt;0.8*'Ratio_M+Cl'!X91,AD98&lt;1.2*'Ratio_M+Cl'!X91),AD130/'Ratio_M+Cl'!X123,IF(OR(AD130="N/A",AD162="N/A"),"N/A",""))</f>
        <v>98.180522712377908</v>
      </c>
      <c r="AE67" s="183">
        <f>IF(AND(ISNUMBER(AE98),AE98&gt;0.8*'Ratio_M+Cl'!Y91,AE98&lt;1.2*'Ratio_M+Cl'!Y91),AE130/'Ratio_M+Cl'!Y123,IF(OR(AE130="N/A",AE162="N/A"),"N/A",""))</f>
        <v>289.2824614223843</v>
      </c>
      <c r="AF67" s="183">
        <f>IF(AND(ISNUMBER(AF98),AF98&gt;0.8*'Ratio_M+Cl'!Z91,AF98&lt;1.2*'Ratio_M+Cl'!Z91),AF130/'Ratio_M+Cl'!Z123,IF(OR(AF130="N/A",AF162="N/A"),"N/A",""))</f>
        <v>493.28059541352246</v>
      </c>
      <c r="AG67" s="183">
        <f>IF(AND(ISNUMBER(AG98),AG98&gt;0.8*'Ratio_M+Cl'!AA91,AG98&lt;1.2*'Ratio_M+Cl'!AA91),AG130/'Ratio_M+Cl'!AA123,IF(OR(AG130="N/A",AG162="N/A"),"N/A",""))</f>
        <v>555.66451728714844</v>
      </c>
      <c r="AH67" s="183">
        <f>IF(AND(ISNUMBER(AH98),AH98&gt;0.8*'Ratio_M+Cl'!AB91,AH98&lt;1.2*'Ratio_M+Cl'!AB91),AH130/'Ratio_M+Cl'!AB123,IF(OR(AH130="N/A",AH162="N/A"),"N/A",""))</f>
        <v>415.70777839418355</v>
      </c>
      <c r="AI67" s="188" t="str">
        <f>IF(AND(ISNUMBER(AI98),AI98&gt;0.8*'Ratio_M+Cl'!AC91,AI98&lt;1.2*'Ratio_M+Cl'!AC91),AI130/'Ratio_M+Cl'!AC123,IF(OR(AI130="N/A",AI162="N/A"),"N/A",""))</f>
        <v/>
      </c>
      <c r="AK67" s="160" t="s">
        <v>336</v>
      </c>
      <c r="AL67" s="177" t="str">
        <f t="shared" si="2"/>
        <v/>
      </c>
      <c r="AM67" s="177">
        <f t="shared" si="2"/>
        <v>0.27003479822704779</v>
      </c>
      <c r="AN67" s="177">
        <f t="shared" si="2"/>
        <v>0.66266816695171094</v>
      </c>
      <c r="AO67" s="177">
        <f t="shared" si="2"/>
        <v>1.0464997616837548</v>
      </c>
      <c r="AP67" s="177">
        <f t="shared" si="2"/>
        <v>1.2485822418106765</v>
      </c>
      <c r="AQ67" s="177">
        <f t="shared" si="2"/>
        <v>1.0271667502578223</v>
      </c>
      <c r="AR67" s="177">
        <f t="shared" si="2"/>
        <v>0.61225123544579718</v>
      </c>
      <c r="AS67" s="177">
        <f t="shared" si="2"/>
        <v>0.2493786758159996</v>
      </c>
      <c r="AT67" s="177">
        <f t="shared" si="2"/>
        <v>5.804237363378198E-2</v>
      </c>
      <c r="AU67" s="177" t="str">
        <f t="shared" si="2"/>
        <v/>
      </c>
      <c r="AV67" s="177" t="str">
        <f t="shared" si="2"/>
        <v/>
      </c>
      <c r="AW67" s="177" t="str">
        <f t="shared" si="2"/>
        <v/>
      </c>
      <c r="AX67" s="177" t="str">
        <f t="shared" si="2"/>
        <v/>
      </c>
      <c r="AY67" s="177" t="str">
        <f t="shared" si="2"/>
        <v/>
      </c>
      <c r="AZ67" s="177" t="str">
        <f t="shared" si="2"/>
        <v/>
      </c>
      <c r="BA67" s="177" t="str">
        <f t="shared" si="2"/>
        <v/>
      </c>
      <c r="BB67" s="177" t="str">
        <f t="shared" si="3"/>
        <v/>
      </c>
      <c r="BC67" s="177" t="str">
        <f t="shared" si="3"/>
        <v/>
      </c>
      <c r="BD67" s="177" t="str">
        <f t="shared" si="3"/>
        <v/>
      </c>
      <c r="BE67" s="177" t="str">
        <f t="shared" si="3"/>
        <v/>
      </c>
      <c r="BF67" s="177">
        <f t="shared" si="3"/>
        <v>3.7861610139357058E-2</v>
      </c>
      <c r="BG67" s="177">
        <f t="shared" si="3"/>
        <v>0.24252236806610009</v>
      </c>
      <c r="BH67" s="177">
        <f t="shared" si="3"/>
        <v>0.71457622801291043</v>
      </c>
      <c r="BI67" s="177">
        <f t="shared" si="3"/>
        <v>1.2184858545844857</v>
      </c>
      <c r="BJ67" s="177">
        <f t="shared" si="3"/>
        <v>1.3725846110798505</v>
      </c>
      <c r="BK67" s="177">
        <f t="shared" si="3"/>
        <v>1.026867978030682</v>
      </c>
      <c r="BL67" s="177" t="str">
        <f t="shared" si="3"/>
        <v/>
      </c>
    </row>
    <row r="68" spans="1:64" ht="15.75" x14ac:dyDescent="0.3">
      <c r="A68" s="150">
        <v>63</v>
      </c>
      <c r="B68" s="10" t="s">
        <v>59</v>
      </c>
      <c r="C68">
        <v>630847761.241974</v>
      </c>
      <c r="E68" s="10" t="s">
        <v>379</v>
      </c>
      <c r="F68" s="151">
        <f>IF(ISNUMBER(N49),N49/SUM($I$43:$AI$71),0)</f>
        <v>1.9733282655300726E-3</v>
      </c>
      <c r="H68" s="160" t="s">
        <v>337</v>
      </c>
      <c r="I68" s="177" t="str">
        <f>IF(AND(ISNUMBER(I99),I99&gt;0.8*'Ratio_M+Cl'!C92,I99&lt;1.2*'Ratio_M+Cl'!C92),I131/'Ratio_M+Cl'!C124,IF(OR(I131="N/A",I163="N/A"),"N/A",""))</f>
        <v/>
      </c>
      <c r="J68" s="177">
        <f>IF(AND(ISNUMBER(J99),J99&gt;0.8*'Ratio_M+Cl'!D92,J99&lt;1.2*'Ratio_M+Cl'!D92),J131/'Ratio_M+Cl'!D124,IF(OR(J131="N/A",J163="N/A"),"N/A",""))</f>
        <v>83.919024431392273</v>
      </c>
      <c r="K68" s="177">
        <f>IF(AND(ISNUMBER(K99),K99&gt;0.8*'Ratio_M+Cl'!E92,K99&lt;1.2*'Ratio_M+Cl'!E92),K131/'Ratio_M+Cl'!E124,IF(OR(K131="N/A",K163="N/A"),"N/A",""))</f>
        <v>175.96232080989435</v>
      </c>
      <c r="L68" s="177">
        <f>IF(AND(ISNUMBER(L99),L99&gt;0.8*'Ratio_M+Cl'!F92,L99&lt;1.2*'Ratio_M+Cl'!F92),L131/'Ratio_M+Cl'!F124,IF(OR(L131="N/A",L163="N/A"),"N/A",""))</f>
        <v>290.22318119541887</v>
      </c>
      <c r="M68" s="177">
        <f>IF(AND(ISNUMBER(M99),M99&gt;0.8*'Ratio_M+Cl'!G92,M99&lt;1.2*'Ratio_M+Cl'!G92),M131/'Ratio_M+Cl'!G124,IF(OR(M131="N/A",M163="N/A"),"N/A",""))</f>
        <v>338.68558392541786</v>
      </c>
      <c r="N68" s="177">
        <f>IF(AND(ISNUMBER(N99),N99&gt;0.8*'Ratio_M+Cl'!H92,N99&lt;1.2*'Ratio_M+Cl'!H92),N131/'Ratio_M+Cl'!H124,IF(OR(N131="N/A",N163="N/A"),"N/A",""))</f>
        <v>286.87467717664907</v>
      </c>
      <c r="O68" s="177">
        <f>IF(AND(ISNUMBER(O99),O99&gt;0.8*'Ratio_M+Cl'!I92,O99&lt;1.2*'Ratio_M+Cl'!I92),O131/'Ratio_M+Cl'!I124,IF(OR(O131="N/A",O163="N/A"),"N/A",""))</f>
        <v>174.99645010167399</v>
      </c>
      <c r="P68" s="177">
        <f>IF(AND(ISNUMBER(P99),P99&gt;0.8*'Ratio_M+Cl'!J92,P99&lt;1.2*'Ratio_M+Cl'!J92),P131/'Ratio_M+Cl'!J124,IF(OR(P131="N/A",P163="N/A"),"N/A",""))</f>
        <v>74.125969815046787</v>
      </c>
      <c r="Q68" s="177" t="str">
        <f>IF(AND(ISNUMBER(Q99),Q99&gt;0.8*'Ratio_M+Cl'!K92,Q99&lt;1.2*'Ratio_M+Cl'!K92),Q131/'Ratio_M+Cl'!K124,IF(OR(Q131="N/A",Q163="N/A"),"N/A",""))</f>
        <v/>
      </c>
      <c r="R68" s="186" t="str">
        <f>IF(AND(ISNUMBER(R99),R99&gt;0.8*'Ratio_M+Cl'!L92,R99&lt;1.2*'Ratio_M+Cl'!L92),R131/'Ratio_M+Cl'!L124,IF(OR(R131="N/A",R163="N/A"),"N/A",""))</f>
        <v/>
      </c>
      <c r="S68" s="186" t="str">
        <f>IF(AND(ISNUMBER(S99),S99&gt;0.8*'Ratio_M+Cl'!M92,S99&lt;1.2*'Ratio_M+Cl'!M92),S131/'Ratio_M+Cl'!M124,IF(OR(S131="N/A",S163="N/A"),"N/A",""))</f>
        <v/>
      </c>
      <c r="T68" s="186" t="str">
        <f>IF(AND(ISNUMBER(T99),T99&gt;0.8*'Ratio_M+Cl'!N92,T99&lt;1.2*'Ratio_M+Cl'!N92),T131/'Ratio_M+Cl'!N124,IF(OR(T131="N/A",T163="N/A"),"N/A",""))</f>
        <v/>
      </c>
      <c r="U68" s="186" t="str">
        <f>IF(AND(ISNUMBER(U99),U99&gt;0.8*'Ratio_M+Cl'!O92,U99&lt;1.2*'Ratio_M+Cl'!O92),U131/'Ratio_M+Cl'!O124,IF(OR(U131="N/A",U163="N/A"),"N/A",""))</f>
        <v/>
      </c>
      <c r="V68" s="186" t="str">
        <f>IF(AND(ISNUMBER(V99),V99&gt;0.8*'Ratio_M+Cl'!P92,V99&lt;1.2*'Ratio_M+Cl'!P92),V131/'Ratio_M+Cl'!P124,IF(OR(V131="N/A",V163="N/A"),"N/A",""))</f>
        <v/>
      </c>
      <c r="W68" s="186" t="str">
        <f>IF(AND(ISNUMBER(W99),W99&gt;0.8*'Ratio_M+Cl'!Q92,W99&lt;1.2*'Ratio_M+Cl'!Q92),W131/'Ratio_M+Cl'!Q124,IF(OR(W131="N/A",W163="N/A"),"N/A",""))</f>
        <v/>
      </c>
      <c r="X68" s="183" t="str">
        <f>IF(AND(ISNUMBER(X99),X99&gt;0.8*'Ratio_M+Cl'!R92,X99&lt;1.2*'Ratio_M+Cl'!R92),X131/'Ratio_M+Cl'!R124,IF(OR(X131="N/A",X163="N/A"),"N/A",""))</f>
        <v/>
      </c>
      <c r="Y68" s="183" t="str">
        <f>IF(AND(ISNUMBER(Y99),Y99&gt;0.8*'Ratio_M+Cl'!S92,Y99&lt;1.2*'Ratio_M+Cl'!S92),Y131/'Ratio_M+Cl'!S124,IF(OR(Y131="N/A",Y163="N/A"),"N/A",""))</f>
        <v/>
      </c>
      <c r="Z68" s="183" t="str">
        <f>IF(AND(ISNUMBER(Z99),Z99&gt;0.8*'Ratio_M+Cl'!T92,Z99&lt;1.2*'Ratio_M+Cl'!T92),Z131/'Ratio_M+Cl'!T124,IF(OR(Z131="N/A",Z163="N/A"),"N/A",""))</f>
        <v/>
      </c>
      <c r="AA68" s="183" t="str">
        <f>IF(AND(ISNUMBER(AA99),AA99&gt;0.8*'Ratio_M+Cl'!U92,AA99&lt;1.2*'Ratio_M+Cl'!U92),AA131/'Ratio_M+Cl'!U124,IF(OR(AA131="N/A",AA163="N/A"),"N/A",""))</f>
        <v/>
      </c>
      <c r="AB68" s="183" t="str">
        <f>IF(AND(ISNUMBER(AB99),AB99&gt;0.8*'Ratio_M+Cl'!V92,AB99&lt;1.2*'Ratio_M+Cl'!V92),AB131/'Ratio_M+Cl'!V124,IF(OR(AB131="N/A",AB163="N/A"),"N/A",""))</f>
        <v/>
      </c>
      <c r="AC68" s="183" t="str">
        <f>IF(AND(ISNUMBER(AC99),AC99&gt;0.8*'Ratio_M+Cl'!W92,AC99&lt;1.2*'Ratio_M+Cl'!W92),AC131/'Ratio_M+Cl'!W124,IF(OR(AC131="N/A",AC163="N/A"),"N/A",""))</f>
        <v/>
      </c>
      <c r="AD68" s="183" t="str">
        <f>IF(AND(ISNUMBER(AD99),AD99&gt;0.8*'Ratio_M+Cl'!X92,AD99&lt;1.2*'Ratio_M+Cl'!X92),AD131/'Ratio_M+Cl'!X124,IF(OR(AD131="N/A",AD163="N/A"),"N/A",""))</f>
        <v/>
      </c>
      <c r="AE68" s="183">
        <f>IF(AND(ISNUMBER(AE99),AE99&gt;0.8*'Ratio_M+Cl'!Y92,AE99&lt;1.2*'Ratio_M+Cl'!Y92),AE131/'Ratio_M+Cl'!Y124,IF(OR(AE131="N/A",AE163="N/A"),"N/A",""))</f>
        <v>57.585378115522801</v>
      </c>
      <c r="AF68" s="183">
        <f>IF(AND(ISNUMBER(AF99),AF99&gt;0.8*'Ratio_M+Cl'!Z92,AF99&lt;1.2*'Ratio_M+Cl'!Z92),AF131/'Ratio_M+Cl'!Z124,IF(OR(AF131="N/A",AF163="N/A"),"N/A",""))</f>
        <v>201.71197745047883</v>
      </c>
      <c r="AG68" s="183">
        <f>IF(AND(ISNUMBER(AG99),AG99&gt;0.8*'Ratio_M+Cl'!AA92,AG99&lt;1.2*'Ratio_M+Cl'!AA92),AG131/'Ratio_M+Cl'!AA124,IF(OR(AG131="N/A",AG163="N/A"),"N/A",""))</f>
        <v>304.69129393066373</v>
      </c>
      <c r="AH68" s="183" t="str">
        <f>IF(AND(ISNUMBER(AH99),AH99&gt;0.8*'Ratio_M+Cl'!AB92,AH99&lt;1.2*'Ratio_M+Cl'!AB92),AH131/'Ratio_M+Cl'!AB124,IF(OR(AH131="N/A",AH163="N/A"),"N/A",""))</f>
        <v/>
      </c>
      <c r="AI68" s="188" t="str">
        <f>IF(AND(ISNUMBER(AI99),AI99&gt;0.8*'Ratio_M+Cl'!AC92,AI99&lt;1.2*'Ratio_M+Cl'!AC92),AI131/'Ratio_M+Cl'!AC124,IF(OR(AI131="N/A",AI163="N/A"),"N/A",""))</f>
        <v/>
      </c>
      <c r="AK68" s="160" t="s">
        <v>337</v>
      </c>
      <c r="AL68" s="177" t="str">
        <f t="shared" si="2"/>
        <v/>
      </c>
      <c r="AM68" s="177">
        <f t="shared" si="2"/>
        <v>0.20729407390221904</v>
      </c>
      <c r="AN68" s="177">
        <f t="shared" si="2"/>
        <v>0.4346564629548692</v>
      </c>
      <c r="AO68" s="177">
        <f t="shared" si="2"/>
        <v>0.71689996372688003</v>
      </c>
      <c r="AP68" s="177">
        <f t="shared" si="2"/>
        <v>0.83661023158401593</v>
      </c>
      <c r="AQ68" s="177">
        <f t="shared" si="2"/>
        <v>0.70862859684396029</v>
      </c>
      <c r="AR68" s="177">
        <f t="shared" si="2"/>
        <v>0.43227060021008107</v>
      </c>
      <c r="AS68" s="177">
        <f t="shared" si="2"/>
        <v>0.18310358549837871</v>
      </c>
      <c r="AT68" s="177" t="str">
        <f t="shared" si="2"/>
        <v/>
      </c>
      <c r="AU68" s="177" t="str">
        <f t="shared" si="2"/>
        <v/>
      </c>
      <c r="AV68" s="177" t="str">
        <f t="shared" si="2"/>
        <v/>
      </c>
      <c r="AW68" s="177" t="str">
        <f t="shared" si="2"/>
        <v/>
      </c>
      <c r="AX68" s="177" t="str">
        <f t="shared" si="2"/>
        <v/>
      </c>
      <c r="AY68" s="177" t="str">
        <f t="shared" si="2"/>
        <v/>
      </c>
      <c r="AZ68" s="177" t="str">
        <f t="shared" si="2"/>
        <v/>
      </c>
      <c r="BA68" s="177" t="str">
        <f t="shared" si="2"/>
        <v/>
      </c>
      <c r="BB68" s="177" t="str">
        <f t="shared" si="3"/>
        <v/>
      </c>
      <c r="BC68" s="177" t="str">
        <f t="shared" si="3"/>
        <v/>
      </c>
      <c r="BD68" s="177" t="str">
        <f t="shared" si="3"/>
        <v/>
      </c>
      <c r="BE68" s="177" t="str">
        <f t="shared" si="3"/>
        <v/>
      </c>
      <c r="BF68" s="177" t="str">
        <f t="shared" si="3"/>
        <v/>
      </c>
      <c r="BG68" s="177" t="str">
        <f t="shared" si="3"/>
        <v/>
      </c>
      <c r="BH68" s="177">
        <f t="shared" si="3"/>
        <v>0.14224554810602635</v>
      </c>
      <c r="BI68" s="177">
        <f t="shared" si="3"/>
        <v>0.49826243624610955</v>
      </c>
      <c r="BJ68" s="177">
        <f t="shared" si="3"/>
        <v>0.7526386302674738</v>
      </c>
      <c r="BK68" s="177" t="str">
        <f t="shared" si="3"/>
        <v/>
      </c>
      <c r="BL68" s="177" t="str">
        <f t="shared" si="3"/>
        <v/>
      </c>
    </row>
    <row r="69" spans="1:64" ht="15.75" x14ac:dyDescent="0.3">
      <c r="A69" s="150">
        <v>64</v>
      </c>
      <c r="B69" s="10" t="s">
        <v>60</v>
      </c>
      <c r="C69">
        <v>590533560.05502295</v>
      </c>
      <c r="E69" s="10" t="s">
        <v>380</v>
      </c>
      <c r="F69" s="151">
        <f>IF(ISNUMBER(O49),O49/SUM($I$43:$AI$71),0)</f>
        <v>1.4516239788104294E-3</v>
      </c>
      <c r="H69" s="160" t="s">
        <v>338</v>
      </c>
      <c r="I69" s="177" t="str">
        <f>IF(AND(ISNUMBER(I100),I100&gt;0.8*'Ratio_M+Cl'!C93,I100&lt;1.2*'Ratio_M+Cl'!C93),I132/'Ratio_M+Cl'!C125,IF(OR(I132="N/A",I164="N/A"),"N/A",""))</f>
        <v/>
      </c>
      <c r="J69" s="177">
        <f>IF(AND(ISNUMBER(J100),J100&gt;0.8*'Ratio_M+Cl'!D93,J100&lt;1.2*'Ratio_M+Cl'!D93),J132/'Ratio_M+Cl'!D125,IF(OR(J132="N/A",J164="N/A"),"N/A",""))</f>
        <v>52.604643056422745</v>
      </c>
      <c r="K69" s="177">
        <f>IF(AND(ISNUMBER(K100),K100&gt;0.8*'Ratio_M+Cl'!E93,K100&lt;1.2*'Ratio_M+Cl'!E93),K132/'Ratio_M+Cl'!E125,IF(OR(K132="N/A",K164="N/A"),"N/A",""))</f>
        <v>126.54853920006424</v>
      </c>
      <c r="L69" s="177">
        <f>IF(AND(ISNUMBER(L100),L100&gt;0.8*'Ratio_M+Cl'!F93,L100&lt;1.2*'Ratio_M+Cl'!F93),L132/'Ratio_M+Cl'!F125,IF(OR(L132="N/A",L164="N/A"),"N/A",""))</f>
        <v>181.19045440324902</v>
      </c>
      <c r="M69" s="177">
        <f>IF(AND(ISNUMBER(M100),M100&gt;0.8*'Ratio_M+Cl'!G93,M100&lt;1.2*'Ratio_M+Cl'!G93),M132/'Ratio_M+Cl'!G125,IF(OR(M132="N/A",M164="N/A"),"N/A",""))</f>
        <v>201.11361796183559</v>
      </c>
      <c r="N69" s="177">
        <f>IF(AND(ISNUMBER(N100),N100&gt;0.8*'Ratio_M+Cl'!H93,N100&lt;1.2*'Ratio_M+Cl'!H93),N132/'Ratio_M+Cl'!H125,IF(OR(N132="N/A",N164="N/A"),"N/A",""))</f>
        <v>175.31656147862856</v>
      </c>
      <c r="O69" s="177">
        <f>IF(AND(ISNUMBER(O100),O100&gt;0.8*'Ratio_M+Cl'!I93,O100&lt;1.2*'Ratio_M+Cl'!I93),O132/'Ratio_M+Cl'!I125,IF(OR(O132="N/A",O164="N/A"),"N/A",""))</f>
        <v>110.48590468943269</v>
      </c>
      <c r="P69" s="177">
        <f>IF(AND(ISNUMBER(P100),P100&gt;0.8*'Ratio_M+Cl'!J93,P100&lt;1.2*'Ratio_M+Cl'!J93),P132/'Ratio_M+Cl'!J125,IF(OR(P132="N/A",P164="N/A"),"N/A",""))</f>
        <v>54.020246736842509</v>
      </c>
      <c r="Q69" s="177">
        <f>IF(AND(ISNUMBER(Q100),Q100&gt;0.8*'Ratio_M+Cl'!K93,Q100&lt;1.2*'Ratio_M+Cl'!K93),Q132/'Ratio_M+Cl'!K125,IF(OR(Q132="N/A",Q164="N/A"),"N/A",""))</f>
        <v>9.5708940956951114</v>
      </c>
      <c r="R69" s="186" t="str">
        <f>IF(AND(ISNUMBER(R100),R100&gt;0.8*'Ratio_M+Cl'!L93,R100&lt;1.2*'Ratio_M+Cl'!L93),R132/'Ratio_M+Cl'!L125,IF(OR(R132="N/A",R164="N/A"),"N/A",""))</f>
        <v/>
      </c>
      <c r="S69" s="186" t="str">
        <f>IF(AND(ISNUMBER(S100),S100&gt;0.8*'Ratio_M+Cl'!M93,S100&lt;1.2*'Ratio_M+Cl'!M93),S132/'Ratio_M+Cl'!M125,IF(OR(S132="N/A",S164="N/A"),"N/A",""))</f>
        <v/>
      </c>
      <c r="T69" s="186" t="str">
        <f>IF(AND(ISNUMBER(T100),T100&gt;0.8*'Ratio_M+Cl'!N93,T100&lt;1.2*'Ratio_M+Cl'!N93),T132/'Ratio_M+Cl'!N125,IF(OR(T132="N/A",T164="N/A"),"N/A",""))</f>
        <v/>
      </c>
      <c r="U69" s="186" t="str">
        <f>IF(AND(ISNUMBER(U100),U100&gt;0.8*'Ratio_M+Cl'!O93,U100&lt;1.2*'Ratio_M+Cl'!O93),U132/'Ratio_M+Cl'!O125,IF(OR(U132="N/A",U164="N/A"),"N/A",""))</f>
        <v/>
      </c>
      <c r="V69" s="186" t="str">
        <f>IF(AND(ISNUMBER(V100),V100&gt;0.8*'Ratio_M+Cl'!P93,V100&lt;1.2*'Ratio_M+Cl'!P93),V132/'Ratio_M+Cl'!P125,IF(OR(V132="N/A",V164="N/A"),"N/A",""))</f>
        <v/>
      </c>
      <c r="W69" s="186" t="str">
        <f>IF(AND(ISNUMBER(W100),W100&gt;0.8*'Ratio_M+Cl'!Q93,W100&lt;1.2*'Ratio_M+Cl'!Q93),W132/'Ratio_M+Cl'!Q125,IF(OR(W132="N/A",W164="N/A"),"N/A",""))</f>
        <v/>
      </c>
      <c r="X69" s="183" t="str">
        <f>IF(AND(ISNUMBER(X100),X100&gt;0.8*'Ratio_M+Cl'!R93,X100&lt;1.2*'Ratio_M+Cl'!R93),X132/'Ratio_M+Cl'!R125,IF(OR(X132="N/A",X164="N/A"),"N/A",""))</f>
        <v/>
      </c>
      <c r="Y69" s="183" t="str">
        <f>IF(AND(ISNUMBER(Y100),Y100&gt;0.8*'Ratio_M+Cl'!S93,Y100&lt;1.2*'Ratio_M+Cl'!S93),Y132/'Ratio_M+Cl'!S125,IF(OR(Y132="N/A",Y164="N/A"),"N/A",""))</f>
        <v/>
      </c>
      <c r="Z69" s="183" t="str">
        <f>IF(AND(ISNUMBER(Z100),Z100&gt;0.8*'Ratio_M+Cl'!T93,Z100&lt;1.2*'Ratio_M+Cl'!T93),Z132/'Ratio_M+Cl'!T125,IF(OR(Z132="N/A",Z164="N/A"),"N/A",""))</f>
        <v/>
      </c>
      <c r="AA69" s="183" t="str">
        <f>IF(AND(ISNUMBER(AA100),AA100&gt;0.8*'Ratio_M+Cl'!U93,AA100&lt;1.2*'Ratio_M+Cl'!U93),AA132/'Ratio_M+Cl'!U125,IF(OR(AA132="N/A",AA164="N/A"),"N/A",""))</f>
        <v/>
      </c>
      <c r="AB69" s="183" t="str">
        <f>IF(AND(ISNUMBER(AB100),AB100&gt;0.8*'Ratio_M+Cl'!V93,AB100&lt;1.2*'Ratio_M+Cl'!V93),AB132/'Ratio_M+Cl'!V125,IF(OR(AB132="N/A",AB164="N/A"),"N/A",""))</f>
        <v/>
      </c>
      <c r="AC69" s="183" t="str">
        <f>IF(AND(ISNUMBER(AC100),AC100&gt;0.8*'Ratio_M+Cl'!W93,AC100&lt;1.2*'Ratio_M+Cl'!W93),AC132/'Ratio_M+Cl'!W125,IF(OR(AC132="N/A",AC164="N/A"),"N/A",""))</f>
        <v/>
      </c>
      <c r="AD69" s="183" t="str">
        <f>IF(AND(ISNUMBER(AD100),AD100&gt;0.8*'Ratio_M+Cl'!X93,AD100&lt;1.2*'Ratio_M+Cl'!X93),AD132/'Ratio_M+Cl'!X125,IF(OR(AD132="N/A",AD164="N/A"),"N/A",""))</f>
        <v/>
      </c>
      <c r="AE69" s="183" t="str">
        <f>IF(AND(ISNUMBER(AE100),AE100&gt;0.8*'Ratio_M+Cl'!Y93,AE100&lt;1.2*'Ratio_M+Cl'!Y93),AE132/'Ratio_M+Cl'!Y125,IF(OR(AE132="N/A",AE164="N/A"),"N/A",""))</f>
        <v/>
      </c>
      <c r="AF69" s="183">
        <f>IF(AND(ISNUMBER(AF100),AF100&gt;0.8*'Ratio_M+Cl'!Z93,AF100&lt;1.2*'Ratio_M+Cl'!Z93),AF132/'Ratio_M+Cl'!Z125,IF(OR(AF132="N/A",AF164="N/A"),"N/A",""))</f>
        <v>46.284841555481414</v>
      </c>
      <c r="AG69" s="183">
        <f>IF(AND(ISNUMBER(AG100),AG100&gt;0.8*'Ratio_M+Cl'!AA93,AG100&lt;1.2*'Ratio_M+Cl'!AA93),AG132/'Ratio_M+Cl'!AA125,IF(OR(AG132="N/A",AG164="N/A"),"N/A",""))</f>
        <v>115.95434474229958</v>
      </c>
      <c r="AH69" s="183" t="str">
        <f>IF(AND(ISNUMBER(AH100),AH100&gt;0.8*'Ratio_M+Cl'!AB93,AH100&lt;1.2*'Ratio_M+Cl'!AB93),AH132/'Ratio_M+Cl'!AB125,IF(OR(AH132="N/A",AH164="N/A"),"N/A",""))</f>
        <v/>
      </c>
      <c r="AI69" s="188" t="str">
        <f>IF(AND(ISNUMBER(AI100),AI100&gt;0.8*'Ratio_M+Cl'!AC93,AI100&lt;1.2*'Ratio_M+Cl'!AC93),AI132/'Ratio_M+Cl'!AC125,IF(OR(AI132="N/A",AI164="N/A"),"N/A",""))</f>
        <v/>
      </c>
      <c r="AK69" s="160" t="s">
        <v>338</v>
      </c>
      <c r="AL69" s="177" t="str">
        <f t="shared" si="2"/>
        <v/>
      </c>
      <c r="AM69" s="177">
        <f t="shared" si="2"/>
        <v>0.12994229662730405</v>
      </c>
      <c r="AN69" s="177">
        <f t="shared" si="2"/>
        <v>0.31259612960113103</v>
      </c>
      <c r="AO69" s="177">
        <f t="shared" si="2"/>
        <v>0.44757083033240658</v>
      </c>
      <c r="AP69" s="177">
        <f t="shared" si="2"/>
        <v>0.49678438789057472</v>
      </c>
      <c r="AQ69" s="177">
        <f t="shared" si="2"/>
        <v>0.43306132903326477</v>
      </c>
      <c r="AR69" s="177">
        <f t="shared" si="2"/>
        <v>0.27291872667763339</v>
      </c>
      <c r="AS69" s="177">
        <f t="shared" si="2"/>
        <v>0.13343907528903759</v>
      </c>
      <c r="AT69" s="177">
        <f t="shared" si="2"/>
        <v>2.3641714634151149E-2</v>
      </c>
      <c r="AU69" s="177" t="str">
        <f t="shared" si="2"/>
        <v/>
      </c>
      <c r="AV69" s="177" t="str">
        <f t="shared" si="2"/>
        <v/>
      </c>
      <c r="AW69" s="177" t="str">
        <f t="shared" si="2"/>
        <v/>
      </c>
      <c r="AX69" s="177" t="str">
        <f t="shared" si="2"/>
        <v/>
      </c>
      <c r="AY69" s="177" t="str">
        <f t="shared" si="2"/>
        <v/>
      </c>
      <c r="AZ69" s="177" t="str">
        <f t="shared" si="2"/>
        <v/>
      </c>
      <c r="BA69" s="177" t="str">
        <f t="shared" si="2"/>
        <v/>
      </c>
      <c r="BB69" s="177" t="str">
        <f t="shared" si="3"/>
        <v/>
      </c>
      <c r="BC69" s="177" t="str">
        <f t="shared" si="3"/>
        <v/>
      </c>
      <c r="BD69" s="177" t="str">
        <f t="shared" si="3"/>
        <v/>
      </c>
      <c r="BE69" s="177" t="str">
        <f t="shared" si="3"/>
        <v/>
      </c>
      <c r="BF69" s="177" t="str">
        <f t="shared" si="3"/>
        <v/>
      </c>
      <c r="BG69" s="177" t="str">
        <f t="shared" si="3"/>
        <v/>
      </c>
      <c r="BH69" s="177" t="str">
        <f t="shared" si="3"/>
        <v/>
      </c>
      <c r="BI69" s="177">
        <f t="shared" si="3"/>
        <v>0.11433132631085906</v>
      </c>
      <c r="BJ69" s="177">
        <f t="shared" si="3"/>
        <v>0.28642669133915777</v>
      </c>
      <c r="BK69" s="177" t="str">
        <f t="shared" si="3"/>
        <v/>
      </c>
      <c r="BL69" s="177" t="str">
        <f t="shared" si="3"/>
        <v/>
      </c>
    </row>
    <row r="70" spans="1:64" ht="15.75" x14ac:dyDescent="0.3">
      <c r="A70" s="150">
        <v>65</v>
      </c>
      <c r="B70" s="10" t="s">
        <v>1101</v>
      </c>
      <c r="C70">
        <v>148667976.00608101</v>
      </c>
      <c r="E70" s="10" t="s">
        <v>381</v>
      </c>
      <c r="F70" s="151">
        <f>IF(ISNUMBER(P49),P49/SUM($I$43:$AI$71),0)</f>
        <v>6.7139576800205056E-3</v>
      </c>
      <c r="H70" s="160" t="s">
        <v>339</v>
      </c>
      <c r="I70" s="189" t="str">
        <f>IF(AND(ISNUMBER(I101),I101&gt;0.8*'Ratio_M+Cl'!C94,I101&lt;1.2*'Ratio_M+Cl'!C94),I133/'Ratio_M+Cl'!C126,IF(OR(I133="N/A",I165="N/A"),"N/A",""))</f>
        <v/>
      </c>
      <c r="J70" s="186">
        <f>IF(AND(ISNUMBER(J101),J101&gt;0.8*'Ratio_M+Cl'!D94,J101&lt;1.2*'Ratio_M+Cl'!D94),J133/'Ratio_M+Cl'!D126,IF(OR(J133="N/A",J165="N/A"),"N/A",""))</f>
        <v>32.741994607756979</v>
      </c>
      <c r="K70" s="186">
        <f>IF(AND(ISNUMBER(K101),K101&gt;0.8*'Ratio_M+Cl'!E94,K101&lt;1.2*'Ratio_M+Cl'!E94),K133/'Ratio_M+Cl'!E126,IF(OR(K133="N/A",K165="N/A"),"N/A",""))</f>
        <v>80.879314900414229</v>
      </c>
      <c r="L70" s="186">
        <f>IF(AND(ISNUMBER(L101),L101&gt;0.8*'Ratio_M+Cl'!F94,L101&lt;1.2*'Ratio_M+Cl'!F94),L133/'Ratio_M+Cl'!F126,IF(OR(L133="N/A",L165="N/A"),"N/A",""))</f>
        <v>120.12255510612633</v>
      </c>
      <c r="M70" s="186">
        <f>IF(AND(ISNUMBER(M101),M101&gt;0.8*'Ratio_M+Cl'!G94,M101&lt;1.2*'Ratio_M+Cl'!G94),M133/'Ratio_M+Cl'!G126,IF(OR(M133="N/A",M165="N/A"),"N/A",""))</f>
        <v>133.8935539255321</v>
      </c>
      <c r="N70" s="186">
        <f>IF(AND(ISNUMBER(N101),N101&gt;0.8*'Ratio_M+Cl'!H94,N101&lt;1.2*'Ratio_M+Cl'!H94),N133/'Ratio_M+Cl'!H126,IF(OR(N133="N/A",N165="N/A"),"N/A",""))</f>
        <v>107.62222647668989</v>
      </c>
      <c r="O70" s="186">
        <f>IF(AND(ISNUMBER(O101),O101&gt;0.8*'Ratio_M+Cl'!I94,O101&lt;1.2*'Ratio_M+Cl'!I94),O133/'Ratio_M+Cl'!I126,IF(OR(O133="N/A",O165="N/A"),"N/A",""))</f>
        <v>73.161788134630811</v>
      </c>
      <c r="P70" s="186">
        <f>IF(AND(ISNUMBER(P101),P101&gt;0.8*'Ratio_M+Cl'!J94,P101&lt;1.2*'Ratio_M+Cl'!J94),P133/'Ratio_M+Cl'!J126,IF(OR(P133="N/A",P165="N/A"),"N/A",""))</f>
        <v>27.289124861011949</v>
      </c>
      <c r="Q70" s="186" t="str">
        <f>IF(AND(ISNUMBER(Q101),Q101&gt;0.8*'Ratio_M+Cl'!K94,Q101&lt;1.2*'Ratio_M+Cl'!K94),Q133/'Ratio_M+Cl'!K126,IF(OR(Q133="N/A",Q165="N/A"),"N/A",""))</f>
        <v/>
      </c>
      <c r="R70" s="186" t="str">
        <f>IF(AND(ISNUMBER(R101),R101&gt;0.8*'Ratio_M+Cl'!L94,R101&lt;1.2*'Ratio_M+Cl'!L94),R133/'Ratio_M+Cl'!L126,IF(OR(R133="N/A",R165="N/A"),"N/A",""))</f>
        <v/>
      </c>
      <c r="S70" s="186" t="str">
        <f>IF(AND(ISNUMBER(S101),S101&gt;0.8*'Ratio_M+Cl'!M94,S101&lt;1.2*'Ratio_M+Cl'!M94),S133/'Ratio_M+Cl'!M126,IF(OR(S133="N/A",S165="N/A"),"N/A",""))</f>
        <v/>
      </c>
      <c r="T70" s="186" t="str">
        <f>IF(AND(ISNUMBER(T101),T101&gt;0.8*'Ratio_M+Cl'!N94,T101&lt;1.2*'Ratio_M+Cl'!N94),T133/'Ratio_M+Cl'!N126,IF(OR(T133="N/A",T165="N/A"),"N/A",""))</f>
        <v/>
      </c>
      <c r="U70" s="186" t="str">
        <f>IF(AND(ISNUMBER(U101),U101&gt;0.8*'Ratio_M+Cl'!O94,U101&lt;1.2*'Ratio_M+Cl'!O94),U133/'Ratio_M+Cl'!O126,IF(OR(U133="N/A",U165="N/A"),"N/A",""))</f>
        <v/>
      </c>
      <c r="V70" s="186" t="str">
        <f>IF(AND(ISNUMBER(V101),V101&gt;0.8*'Ratio_M+Cl'!P94,V101&lt;1.2*'Ratio_M+Cl'!P94),V133/'Ratio_M+Cl'!P126,IF(OR(V133="N/A",V165="N/A"),"N/A",""))</f>
        <v/>
      </c>
      <c r="W70" s="186" t="str">
        <f>IF(AND(ISNUMBER(W101),W101&gt;0.8*'Ratio_M+Cl'!Q94,W101&lt;1.2*'Ratio_M+Cl'!Q94),W133/'Ratio_M+Cl'!Q126,IF(OR(W133="N/A",W165="N/A"),"N/A",""))</f>
        <v/>
      </c>
      <c r="X70" s="183" t="str">
        <f>IF(AND(ISNUMBER(X101),X101&gt;0.8*'Ratio_M+Cl'!R94,X101&lt;1.2*'Ratio_M+Cl'!R94),X133/'Ratio_M+Cl'!R126,IF(OR(X133="N/A",X165="N/A"),"N/A",""))</f>
        <v/>
      </c>
      <c r="Y70" s="183" t="str">
        <f>IF(AND(ISNUMBER(Y101),Y101&gt;0.8*'Ratio_M+Cl'!S94,Y101&lt;1.2*'Ratio_M+Cl'!S94),Y133/'Ratio_M+Cl'!S126,IF(OR(Y133="N/A",Y165="N/A"),"N/A",""))</f>
        <v/>
      </c>
      <c r="Z70" s="183" t="str">
        <f>IF(AND(ISNUMBER(Z101),Z101&gt;0.8*'Ratio_M+Cl'!T94,Z101&lt;1.2*'Ratio_M+Cl'!T94),Z133/'Ratio_M+Cl'!T126,IF(OR(Z133="N/A",Z165="N/A"),"N/A",""))</f>
        <v/>
      </c>
      <c r="AA70" s="183" t="str">
        <f>IF(AND(ISNUMBER(AA101),AA101&gt;0.8*'Ratio_M+Cl'!U94,AA101&lt;1.2*'Ratio_M+Cl'!U94),AA133/'Ratio_M+Cl'!U126,IF(OR(AA133="N/A",AA165="N/A"),"N/A",""))</f>
        <v/>
      </c>
      <c r="AB70" s="183" t="str">
        <f>IF(AND(ISNUMBER(AB101),AB101&gt;0.8*'Ratio_M+Cl'!V94,AB101&lt;1.2*'Ratio_M+Cl'!V94),AB133/'Ratio_M+Cl'!V126,IF(OR(AB133="N/A",AB165="N/A"),"N/A",""))</f>
        <v/>
      </c>
      <c r="AC70" s="183" t="str">
        <f>IF(AND(ISNUMBER(AC101),AC101&gt;0.8*'Ratio_M+Cl'!W94,AC101&lt;1.2*'Ratio_M+Cl'!W94),AC133/'Ratio_M+Cl'!W126,IF(OR(AC133="N/A",AC165="N/A"),"N/A",""))</f>
        <v/>
      </c>
      <c r="AD70" s="183" t="str">
        <f>IF(AND(ISNUMBER(AD101),AD101&gt;0.8*'Ratio_M+Cl'!X94,AD101&lt;1.2*'Ratio_M+Cl'!X94),AD133/'Ratio_M+Cl'!X126,IF(OR(AD133="N/A",AD165="N/A"),"N/A",""))</f>
        <v/>
      </c>
      <c r="AE70" s="183" t="str">
        <f>IF(AND(ISNUMBER(AE101),AE101&gt;0.8*'Ratio_M+Cl'!Y94,AE101&lt;1.2*'Ratio_M+Cl'!Y94),AE133/'Ratio_M+Cl'!Y126,IF(OR(AE133="N/A",AE165="N/A"),"N/A",""))</f>
        <v/>
      </c>
      <c r="AF70" s="183" t="str">
        <f>IF(AND(ISNUMBER(AF101),AF101&gt;0.8*'Ratio_M+Cl'!Z94,AF101&lt;1.2*'Ratio_M+Cl'!Z94),AF133/'Ratio_M+Cl'!Z126,IF(OR(AF133="N/A",AF165="N/A"),"N/A",""))</f>
        <v/>
      </c>
      <c r="AG70" s="183" t="str">
        <f>IF(AND(ISNUMBER(AG101),AG101&gt;0.8*'Ratio_M+Cl'!AA94,AG101&lt;1.2*'Ratio_M+Cl'!AA94),AG133/'Ratio_M+Cl'!AA126,IF(OR(AG133="N/A",AG165="N/A"),"N/A",""))</f>
        <v/>
      </c>
      <c r="AH70" s="183" t="str">
        <f>IF(AND(ISNUMBER(AH101),AH101&gt;0.8*'Ratio_M+Cl'!AB94,AH101&lt;1.2*'Ratio_M+Cl'!AB94),AH133/'Ratio_M+Cl'!AB126,IF(OR(AH133="N/A",AH165="N/A"),"N/A",""))</f>
        <v/>
      </c>
      <c r="AI70" s="188" t="str">
        <f>IF(AND(ISNUMBER(AI101),AI101&gt;0.8*'Ratio_M+Cl'!AC94,AI101&lt;1.2*'Ratio_M+Cl'!AC94),AI133/'Ratio_M+Cl'!AC126,IF(OR(AI133="N/A",AI165="N/A"),"N/A",""))</f>
        <v/>
      </c>
      <c r="AK70" s="160" t="s">
        <v>339</v>
      </c>
      <c r="AL70" s="177" t="str">
        <f t="shared" si="2"/>
        <v/>
      </c>
      <c r="AM70" s="177">
        <f t="shared" si="2"/>
        <v>8.0878221546477863E-2</v>
      </c>
      <c r="AN70" s="177">
        <f t="shared" si="2"/>
        <v>0.19978548122701476</v>
      </c>
      <c r="AO70" s="177">
        <f t="shared" si="2"/>
        <v>0.29672287046008516</v>
      </c>
      <c r="AP70" s="177">
        <f t="shared" si="2"/>
        <v>0.33073954863668953</v>
      </c>
      <c r="AQ70" s="177">
        <f t="shared" si="2"/>
        <v>0.265844960900604</v>
      </c>
      <c r="AR70" s="177">
        <f t="shared" si="2"/>
        <v>0.18072189493572546</v>
      </c>
      <c r="AS70" s="177">
        <f t="shared" si="2"/>
        <v>6.7408718154132657E-2</v>
      </c>
      <c r="AT70" s="177" t="str">
        <f t="shared" si="2"/>
        <v/>
      </c>
      <c r="AU70" s="177" t="str">
        <f t="shared" si="2"/>
        <v/>
      </c>
      <c r="AV70" s="177" t="str">
        <f t="shared" si="2"/>
        <v/>
      </c>
      <c r="AW70" s="177" t="str">
        <f t="shared" si="2"/>
        <v/>
      </c>
      <c r="AX70" s="177" t="str">
        <f t="shared" si="2"/>
        <v/>
      </c>
      <c r="AY70" s="177" t="str">
        <f t="shared" si="2"/>
        <v/>
      </c>
      <c r="AZ70" s="177" t="str">
        <f t="shared" si="2"/>
        <v/>
      </c>
      <c r="BA70" s="177" t="str">
        <f t="shared" si="2"/>
        <v/>
      </c>
      <c r="BB70" s="177" t="str">
        <f t="shared" si="3"/>
        <v/>
      </c>
      <c r="BC70" s="177" t="str">
        <f t="shared" si="3"/>
        <v/>
      </c>
      <c r="BD70" s="177" t="str">
        <f t="shared" si="3"/>
        <v/>
      </c>
      <c r="BE70" s="177" t="str">
        <f t="shared" si="3"/>
        <v/>
      </c>
      <c r="BF70" s="177" t="str">
        <f t="shared" si="3"/>
        <v/>
      </c>
      <c r="BG70" s="177" t="str">
        <f t="shared" si="3"/>
        <v/>
      </c>
      <c r="BH70" s="177" t="str">
        <f t="shared" si="3"/>
        <v/>
      </c>
      <c r="BI70" s="177" t="str">
        <f t="shared" si="3"/>
        <v/>
      </c>
      <c r="BJ70" s="177" t="str">
        <f t="shared" si="3"/>
        <v/>
      </c>
      <c r="BK70" s="177" t="str">
        <f t="shared" si="3"/>
        <v/>
      </c>
      <c r="BL70" s="177" t="str">
        <f t="shared" si="3"/>
        <v/>
      </c>
    </row>
    <row r="71" spans="1:64" ht="15.75" x14ac:dyDescent="0.3">
      <c r="A71" s="150">
        <v>66</v>
      </c>
      <c r="B71" s="10" t="s">
        <v>1102</v>
      </c>
      <c r="C71">
        <v>126995583.985413</v>
      </c>
      <c r="E71" s="10" t="s">
        <v>382</v>
      </c>
      <c r="F71" s="151">
        <f>IF(ISNUMBER(Q49),Q49/SUM($I$43:$AI$71),0)</f>
        <v>1.9263064238430161E-2</v>
      </c>
      <c r="H71" s="161" t="s">
        <v>340</v>
      </c>
      <c r="I71" s="190" t="str">
        <f>IF(AND(ISNUMBER(I102),I102&gt;0.8*'Ratio_M+Cl'!C95,I102&lt;1.2*'Ratio_M+Cl'!C95),I134/'Ratio_M+Cl'!C127,IF(OR(I134="N/A",I166="N/A"),"N/A",""))</f>
        <v/>
      </c>
      <c r="J71" s="191" t="str">
        <f>IF(AND(ISNUMBER(J102),J102&gt;0.8*'Ratio_M+Cl'!D95,J102&lt;1.2*'Ratio_M+Cl'!D95),J134/'Ratio_M+Cl'!D127,IF(OR(J134="N/A",J166="N/A"),"N/A",""))</f>
        <v/>
      </c>
      <c r="K71" s="191">
        <f>IF(AND(ISNUMBER(K102),K102&gt;0.8*'Ratio_M+Cl'!E95,K102&lt;1.2*'Ratio_M+Cl'!E95),K134/'Ratio_M+Cl'!E127,IF(OR(K134="N/A",K166="N/A"),"N/A",""))</f>
        <v>51.934528682555587</v>
      </c>
      <c r="L71" s="191">
        <f>IF(AND(ISNUMBER(L102),L102&gt;0.8*'Ratio_M+Cl'!F95,L102&lt;1.2*'Ratio_M+Cl'!F95),L134/'Ratio_M+Cl'!F127,IF(OR(L134="N/A",L166="N/A"),"N/A",""))</f>
        <v>74.248619753666574</v>
      </c>
      <c r="M71" s="191">
        <f>IF(AND(ISNUMBER(M102),M102&gt;0.8*'Ratio_M+Cl'!G95,M102&lt;1.2*'Ratio_M+Cl'!G95),M134/'Ratio_M+Cl'!G127,IF(OR(M134="N/A",M166="N/A"),"N/A",""))</f>
        <v>83.897175852115268</v>
      </c>
      <c r="N71" s="191">
        <f>IF(AND(ISNUMBER(N102),N102&gt;0.8*'Ratio_M+Cl'!H95,N102&lt;1.2*'Ratio_M+Cl'!H95),N134/'Ratio_M+Cl'!H127,IF(OR(N134="N/A",N166="N/A"),"N/A",""))</f>
        <v>68.600136864839868</v>
      </c>
      <c r="O71" s="191">
        <f>IF(AND(ISNUMBER(O102),O102&gt;0.8*'Ratio_M+Cl'!I95,O102&lt;1.2*'Ratio_M+Cl'!I95),O134/'Ratio_M+Cl'!I127,IF(OR(O134="N/A",O166="N/A"),"N/A",""))</f>
        <v>39.356863850547683</v>
      </c>
      <c r="P71" s="191">
        <f>IF(AND(ISNUMBER(P102),P102&gt;0.8*'Ratio_M+Cl'!J95,P102&lt;1.2*'Ratio_M+Cl'!J95),P134/'Ratio_M+Cl'!J127,IF(OR(P134="N/A",P166="N/A"),"N/A",""))</f>
        <v>14.358968825735683</v>
      </c>
      <c r="Q71" s="191" t="str">
        <f>IF(AND(ISNUMBER(Q102),Q102&gt;0.8*'Ratio_M+Cl'!K95,Q102&lt;1.2*'Ratio_M+Cl'!K95),Q134/'Ratio_M+Cl'!K127,IF(OR(Q134="N/A",Q166="N/A"),"N/A",""))</f>
        <v/>
      </c>
      <c r="R71" s="191" t="str">
        <f>IF(AND(ISNUMBER(R102),R102&gt;0.8*'Ratio_M+Cl'!L95,R102&lt;1.2*'Ratio_M+Cl'!L95),R134/'Ratio_M+Cl'!L127,IF(OR(R134="N/A",R166="N/A"),"N/A",""))</f>
        <v/>
      </c>
      <c r="S71" s="191" t="str">
        <f>IF(AND(ISNUMBER(S102),S102&gt;0.8*'Ratio_M+Cl'!M95,S102&lt;1.2*'Ratio_M+Cl'!M95),S134/'Ratio_M+Cl'!M127,IF(OR(S134="N/A",S166="N/A"),"N/A",""))</f>
        <v/>
      </c>
      <c r="T71" s="191" t="str">
        <f>IF(AND(ISNUMBER(T102),T102&gt;0.8*'Ratio_M+Cl'!N95,T102&lt;1.2*'Ratio_M+Cl'!N95),T134/'Ratio_M+Cl'!N127,IF(OR(T134="N/A",T166="N/A"),"N/A",""))</f>
        <v/>
      </c>
      <c r="U71" s="191" t="str">
        <f>IF(AND(ISNUMBER(U102),U102&gt;0.8*'Ratio_M+Cl'!O95,U102&lt;1.2*'Ratio_M+Cl'!O95),U134/'Ratio_M+Cl'!O127,IF(OR(U134="N/A",U166="N/A"),"N/A",""))</f>
        <v/>
      </c>
      <c r="V71" s="191" t="str">
        <f>IF(AND(ISNUMBER(V102),V102&gt;0.8*'Ratio_M+Cl'!P95,V102&lt;1.2*'Ratio_M+Cl'!P95),V134/'Ratio_M+Cl'!P127,IF(OR(V134="N/A",V166="N/A"),"N/A",""))</f>
        <v/>
      </c>
      <c r="W71" s="191" t="str">
        <f>IF(AND(ISNUMBER(W102),W102&gt;0.8*'Ratio_M+Cl'!Q95,W102&lt;1.2*'Ratio_M+Cl'!Q95),W134/'Ratio_M+Cl'!Q127,IF(OR(W134="N/A",W166="N/A"),"N/A",""))</f>
        <v/>
      </c>
      <c r="X71" s="192" t="str">
        <f>IF(AND(ISNUMBER(X102),X102&gt;0.8*'Ratio_M+Cl'!R95,X102&lt;1.2*'Ratio_M+Cl'!R95),X134/'Ratio_M+Cl'!R127,IF(OR(X134="N/A",X166="N/A"),"N/A",""))</f>
        <v/>
      </c>
      <c r="Y71" s="192" t="str">
        <f>IF(AND(ISNUMBER(Y102),Y102&gt;0.8*'Ratio_M+Cl'!S95,Y102&lt;1.2*'Ratio_M+Cl'!S95),Y134/'Ratio_M+Cl'!S127,IF(OR(Y134="N/A",Y166="N/A"),"N/A",""))</f>
        <v/>
      </c>
      <c r="Z71" s="192" t="str">
        <f>IF(AND(ISNUMBER(Z102),Z102&gt;0.8*'Ratio_M+Cl'!T95,Z102&lt;1.2*'Ratio_M+Cl'!T95),Z134/'Ratio_M+Cl'!T127,IF(OR(Z134="N/A",Z166="N/A"),"N/A",""))</f>
        <v/>
      </c>
      <c r="AA71" s="192" t="str">
        <f>IF(AND(ISNUMBER(AA102),AA102&gt;0.8*'Ratio_M+Cl'!U95,AA102&lt;1.2*'Ratio_M+Cl'!U95),AA134/'Ratio_M+Cl'!U127,IF(OR(AA134="N/A",AA166="N/A"),"N/A",""))</f>
        <v/>
      </c>
      <c r="AB71" s="192" t="str">
        <f>IF(AND(ISNUMBER(AB102),AB102&gt;0.8*'Ratio_M+Cl'!V95,AB102&lt;1.2*'Ratio_M+Cl'!V95),AB134/'Ratio_M+Cl'!V127,IF(OR(AB134="N/A",AB166="N/A"),"N/A",""))</f>
        <v/>
      </c>
      <c r="AC71" s="192" t="str">
        <f>IF(AND(ISNUMBER(AC102),AC102&gt;0.8*'Ratio_M+Cl'!W95,AC102&lt;1.2*'Ratio_M+Cl'!W95),AC134/'Ratio_M+Cl'!W127,IF(OR(AC134="N/A",AC166="N/A"),"N/A",""))</f>
        <v/>
      </c>
      <c r="AD71" s="192" t="str">
        <f>IF(AND(ISNUMBER(AD102),AD102&gt;0.8*'Ratio_M+Cl'!X95,AD102&lt;1.2*'Ratio_M+Cl'!X95),AD134/'Ratio_M+Cl'!X127,IF(OR(AD134="N/A",AD166="N/A"),"N/A",""))</f>
        <v/>
      </c>
      <c r="AE71" s="192" t="str">
        <f>IF(AND(ISNUMBER(AE102),AE102&gt;0.8*'Ratio_M+Cl'!Y95,AE102&lt;1.2*'Ratio_M+Cl'!Y95),AE134/'Ratio_M+Cl'!Y127,IF(OR(AE134="N/A",AE166="N/A"),"N/A",""))</f>
        <v/>
      </c>
      <c r="AF71" s="192" t="str">
        <f>IF(AND(ISNUMBER(AF102),AF102&gt;0.8*'Ratio_M+Cl'!Z95,AF102&lt;1.2*'Ratio_M+Cl'!Z95),AF134/'Ratio_M+Cl'!Z127,IF(OR(AF134="N/A",AF166="N/A"),"N/A",""))</f>
        <v/>
      </c>
      <c r="AG71" s="192" t="str">
        <f>IF(AND(ISNUMBER(AG102),AG102&gt;0.8*'Ratio_M+Cl'!AA95,AG102&lt;1.2*'Ratio_M+Cl'!AA95),AG134/'Ratio_M+Cl'!AA127,IF(OR(AG134="N/A",AG166="N/A"),"N/A",""))</f>
        <v/>
      </c>
      <c r="AH71" s="192" t="str">
        <f>IF(AND(ISNUMBER(AH102),AH102&gt;0.8*'Ratio_M+Cl'!AB95,AH102&lt;1.2*'Ratio_M+Cl'!AB95),AH134/'Ratio_M+Cl'!AB127,IF(OR(AH134="N/A",AH166="N/A"),"N/A",""))</f>
        <v/>
      </c>
      <c r="AI71" s="193" t="str">
        <f>IF(AND(ISNUMBER(AI102),AI102&gt;0.8*'Ratio_M+Cl'!AC95,AI102&lt;1.2*'Ratio_M+Cl'!AC95),AI134/'Ratio_M+Cl'!AC127,IF(OR(AI134="N/A",AI166="N/A"),"N/A",""))</f>
        <v/>
      </c>
      <c r="AK71" s="161" t="s">
        <v>340</v>
      </c>
      <c r="AL71" s="177" t="str">
        <f t="shared" ref="AL71:BL71" si="4">IF(ISNUMBER(I71),I71*10^6/AF31,"")</f>
        <v/>
      </c>
      <c r="AM71" s="177" t="str">
        <f t="shared" si="4"/>
        <v/>
      </c>
      <c r="AN71" s="177" t="e">
        <f t="shared" si="4"/>
        <v>#DIV/0!</v>
      </c>
      <c r="AO71" s="177" t="e">
        <f t="shared" si="4"/>
        <v>#DIV/0!</v>
      </c>
      <c r="AP71" s="177" t="e">
        <f t="shared" si="4"/>
        <v>#DIV/0!</v>
      </c>
      <c r="AQ71" s="177" t="e">
        <f t="shared" si="4"/>
        <v>#DIV/0!</v>
      </c>
      <c r="AR71" s="177" t="e">
        <f t="shared" si="4"/>
        <v>#DIV/0!</v>
      </c>
      <c r="AS71" s="177" t="e">
        <f t="shared" si="4"/>
        <v>#DIV/0!</v>
      </c>
      <c r="AT71" s="177" t="str">
        <f t="shared" si="4"/>
        <v/>
      </c>
      <c r="AU71" s="177" t="str">
        <f t="shared" si="4"/>
        <v/>
      </c>
      <c r="AV71" s="177" t="str">
        <f t="shared" si="4"/>
        <v/>
      </c>
      <c r="AW71" s="177" t="str">
        <f t="shared" si="4"/>
        <v/>
      </c>
      <c r="AX71" s="177" t="str">
        <f t="shared" si="4"/>
        <v/>
      </c>
      <c r="AY71" s="177" t="str">
        <f t="shared" si="4"/>
        <v/>
      </c>
      <c r="AZ71" s="177" t="str">
        <f t="shared" si="4"/>
        <v/>
      </c>
      <c r="BA71" s="177" t="str">
        <f t="shared" si="4"/>
        <v/>
      </c>
      <c r="BB71" s="177" t="str">
        <f t="shared" si="4"/>
        <v/>
      </c>
      <c r="BC71" s="177" t="str">
        <f t="shared" si="4"/>
        <v/>
      </c>
      <c r="BD71" s="177" t="str">
        <f t="shared" si="4"/>
        <v/>
      </c>
      <c r="BE71" s="177" t="str">
        <f t="shared" si="4"/>
        <v/>
      </c>
      <c r="BF71" s="177" t="str">
        <f t="shared" si="4"/>
        <v/>
      </c>
      <c r="BG71" s="177" t="str">
        <f t="shared" si="4"/>
        <v/>
      </c>
      <c r="BH71" s="177" t="str">
        <f t="shared" si="4"/>
        <v/>
      </c>
      <c r="BI71" s="177" t="str">
        <f t="shared" si="4"/>
        <v/>
      </c>
      <c r="BJ71" s="177" t="str">
        <f t="shared" si="4"/>
        <v/>
      </c>
      <c r="BK71" s="177" t="str">
        <f t="shared" si="4"/>
        <v/>
      </c>
      <c r="BL71" s="177" t="str">
        <f t="shared" si="4"/>
        <v/>
      </c>
    </row>
    <row r="72" spans="1:64" x14ac:dyDescent="0.25">
      <c r="A72" s="150">
        <v>67</v>
      </c>
      <c r="B72" s="10" t="s">
        <v>1103</v>
      </c>
      <c r="C72">
        <v>12759159.0854373</v>
      </c>
      <c r="E72" s="10" t="s">
        <v>500</v>
      </c>
      <c r="F72" s="151">
        <f>IF(ISNUMBER(R49),R49/SUM($I$43:$AI$71),0)</f>
        <v>2.2680830061563465E-2</v>
      </c>
      <c r="AD72" s="237" t="s">
        <v>1822</v>
      </c>
      <c r="AE72" s="239">
        <f>AE136/AE104*100</f>
        <v>83.17346782175116</v>
      </c>
      <c r="AG72" s="237" t="s">
        <v>1819</v>
      </c>
      <c r="AH72" s="239">
        <f>AH136/AH104*100</f>
        <v>89.663708432383046</v>
      </c>
    </row>
    <row r="73" spans="1:64" ht="15.75" x14ac:dyDescent="0.3">
      <c r="A73" s="150">
        <v>68</v>
      </c>
      <c r="B73" s="10" t="s">
        <v>1104</v>
      </c>
      <c r="C73">
        <v>9744360.8081479091</v>
      </c>
      <c r="E73" s="10" t="s">
        <v>501</v>
      </c>
      <c r="F73" s="151">
        <f>IF(ISNUMBER(S49),S49/SUM($I$43:$AI$71),0)</f>
        <v>1.1108155102298569E-2</v>
      </c>
      <c r="H73" s="146" t="s">
        <v>327</v>
      </c>
      <c r="I73" s="154" t="s">
        <v>1012</v>
      </c>
      <c r="J73" s="155" t="s">
        <v>322</v>
      </c>
      <c r="K73" s="155" t="s">
        <v>323</v>
      </c>
      <c r="L73" s="155" t="s">
        <v>324</v>
      </c>
      <c r="M73" s="156" t="s">
        <v>325</v>
      </c>
      <c r="N73" s="155" t="s">
        <v>326</v>
      </c>
      <c r="O73" s="155" t="s">
        <v>2</v>
      </c>
      <c r="P73" s="155" t="s">
        <v>3</v>
      </c>
      <c r="Q73" s="155" t="s">
        <v>4</v>
      </c>
      <c r="R73" s="155" t="s">
        <v>5</v>
      </c>
      <c r="S73" s="155" t="s">
        <v>6</v>
      </c>
      <c r="T73" s="155" t="s">
        <v>7</v>
      </c>
      <c r="U73" s="155" t="s">
        <v>8</v>
      </c>
      <c r="V73" s="155" t="s">
        <v>1016</v>
      </c>
      <c r="W73" s="155" t="s">
        <v>1017</v>
      </c>
      <c r="X73" s="155" t="s">
        <v>1018</v>
      </c>
      <c r="Y73" s="155" t="s">
        <v>1074</v>
      </c>
      <c r="Z73" s="155" t="s">
        <v>1075</v>
      </c>
      <c r="AA73" s="155" t="s">
        <v>1076</v>
      </c>
      <c r="AB73" s="155" t="s">
        <v>1077</v>
      </c>
      <c r="AC73" s="155" t="s">
        <v>1078</v>
      </c>
      <c r="AD73" s="155" t="s">
        <v>1079</v>
      </c>
      <c r="AE73" s="155" t="s">
        <v>1080</v>
      </c>
      <c r="AF73" s="155" t="s">
        <v>1081</v>
      </c>
      <c r="AG73" s="155" t="s">
        <v>1082</v>
      </c>
      <c r="AH73" s="155" t="s">
        <v>1083</v>
      </c>
      <c r="AI73" s="157" t="s">
        <v>1084</v>
      </c>
    </row>
    <row r="74" spans="1:64" ht="15.75" x14ac:dyDescent="0.3">
      <c r="A74" s="150">
        <v>69</v>
      </c>
      <c r="B74" s="10" t="s">
        <v>679</v>
      </c>
      <c r="C74">
        <v>267244.41597265803</v>
      </c>
      <c r="E74" s="10" t="s">
        <v>1571</v>
      </c>
      <c r="F74" s="151">
        <f>IF(ISNUMBER(T49),T49/SUM($I$43:$AI$71),0)</f>
        <v>2.1363135035854484E-3</v>
      </c>
      <c r="H74" s="158" t="s">
        <v>1011</v>
      </c>
      <c r="I74" s="50" t="str">
        <f t="shared" ref="I74:X89" si="5">IF(ISNUMBER(IF(ISNUMBER(I138),IF(AND(1000000*I106&gt;$J$2,1000000*I138&gt;$J$2),I138,""),"")/IF(ISNUMBER(I106),IF(AND(1000000*I106&gt;$J$2,1000000*I138&gt;$J$2),I106,""),"")),100*I138/I106,"")</f>
        <v/>
      </c>
      <c r="J74" s="1" t="str">
        <f t="shared" si="5"/>
        <v/>
      </c>
      <c r="K74" s="1" t="str">
        <f t="shared" si="5"/>
        <v/>
      </c>
      <c r="L74" s="1" t="str">
        <f t="shared" si="5"/>
        <v/>
      </c>
      <c r="M74" s="29" t="str">
        <f t="shared" si="5"/>
        <v/>
      </c>
      <c r="N74" s="1" t="str">
        <f t="shared" si="5"/>
        <v/>
      </c>
      <c r="O74" s="145" t="str">
        <f t="shared" si="5"/>
        <v/>
      </c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</row>
    <row r="75" spans="1:64" ht="15.75" x14ac:dyDescent="0.3">
      <c r="A75" s="150">
        <v>70</v>
      </c>
      <c r="B75" s="10" t="s">
        <v>680</v>
      </c>
      <c r="C75">
        <v>225586.87970507899</v>
      </c>
      <c r="E75" s="10" t="s">
        <v>1572</v>
      </c>
      <c r="F75" s="151">
        <f>IF(ISNUMBER(U49),U49/SUM($I$43:$AI$71),0)</f>
        <v>1.2106010406610386E-4</v>
      </c>
      <c r="H75" s="159" t="s">
        <v>321</v>
      </c>
      <c r="I75" s="32" t="str">
        <f t="shared" si="5"/>
        <v/>
      </c>
      <c r="J75" s="15" t="str">
        <f t="shared" si="5"/>
        <v/>
      </c>
      <c r="K75" s="15" t="str">
        <f t="shared" si="5"/>
        <v/>
      </c>
      <c r="L75" s="15" t="str">
        <f t="shared" si="5"/>
        <v/>
      </c>
      <c r="M75" s="15">
        <f t="shared" si="5"/>
        <v>46.368156710178674</v>
      </c>
      <c r="N75" s="30">
        <f t="shared" si="5"/>
        <v>67.222636513762481</v>
      </c>
      <c r="O75" s="31" t="str">
        <f t="shared" si="5"/>
        <v/>
      </c>
      <c r="P75" s="144" t="str">
        <f t="shared" si="5"/>
        <v/>
      </c>
      <c r="Q75" s="1"/>
      <c r="R75" s="1"/>
      <c r="S75" s="1"/>
      <c r="T75" s="1"/>
      <c r="U75" s="1"/>
      <c r="V75" s="1"/>
      <c r="W75" s="1"/>
      <c r="X75" s="3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</row>
    <row r="76" spans="1:64" ht="15.75" x14ac:dyDescent="0.3">
      <c r="A76" s="150">
        <v>71</v>
      </c>
      <c r="B76" s="10" t="s">
        <v>61</v>
      </c>
      <c r="C76">
        <v>210590881.68859899</v>
      </c>
      <c r="E76" s="10" t="s">
        <v>502</v>
      </c>
      <c r="F76" s="151">
        <f>IF(ISNUMBER(I50),I50/SUM($I$43:$AI$71),0)</f>
        <v>2.1549601595829512E-4</v>
      </c>
      <c r="H76" s="160" t="s">
        <v>10</v>
      </c>
      <c r="I76" s="37" t="str">
        <f t="shared" si="5"/>
        <v/>
      </c>
      <c r="J76" s="1">
        <f>IF(ISNUMBER(IF(ISNUMBER(J140),IF(AND(1000000*J108&gt;$J$2,1000000*J140&gt;$J$2),J140,""),"")/IF(ISNUMBER(J108),IF(AND(1000000*J108&gt;$J$2,1000000*J140&gt;$J$2),J108,""),"")),100*J140/J108,"")</f>
        <v>81.702668142063061</v>
      </c>
      <c r="K76" s="1">
        <f t="shared" si="5"/>
        <v>96.292563920149462</v>
      </c>
      <c r="L76" s="1">
        <f t="shared" si="5"/>
        <v>89.78195024156814</v>
      </c>
      <c r="M76" s="1">
        <f t="shared" si="5"/>
        <v>75.706531883681805</v>
      </c>
      <c r="N76" s="1">
        <f t="shared" si="5"/>
        <v>84.428674498417053</v>
      </c>
      <c r="O76" s="29">
        <f t="shared" si="5"/>
        <v>95.990030602725568</v>
      </c>
      <c r="P76" s="1">
        <f t="shared" si="5"/>
        <v>93.919665236104237</v>
      </c>
      <c r="Q76" s="144">
        <f t="shared" si="5"/>
        <v>64.394900312504546</v>
      </c>
      <c r="R76" s="1"/>
      <c r="S76" s="1"/>
      <c r="T76" s="1"/>
      <c r="U76" s="1"/>
      <c r="V76" s="1"/>
      <c r="W76" s="1"/>
      <c r="X76" s="3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</row>
    <row r="77" spans="1:64" ht="15.75" x14ac:dyDescent="0.3">
      <c r="A77" s="150">
        <v>72</v>
      </c>
      <c r="B77" s="10" t="s">
        <v>62</v>
      </c>
      <c r="C77">
        <v>169860487.73444</v>
      </c>
      <c r="E77" s="10" t="s">
        <v>383</v>
      </c>
      <c r="F77" s="151">
        <f>IF(ISNUMBER(J50),J50/SUM($I$43:$AI$71),0)</f>
        <v>3.9700520624989036E-3</v>
      </c>
      <c r="H77" s="160" t="s">
        <v>11</v>
      </c>
      <c r="I77" s="37" t="str">
        <f t="shared" si="5"/>
        <v/>
      </c>
      <c r="J77" s="1">
        <f t="shared" si="5"/>
        <v>81.7085636473535</v>
      </c>
      <c r="K77" s="1">
        <f t="shared" si="5"/>
        <v>96.483346090694468</v>
      </c>
      <c r="L77" s="1">
        <f t="shared" si="5"/>
        <v>90.730947035362377</v>
      </c>
      <c r="M77" s="1">
        <f t="shared" si="5"/>
        <v>78.091931154873834</v>
      </c>
      <c r="N77" s="1">
        <f t="shared" si="5"/>
        <v>85.614298325598384</v>
      </c>
      <c r="O77" s="1">
        <f t="shared" si="5"/>
        <v>95.670397737835358</v>
      </c>
      <c r="P77" s="29">
        <f t="shared" si="5"/>
        <v>93.609519813848109</v>
      </c>
      <c r="Q77" s="1">
        <f t="shared" si="5"/>
        <v>85.422286222702382</v>
      </c>
      <c r="R77" s="144">
        <f t="shared" si="5"/>
        <v>76.371497078280512</v>
      </c>
      <c r="S77" s="1"/>
      <c r="T77" s="1"/>
      <c r="U77" s="1"/>
      <c r="V77" s="1"/>
      <c r="W77" s="1"/>
      <c r="X77" s="3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</row>
    <row r="78" spans="1:64" ht="15.75" x14ac:dyDescent="0.3">
      <c r="A78" s="150">
        <v>73</v>
      </c>
      <c r="B78" s="10" t="s">
        <v>63</v>
      </c>
      <c r="C78">
        <v>1602295815.9118299</v>
      </c>
      <c r="E78" s="10" t="s">
        <v>384</v>
      </c>
      <c r="F78" s="151">
        <f>IF(ISNUMBER(K50),K50/SUM($I$43:$AI$71),0)</f>
        <v>9.3826358175153699E-3</v>
      </c>
      <c r="H78" s="160" t="s">
        <v>12</v>
      </c>
      <c r="I78" s="37" t="str">
        <f t="shared" si="5"/>
        <v/>
      </c>
      <c r="J78" s="1">
        <f t="shared" si="5"/>
        <v>80.658994526464312</v>
      </c>
      <c r="K78" s="1">
        <f t="shared" si="5"/>
        <v>95.941605305485723</v>
      </c>
      <c r="L78" s="1">
        <f t="shared" si="5"/>
        <v>87.814378588199418</v>
      </c>
      <c r="M78" s="1">
        <f t="shared" si="5"/>
        <v>79.353940184019692</v>
      </c>
      <c r="N78" s="1">
        <f t="shared" si="5"/>
        <v>85.250462974814113</v>
      </c>
      <c r="O78" s="1">
        <f t="shared" si="5"/>
        <v>95.197364072239196</v>
      </c>
      <c r="P78" s="1">
        <f t="shared" si="5"/>
        <v>93.184474884786155</v>
      </c>
      <c r="Q78" s="29">
        <f t="shared" si="5"/>
        <v>85.61668801537742</v>
      </c>
      <c r="R78" s="1">
        <f t="shared" si="5"/>
        <v>87.079380104960663</v>
      </c>
      <c r="S78" s="144">
        <f t="shared" si="5"/>
        <v>94.651772477713862</v>
      </c>
      <c r="T78" s="1"/>
      <c r="U78" s="1"/>
      <c r="V78" s="1"/>
      <c r="W78" s="1"/>
      <c r="X78" s="3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</row>
    <row r="79" spans="1:64" ht="15.75" x14ac:dyDescent="0.3">
      <c r="A79" s="150">
        <v>74</v>
      </c>
      <c r="B79" s="10" t="s">
        <v>64</v>
      </c>
      <c r="C79">
        <v>1537268327.52844</v>
      </c>
      <c r="E79" s="10" t="s">
        <v>385</v>
      </c>
      <c r="F79" s="151">
        <f>IF(ISNUMBER(L50),L50/SUM($I$43:$AI$71),0)</f>
        <v>8.3678447789127391E-3</v>
      </c>
      <c r="H79" s="159" t="s">
        <v>13</v>
      </c>
      <c r="I79" s="32" t="str">
        <f t="shared" si="5"/>
        <v/>
      </c>
      <c r="J79" s="15">
        <f t="shared" si="5"/>
        <v>78.905406759635113</v>
      </c>
      <c r="K79" s="15">
        <f t="shared" si="5"/>
        <v>97.523766095382257</v>
      </c>
      <c r="L79" s="15">
        <f t="shared" si="5"/>
        <v>88.674501932620359</v>
      </c>
      <c r="M79" s="15">
        <f t="shared" si="5"/>
        <v>78.575891381353557</v>
      </c>
      <c r="N79" s="15">
        <f t="shared" si="5"/>
        <v>85.043214509569438</v>
      </c>
      <c r="O79" s="15">
        <f t="shared" si="5"/>
        <v>94.522836161373533</v>
      </c>
      <c r="P79" s="15">
        <f t="shared" si="5"/>
        <v>93.543695203074179</v>
      </c>
      <c r="Q79" s="15">
        <f t="shared" si="5"/>
        <v>85.485558018578146</v>
      </c>
      <c r="R79" s="30">
        <f t="shared" si="5"/>
        <v>86.714406582608646</v>
      </c>
      <c r="S79" s="1">
        <f t="shared" si="5"/>
        <v>95.090225028226854</v>
      </c>
      <c r="T79" s="144">
        <f t="shared" si="5"/>
        <v>94.937278565335006</v>
      </c>
      <c r="U79" s="1"/>
      <c r="V79" s="31"/>
      <c r="W79" s="31"/>
      <c r="X79" s="3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</row>
    <row r="80" spans="1:64" ht="15.75" x14ac:dyDescent="0.3">
      <c r="A80" s="150">
        <v>75</v>
      </c>
      <c r="B80" s="10" t="s">
        <v>65</v>
      </c>
      <c r="C80">
        <v>2694950691.2723398</v>
      </c>
      <c r="E80" s="10" t="s">
        <v>386</v>
      </c>
      <c r="F80" s="151">
        <f>IF(ISNUMBER(M50),M50/SUM($I$43:$AI$71),0)</f>
        <v>4.2236908511376582E-3</v>
      </c>
      <c r="H80" s="160" t="s">
        <v>14</v>
      </c>
      <c r="I80" s="37">
        <f t="shared" si="5"/>
        <v>55.056332407938704</v>
      </c>
      <c r="J80" s="1">
        <f t="shared" si="5"/>
        <v>79.718051616240317</v>
      </c>
      <c r="K80" s="1">
        <f t="shared" si="5"/>
        <v>96.393115001800837</v>
      </c>
      <c r="L80" s="1">
        <f t="shared" si="5"/>
        <v>88.76580821021804</v>
      </c>
      <c r="M80" s="1">
        <f t="shared" si="5"/>
        <v>77.263192364731495</v>
      </c>
      <c r="N80" s="1">
        <f t="shared" si="5"/>
        <v>83.952067615589343</v>
      </c>
      <c r="O80" s="1">
        <f t="shared" si="5"/>
        <v>96.167120661531527</v>
      </c>
      <c r="P80" s="1">
        <f t="shared" si="5"/>
        <v>94.491724007319405</v>
      </c>
      <c r="Q80" s="1">
        <f t="shared" si="5"/>
        <v>85.877466671829836</v>
      </c>
      <c r="R80" s="1">
        <f t="shared" si="5"/>
        <v>86.681219151524346</v>
      </c>
      <c r="S80" s="29">
        <f t="shared" si="5"/>
        <v>95.454425972185916</v>
      </c>
      <c r="T80" s="1">
        <f t="shared" si="5"/>
        <v>94.813352003596691</v>
      </c>
      <c r="U80" s="144">
        <f t="shared" si="5"/>
        <v>88.872092939898025</v>
      </c>
      <c r="V80" s="31"/>
      <c r="W80" s="31"/>
      <c r="X80" s="3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</row>
    <row r="81" spans="1:35" ht="15.75" x14ac:dyDescent="0.3">
      <c r="A81" s="150">
        <v>76</v>
      </c>
      <c r="B81" s="10" t="s">
        <v>66</v>
      </c>
      <c r="C81">
        <v>2366554202.79919</v>
      </c>
      <c r="E81" s="10" t="s">
        <v>387</v>
      </c>
      <c r="F81" s="151">
        <f>IF(ISNUMBER(N50),N50/SUM($I$43:$AI$71),0)</f>
        <v>2.1480536311342911E-3</v>
      </c>
      <c r="H81" s="160" t="s">
        <v>15</v>
      </c>
      <c r="I81" s="37">
        <f t="shared" si="5"/>
        <v>61.227012415103772</v>
      </c>
      <c r="J81" s="1">
        <f t="shared" si="5"/>
        <v>80.126064458959704</v>
      </c>
      <c r="K81" s="1">
        <f t="shared" si="5"/>
        <v>96.158381073181232</v>
      </c>
      <c r="L81" s="1">
        <f t="shared" si="5"/>
        <v>88.468624452621142</v>
      </c>
      <c r="M81" s="1">
        <f t="shared" si="5"/>
        <v>77.193846079017646</v>
      </c>
      <c r="N81" s="1">
        <f t="shared" si="5"/>
        <v>87.253606662916425</v>
      </c>
      <c r="O81" s="1">
        <f t="shared" si="5"/>
        <v>94.778479479748327</v>
      </c>
      <c r="P81" s="1">
        <f t="shared" si="5"/>
        <v>96.670339937256287</v>
      </c>
      <c r="Q81" s="1">
        <f t="shared" si="5"/>
        <v>85.939857754919203</v>
      </c>
      <c r="R81" s="1">
        <f t="shared" si="5"/>
        <v>88.827499442333803</v>
      </c>
      <c r="S81" s="1">
        <f t="shared" si="5"/>
        <v>95.45277043497795</v>
      </c>
      <c r="T81" s="29">
        <f t="shared" si="5"/>
        <v>98.513378053540563</v>
      </c>
      <c r="U81" s="1">
        <f t="shared" si="5"/>
        <v>101.22761670447537</v>
      </c>
      <c r="V81" s="144" t="str">
        <f t="shared" si="5"/>
        <v/>
      </c>
      <c r="W81" s="31"/>
      <c r="X81" s="3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</row>
    <row r="82" spans="1:35" ht="15.75" x14ac:dyDescent="0.3">
      <c r="A82" s="150">
        <v>77</v>
      </c>
      <c r="B82" s="10" t="s">
        <v>67</v>
      </c>
      <c r="C82">
        <v>1620809793.9883399</v>
      </c>
      <c r="E82" s="10" t="s">
        <v>388</v>
      </c>
      <c r="F82" s="151">
        <f>IF(ISNUMBER(O50),O50/SUM($I$43:$AI$71),0)</f>
        <v>9.8552044668357808E-4</v>
      </c>
      <c r="H82" s="160" t="s">
        <v>16</v>
      </c>
      <c r="I82" s="37">
        <f t="shared" si="5"/>
        <v>66.833662802884689</v>
      </c>
      <c r="J82" s="1">
        <f t="shared" si="5"/>
        <v>80.435910787827183</v>
      </c>
      <c r="K82" s="1">
        <f t="shared" si="5"/>
        <v>95.854506451575219</v>
      </c>
      <c r="L82" s="1">
        <f t="shared" si="5"/>
        <v>88.927036963411851</v>
      </c>
      <c r="M82" s="1">
        <f t="shared" si="5"/>
        <v>78.328757536453892</v>
      </c>
      <c r="N82" s="1">
        <f t="shared" si="5"/>
        <v>82.672422436214006</v>
      </c>
      <c r="O82" s="1">
        <f t="shared" si="5"/>
        <v>97.60539902907324</v>
      </c>
      <c r="P82" s="1">
        <f t="shared" si="5"/>
        <v>92.489268364998978</v>
      </c>
      <c r="Q82" s="1">
        <f t="shared" si="5"/>
        <v>88.567864256670546</v>
      </c>
      <c r="R82" s="1">
        <f t="shared" si="5"/>
        <v>88.847710912725816</v>
      </c>
      <c r="S82" s="1">
        <f t="shared" si="5"/>
        <v>90.566811332414972</v>
      </c>
      <c r="T82" s="1">
        <f t="shared" si="5"/>
        <v>87.532825233395215</v>
      </c>
      <c r="U82" s="29" t="str">
        <f t="shared" si="5"/>
        <v/>
      </c>
      <c r="V82" s="31" t="str">
        <f t="shared" si="5"/>
        <v/>
      </c>
      <c r="W82" s="144" t="str">
        <f t="shared" si="5"/>
        <v/>
      </c>
      <c r="X82" s="3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</row>
    <row r="83" spans="1:35" ht="15.75" x14ac:dyDescent="0.3">
      <c r="A83" s="150">
        <v>78</v>
      </c>
      <c r="B83" s="10" t="s">
        <v>68</v>
      </c>
      <c r="C83">
        <v>1286176434.4182401</v>
      </c>
      <c r="E83" s="10" t="s">
        <v>389</v>
      </c>
      <c r="F83" s="151">
        <f>IF(ISNUMBER(P50),P50/SUM($I$43:$AI$71),0)</f>
        <v>3.4408267274671132E-4</v>
      </c>
      <c r="H83" s="159" t="s">
        <v>17</v>
      </c>
      <c r="I83" s="32">
        <f t="shared" si="5"/>
        <v>52.261245483572019</v>
      </c>
      <c r="J83" s="15">
        <f t="shared" si="5"/>
        <v>81.713552766718962</v>
      </c>
      <c r="K83" s="15">
        <f t="shared" si="5"/>
        <v>95.476377826951179</v>
      </c>
      <c r="L83" s="15">
        <f t="shared" si="5"/>
        <v>87.886572648365757</v>
      </c>
      <c r="M83" s="15">
        <f t="shared" si="5"/>
        <v>78.997184603366563</v>
      </c>
      <c r="N83" s="15">
        <f t="shared" si="5"/>
        <v>85.777325235675377</v>
      </c>
      <c r="O83" s="15">
        <f t="shared" si="5"/>
        <v>97.363454151898367</v>
      </c>
      <c r="P83" s="15">
        <f t="shared" si="5"/>
        <v>94.752706772367702</v>
      </c>
      <c r="Q83" s="15">
        <f t="shared" si="5"/>
        <v>86.272427295251418</v>
      </c>
      <c r="R83" s="15">
        <f t="shared" si="5"/>
        <v>67.39758721130481</v>
      </c>
      <c r="S83" s="15" t="str">
        <f t="shared" si="5"/>
        <v/>
      </c>
      <c r="T83" s="15" t="str">
        <f t="shared" si="5"/>
        <v/>
      </c>
      <c r="U83" s="15" t="str">
        <f t="shared" si="5"/>
        <v/>
      </c>
      <c r="V83" s="30" t="str">
        <f t="shared" si="5"/>
        <v/>
      </c>
      <c r="W83" s="31" t="str">
        <f t="shared" si="5"/>
        <v/>
      </c>
      <c r="X83" s="144" t="str">
        <f t="shared" si="5"/>
        <v/>
      </c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</row>
    <row r="84" spans="1:35" ht="15.75" x14ac:dyDescent="0.3">
      <c r="A84" s="150">
        <v>79</v>
      </c>
      <c r="B84" s="10" t="s">
        <v>69</v>
      </c>
      <c r="C84">
        <v>644907115.71415699</v>
      </c>
      <c r="E84" s="10" t="s">
        <v>390</v>
      </c>
      <c r="F84" s="151">
        <f>IF(ISNUMBER(Q50),Q50/SUM($I$43:$AI$71),0)</f>
        <v>5.2710081693493709E-4</v>
      </c>
      <c r="H84" s="160" t="s">
        <v>9</v>
      </c>
      <c r="I84" s="37" t="str">
        <f t="shared" si="5"/>
        <v/>
      </c>
      <c r="J84" s="1">
        <f t="shared" si="5"/>
        <v>75.667684836201502</v>
      </c>
      <c r="K84" s="1">
        <f t="shared" si="5"/>
        <v>92.709708148104554</v>
      </c>
      <c r="L84" s="1">
        <f t="shared" si="5"/>
        <v>90.179900616533729</v>
      </c>
      <c r="M84" s="1">
        <f t="shared" si="5"/>
        <v>79.603885037273542</v>
      </c>
      <c r="N84" s="1">
        <f t="shared" si="5"/>
        <v>87.255258896294549</v>
      </c>
      <c r="O84" s="1">
        <f t="shared" si="5"/>
        <v>98.619003651911171</v>
      </c>
      <c r="P84" s="1">
        <f t="shared" si="5"/>
        <v>87.081604498095459</v>
      </c>
      <c r="Q84" s="1">
        <f t="shared" si="5"/>
        <v>82.439072747277521</v>
      </c>
      <c r="R84" s="1" t="str">
        <f t="shared" si="5"/>
        <v/>
      </c>
      <c r="S84" s="1">
        <f t="shared" si="5"/>
        <v>93.407161365966331</v>
      </c>
      <c r="T84" s="1">
        <f t="shared" si="5"/>
        <v>98.349094061128042</v>
      </c>
      <c r="U84" s="1">
        <f t="shared" si="5"/>
        <v>93.898957905254107</v>
      </c>
      <c r="V84" s="1">
        <f t="shared" si="5"/>
        <v>93.135768666613217</v>
      </c>
      <c r="W84" s="29">
        <f t="shared" si="5"/>
        <v>90.357404175134761</v>
      </c>
      <c r="X84" s="31" t="str">
        <f t="shared" si="5"/>
        <v/>
      </c>
      <c r="Y84" s="144" t="str">
        <f t="shared" ref="Y84:AI99" si="6">IF(ISNUMBER(IF(ISNUMBER(Y148),IF(AND(1000000*Y116&gt;$J$2,1000000*Y148&gt;$J$2),Y148,""),"")/IF(ISNUMBER(Y116),IF(AND(1000000*Y116&gt;$J$2,1000000*Y148&gt;$J$2),Y116,""),"")),100*Y148/Y116,"")</f>
        <v/>
      </c>
      <c r="Z84" s="1"/>
      <c r="AA84" s="1"/>
      <c r="AB84" s="1"/>
      <c r="AC84" s="1"/>
      <c r="AD84" s="1"/>
      <c r="AE84" s="1"/>
      <c r="AF84" s="1"/>
      <c r="AG84" s="1"/>
      <c r="AH84" s="1"/>
      <c r="AI84" s="1"/>
    </row>
    <row r="85" spans="1:35" ht="15.75" x14ac:dyDescent="0.3">
      <c r="A85" s="150">
        <v>80</v>
      </c>
      <c r="B85" s="10" t="s">
        <v>70</v>
      </c>
      <c r="C85">
        <v>549786301.90383899</v>
      </c>
      <c r="E85" s="10" t="s">
        <v>503</v>
      </c>
      <c r="F85" s="151">
        <f>IF(ISNUMBER(R50),R50/SUM($I$43:$AI$71),0)</f>
        <v>1.0970232803938127E-3</v>
      </c>
      <c r="H85" s="160" t="s">
        <v>18</v>
      </c>
      <c r="I85" s="37" t="str">
        <f t="shared" si="5"/>
        <v/>
      </c>
      <c r="J85" s="1">
        <f t="shared" si="5"/>
        <v>78.731991861003166</v>
      </c>
      <c r="K85" s="1">
        <f t="shared" si="5"/>
        <v>94.565196830290063</v>
      </c>
      <c r="L85" s="1">
        <f t="shared" si="5"/>
        <v>113.83748168260088</v>
      </c>
      <c r="M85" s="1" t="str">
        <f t="shared" si="5"/>
        <v/>
      </c>
      <c r="N85" s="1" t="str">
        <f t="shared" si="5"/>
        <v/>
      </c>
      <c r="O85" s="1" t="str">
        <f t="shared" si="5"/>
        <v/>
      </c>
      <c r="P85" s="1" t="str">
        <f t="shared" si="5"/>
        <v/>
      </c>
      <c r="Q85" s="1" t="str">
        <f t="shared" si="5"/>
        <v/>
      </c>
      <c r="R85" s="1" t="str">
        <f t="shared" si="5"/>
        <v/>
      </c>
      <c r="S85" s="1">
        <f t="shared" si="5"/>
        <v>95.38932017005547</v>
      </c>
      <c r="T85" s="1">
        <f t="shared" si="5"/>
        <v>98.534926336116627</v>
      </c>
      <c r="U85" s="1">
        <f t="shared" si="5"/>
        <v>87.603058417628901</v>
      </c>
      <c r="V85" s="1">
        <f t="shared" si="5"/>
        <v>89.573080530653087</v>
      </c>
      <c r="W85" s="1">
        <f t="shared" si="5"/>
        <v>96.02622215704065</v>
      </c>
      <c r="X85" s="29">
        <f t="shared" si="5"/>
        <v>90.538964351996555</v>
      </c>
      <c r="Y85" s="1" t="str">
        <f t="shared" si="6"/>
        <v/>
      </c>
      <c r="Z85" s="144" t="str">
        <f t="shared" si="6"/>
        <v/>
      </c>
      <c r="AA85" s="1"/>
      <c r="AB85" s="1"/>
      <c r="AC85" s="1"/>
      <c r="AD85" s="1"/>
      <c r="AE85" s="1"/>
      <c r="AF85" s="1"/>
      <c r="AG85" s="1"/>
      <c r="AH85" s="1"/>
      <c r="AI85" s="1"/>
    </row>
    <row r="86" spans="1:35" ht="15.75" x14ac:dyDescent="0.3">
      <c r="A86" s="150">
        <v>81</v>
      </c>
      <c r="B86" s="10" t="s">
        <v>71</v>
      </c>
      <c r="C86">
        <v>1045908671.2663</v>
      </c>
      <c r="E86" s="10" t="s">
        <v>504</v>
      </c>
      <c r="F86" s="151">
        <f>IF(ISNUMBER(S50),S50/SUM($I$43:$AI$71),0)</f>
        <v>1.0245048676029709E-3</v>
      </c>
      <c r="H86" s="160" t="s">
        <v>19</v>
      </c>
      <c r="I86" s="37">
        <f t="shared" si="5"/>
        <v>60.529640898419395</v>
      </c>
      <c r="J86" s="1">
        <f t="shared" si="5"/>
        <v>77.96802879075554</v>
      </c>
      <c r="K86" s="1">
        <f t="shared" si="5"/>
        <v>96.532739378226324</v>
      </c>
      <c r="L86" s="1">
        <f t="shared" si="5"/>
        <v>87.730393950473058</v>
      </c>
      <c r="M86" s="1">
        <f t="shared" si="5"/>
        <v>76.125468119936059</v>
      </c>
      <c r="N86" s="1">
        <f t="shared" si="5"/>
        <v>93.818745168439477</v>
      </c>
      <c r="O86" s="1" t="str">
        <f t="shared" si="5"/>
        <v/>
      </c>
      <c r="P86" s="1" t="str">
        <f t="shared" si="5"/>
        <v/>
      </c>
      <c r="Q86" s="1" t="str">
        <f t="shared" si="5"/>
        <v/>
      </c>
      <c r="R86" s="1" t="str">
        <f t="shared" si="5"/>
        <v/>
      </c>
      <c r="S86" s="1" t="str">
        <f t="shared" si="5"/>
        <v/>
      </c>
      <c r="T86" s="1">
        <f t="shared" si="5"/>
        <v>90.626432530880464</v>
      </c>
      <c r="U86" s="1">
        <f t="shared" si="5"/>
        <v>87.799443673364578</v>
      </c>
      <c r="V86" s="1">
        <f t="shared" si="5"/>
        <v>89.131388381020216</v>
      </c>
      <c r="W86" s="1">
        <f t="shared" si="5"/>
        <v>96.159535874574175</v>
      </c>
      <c r="X86" s="31">
        <f t="shared" si="5"/>
        <v>101.61937265279438</v>
      </c>
      <c r="Y86" s="29">
        <f t="shared" si="6"/>
        <v>92.93508164278964</v>
      </c>
      <c r="Z86" s="1" t="str">
        <f t="shared" si="6"/>
        <v/>
      </c>
      <c r="AA86" s="144" t="str">
        <f t="shared" si="6"/>
        <v/>
      </c>
      <c r="AB86" s="1"/>
      <c r="AC86" s="1"/>
      <c r="AD86" s="1"/>
      <c r="AE86" s="1"/>
      <c r="AF86" s="1"/>
      <c r="AG86" s="1"/>
      <c r="AH86" s="1"/>
      <c r="AI86" s="1"/>
    </row>
    <row r="87" spans="1:35" ht="15.75" x14ac:dyDescent="0.3">
      <c r="A87" s="150">
        <v>82</v>
      </c>
      <c r="B87" s="10" t="s">
        <v>72</v>
      </c>
      <c r="C87">
        <v>995677485.64849901</v>
      </c>
      <c r="E87" s="10" t="s">
        <v>505</v>
      </c>
      <c r="F87" s="151">
        <f>IF(ISNUMBER(T50),T50/SUM($I$43:$AI$71),0)</f>
        <v>3.6909638249371353E-4</v>
      </c>
      <c r="H87" s="160" t="s">
        <v>20</v>
      </c>
      <c r="I87" s="37">
        <f t="shared" si="5"/>
        <v>66.165563760072629</v>
      </c>
      <c r="J87" s="1">
        <f t="shared" si="5"/>
        <v>79.734068301739242</v>
      </c>
      <c r="K87" s="1">
        <f t="shared" si="5"/>
        <v>95.230208344232167</v>
      </c>
      <c r="L87" s="1">
        <f t="shared" si="5"/>
        <v>88.717313756022506</v>
      </c>
      <c r="M87" s="1">
        <f t="shared" si="5"/>
        <v>78.810411864947341</v>
      </c>
      <c r="N87" s="1">
        <f t="shared" si="5"/>
        <v>82.851188874726034</v>
      </c>
      <c r="O87" s="1">
        <f t="shared" si="5"/>
        <v>103.20464495983165</v>
      </c>
      <c r="P87" s="1" t="str">
        <f t="shared" si="5"/>
        <v/>
      </c>
      <c r="Q87" s="1" t="str">
        <f t="shared" si="5"/>
        <v/>
      </c>
      <c r="R87" s="31" t="str">
        <f t="shared" si="5"/>
        <v/>
      </c>
      <c r="S87" s="31" t="str">
        <f t="shared" si="5"/>
        <v/>
      </c>
      <c r="T87" s="31">
        <f t="shared" si="5"/>
        <v>97.474197578269482</v>
      </c>
      <c r="U87" s="31">
        <f t="shared" si="5"/>
        <v>86.06401576502968</v>
      </c>
      <c r="V87" s="31">
        <f t="shared" si="5"/>
        <v>89.575728623225004</v>
      </c>
      <c r="W87" s="31">
        <f t="shared" si="5"/>
        <v>98.227894641434133</v>
      </c>
      <c r="X87" s="31">
        <f t="shared" si="5"/>
        <v>96.888218257153753</v>
      </c>
      <c r="Y87" s="1">
        <f t="shared" si="6"/>
        <v>94.002089012352002</v>
      </c>
      <c r="Z87" s="29">
        <f t="shared" si="6"/>
        <v>90.594510610538563</v>
      </c>
      <c r="AA87" s="1" t="str">
        <f t="shared" si="6"/>
        <v/>
      </c>
      <c r="AB87" s="144" t="str">
        <f t="shared" si="6"/>
        <v/>
      </c>
      <c r="AC87" s="1"/>
      <c r="AD87" s="1"/>
      <c r="AE87" s="1"/>
      <c r="AF87" s="1"/>
      <c r="AG87" s="1"/>
      <c r="AH87" s="1"/>
      <c r="AI87" s="1"/>
    </row>
    <row r="88" spans="1:35" ht="15.75" x14ac:dyDescent="0.3">
      <c r="A88" s="150">
        <v>83</v>
      </c>
      <c r="B88" s="10" t="s">
        <v>73</v>
      </c>
      <c r="C88">
        <v>1439260755.2780199</v>
      </c>
      <c r="E88" s="10" t="s">
        <v>1573</v>
      </c>
      <c r="F88" s="151">
        <f>IF(ISNUMBER(U50),U50/SUM($I$43:$AI$71),0)</f>
        <v>2.6812038395096107E-5</v>
      </c>
      <c r="H88" s="160" t="s">
        <v>21</v>
      </c>
      <c r="I88" s="37">
        <f t="shared" si="5"/>
        <v>61.807698145079272</v>
      </c>
      <c r="J88" s="1">
        <f t="shared" si="5"/>
        <v>78.345431115890634</v>
      </c>
      <c r="K88" s="1">
        <f t="shared" si="5"/>
        <v>95.661713675760268</v>
      </c>
      <c r="L88" s="1">
        <f t="shared" si="5"/>
        <v>89.658916960227415</v>
      </c>
      <c r="M88" s="1">
        <f t="shared" si="5"/>
        <v>78.252446700390593</v>
      </c>
      <c r="N88" s="1">
        <f t="shared" si="5"/>
        <v>84.85814194885009</v>
      </c>
      <c r="O88" s="1">
        <f t="shared" si="5"/>
        <v>93.003305373742222</v>
      </c>
      <c r="P88" s="1" t="str">
        <f t="shared" si="5"/>
        <v/>
      </c>
      <c r="Q88" s="1" t="str">
        <f t="shared" si="5"/>
        <v/>
      </c>
      <c r="R88" s="31" t="str">
        <f t="shared" si="5"/>
        <v/>
      </c>
      <c r="S88" s="31" t="str">
        <f t="shared" si="5"/>
        <v/>
      </c>
      <c r="T88" s="31" t="str">
        <f t="shared" si="5"/>
        <v/>
      </c>
      <c r="U88" s="31">
        <f t="shared" si="5"/>
        <v>96.600647624788067</v>
      </c>
      <c r="V88" s="31">
        <f t="shared" si="5"/>
        <v>93.96470768636577</v>
      </c>
      <c r="W88" s="31">
        <f t="shared" si="5"/>
        <v>95.309383370377162</v>
      </c>
      <c r="X88" s="31">
        <f t="shared" si="5"/>
        <v>95.42804384151701</v>
      </c>
      <c r="Y88" s="1">
        <f t="shared" si="6"/>
        <v>92.860948258032664</v>
      </c>
      <c r="Z88" s="1">
        <f t="shared" si="6"/>
        <v>91.812276563366424</v>
      </c>
      <c r="AA88" s="29">
        <f t="shared" si="6"/>
        <v>97.294403626535129</v>
      </c>
      <c r="AB88" s="1" t="str">
        <f t="shared" si="6"/>
        <v/>
      </c>
      <c r="AC88" s="144" t="str">
        <f t="shared" si="6"/>
        <v/>
      </c>
      <c r="AD88" s="1"/>
      <c r="AE88" s="1"/>
      <c r="AF88" s="1"/>
      <c r="AG88" s="1"/>
      <c r="AH88" s="1"/>
      <c r="AI88" s="1"/>
    </row>
    <row r="89" spans="1:35" ht="15.75" x14ac:dyDescent="0.3">
      <c r="A89" s="150">
        <v>84</v>
      </c>
      <c r="B89" s="10" t="s">
        <v>74</v>
      </c>
      <c r="C89">
        <v>1341167577.02863</v>
      </c>
      <c r="E89" s="10" t="s">
        <v>1574</v>
      </c>
      <c r="F89" s="151">
        <f>IF(ISNUMBER(V50),V50/SUM($I$43:$AI$71),0)</f>
        <v>0</v>
      </c>
      <c r="H89" s="160" t="s">
        <v>22</v>
      </c>
      <c r="I89" s="37">
        <f t="shared" si="5"/>
        <v>63.665779313065066</v>
      </c>
      <c r="J89" s="1">
        <f t="shared" si="5"/>
        <v>79.731099292052576</v>
      </c>
      <c r="K89" s="1">
        <f t="shared" si="5"/>
        <v>95.362456145846906</v>
      </c>
      <c r="L89" s="1">
        <f t="shared" si="5"/>
        <v>89.961628503678469</v>
      </c>
      <c r="M89" s="1">
        <f t="shared" si="5"/>
        <v>78.559327899026314</v>
      </c>
      <c r="N89" s="1">
        <f t="shared" si="5"/>
        <v>83.848237346077326</v>
      </c>
      <c r="O89" s="1">
        <f t="shared" si="5"/>
        <v>93.815926740182036</v>
      </c>
      <c r="P89" s="1">
        <f t="shared" si="5"/>
        <v>76.54380080348011</v>
      </c>
      <c r="Q89" s="1" t="str">
        <f t="shared" si="5"/>
        <v/>
      </c>
      <c r="R89" s="31" t="str">
        <f t="shared" si="5"/>
        <v/>
      </c>
      <c r="S89" s="31" t="str">
        <f t="shared" si="5"/>
        <v/>
      </c>
      <c r="T89" s="31" t="str">
        <f t="shared" si="5"/>
        <v/>
      </c>
      <c r="U89" s="31">
        <f t="shared" si="5"/>
        <v>119.89930148664583</v>
      </c>
      <c r="V89" s="31">
        <f t="shared" si="5"/>
        <v>94.301149693746638</v>
      </c>
      <c r="W89" s="31">
        <f t="shared" si="5"/>
        <v>98.191400266610913</v>
      </c>
      <c r="X89" s="31">
        <f t="shared" si="5"/>
        <v>95.540752070489077</v>
      </c>
      <c r="Y89" s="1">
        <f t="shared" si="6"/>
        <v>90.421726975490671</v>
      </c>
      <c r="Z89" s="1">
        <f t="shared" si="6"/>
        <v>90.15978100875455</v>
      </c>
      <c r="AA89" s="1">
        <f t="shared" si="6"/>
        <v>95.989410901529524</v>
      </c>
      <c r="AB89" s="29">
        <f t="shared" si="6"/>
        <v>95.744179584707865</v>
      </c>
      <c r="AC89" s="1" t="str">
        <f t="shared" si="6"/>
        <v/>
      </c>
      <c r="AD89" s="144" t="str">
        <f t="shared" si="6"/>
        <v/>
      </c>
      <c r="AE89" s="1"/>
      <c r="AF89" s="1"/>
      <c r="AG89" s="1"/>
      <c r="AH89" s="1"/>
      <c r="AI89" s="1"/>
    </row>
    <row r="90" spans="1:35" ht="15.75" x14ac:dyDescent="0.3">
      <c r="A90" s="150">
        <v>85</v>
      </c>
      <c r="B90" s="10" t="s">
        <v>75</v>
      </c>
      <c r="C90">
        <v>885345952.36547899</v>
      </c>
      <c r="E90" s="10" t="s">
        <v>506</v>
      </c>
      <c r="F90" s="151">
        <f>IF(ISNUMBER(I51),I51/SUM($I$43:$AI$71),0)</f>
        <v>2.0045962743355772E-4</v>
      </c>
      <c r="H90" s="160" t="s">
        <v>23</v>
      </c>
      <c r="I90" s="37">
        <f t="shared" ref="I90:X102" si="7">IF(ISNUMBER(IF(ISNUMBER(I154),IF(AND(1000000*I122&gt;$J$2,1000000*I154&gt;$J$2),I154,""),"")/IF(ISNUMBER(I122),IF(AND(1000000*I122&gt;$J$2,1000000*I154&gt;$J$2),I122,""),"")),100*I154/I122,"")</f>
        <v>62.33032036750172</v>
      </c>
      <c r="J90" s="1">
        <f t="shared" si="7"/>
        <v>78.910386613993083</v>
      </c>
      <c r="K90" s="1">
        <f t="shared" si="7"/>
        <v>95.961396285785582</v>
      </c>
      <c r="L90" s="1">
        <f t="shared" si="7"/>
        <v>88.678871420111932</v>
      </c>
      <c r="M90" s="1">
        <f t="shared" si="7"/>
        <v>78.949348756061724</v>
      </c>
      <c r="N90" s="1">
        <f t="shared" si="7"/>
        <v>82.934261593848518</v>
      </c>
      <c r="O90" s="1">
        <f t="shared" si="7"/>
        <v>94.43027580549618</v>
      </c>
      <c r="P90" s="1">
        <f t="shared" si="7"/>
        <v>96.135272954517276</v>
      </c>
      <c r="Q90" s="1" t="str">
        <f t="shared" si="7"/>
        <v/>
      </c>
      <c r="R90" s="31" t="str">
        <f t="shared" si="7"/>
        <v/>
      </c>
      <c r="S90" s="31" t="str">
        <f t="shared" si="7"/>
        <v/>
      </c>
      <c r="T90" s="31" t="str">
        <f t="shared" si="7"/>
        <v/>
      </c>
      <c r="U90" s="31" t="str">
        <f t="shared" si="7"/>
        <v/>
      </c>
      <c r="V90" s="31">
        <f t="shared" si="7"/>
        <v>51.920101208030601</v>
      </c>
      <c r="W90" s="31">
        <f t="shared" si="7"/>
        <v>98.666313088947618</v>
      </c>
      <c r="X90" s="31">
        <f t="shared" si="7"/>
        <v>98.94069007472234</v>
      </c>
      <c r="Y90" s="1">
        <f t="shared" si="6"/>
        <v>91.189767685195179</v>
      </c>
      <c r="Z90" s="1">
        <f t="shared" si="6"/>
        <v>92.340477198156734</v>
      </c>
      <c r="AA90" s="1">
        <f t="shared" si="6"/>
        <v>97.053188705587132</v>
      </c>
      <c r="AB90" s="1">
        <f t="shared" si="6"/>
        <v>98.294418998680726</v>
      </c>
      <c r="AC90" s="29">
        <f t="shared" si="6"/>
        <v>89.493012223548391</v>
      </c>
      <c r="AD90" s="1">
        <f t="shared" si="6"/>
        <v>70.041860640372036</v>
      </c>
      <c r="AE90" s="144" t="str">
        <f t="shared" si="6"/>
        <v/>
      </c>
      <c r="AF90" s="1"/>
      <c r="AG90" s="1"/>
      <c r="AH90" s="1"/>
      <c r="AI90" s="1"/>
    </row>
    <row r="91" spans="1:35" ht="15.75" x14ac:dyDescent="0.3">
      <c r="A91" s="150">
        <v>86</v>
      </c>
      <c r="B91" s="10" t="s">
        <v>76</v>
      </c>
      <c r="C91">
        <v>758003881.89352405</v>
      </c>
      <c r="E91" s="10" t="s">
        <v>391</v>
      </c>
      <c r="F91" s="151">
        <f>IF(ISNUMBER(J51),J51/SUM($I$43:$AI$71),0)</f>
        <v>3.1954656271532644E-3</v>
      </c>
      <c r="H91" s="160" t="s">
        <v>24</v>
      </c>
      <c r="I91" s="37">
        <f t="shared" si="7"/>
        <v>59.448311632609844</v>
      </c>
      <c r="J91" s="1">
        <f t="shared" si="7"/>
        <v>80.36619004196595</v>
      </c>
      <c r="K91" s="1">
        <f t="shared" si="7"/>
        <v>94.801937363417281</v>
      </c>
      <c r="L91" s="1">
        <f t="shared" si="7"/>
        <v>89.476075406623934</v>
      </c>
      <c r="M91" s="1">
        <f t="shared" si="7"/>
        <v>78.571917786194206</v>
      </c>
      <c r="N91" s="1">
        <f t="shared" si="7"/>
        <v>84.305698714094177</v>
      </c>
      <c r="O91" s="1">
        <f t="shared" si="7"/>
        <v>91.740854190245003</v>
      </c>
      <c r="P91" s="1">
        <f t="shared" si="7"/>
        <v>86.7883664386991</v>
      </c>
      <c r="Q91" s="1" t="str">
        <f t="shared" si="7"/>
        <v/>
      </c>
      <c r="R91" s="31" t="str">
        <f t="shared" si="7"/>
        <v/>
      </c>
      <c r="S91" s="31" t="str">
        <f t="shared" si="7"/>
        <v/>
      </c>
      <c r="T91" s="31" t="str">
        <f t="shared" si="7"/>
        <v/>
      </c>
      <c r="U91" s="31" t="str">
        <f t="shared" si="7"/>
        <v/>
      </c>
      <c r="V91" s="31" t="str">
        <f t="shared" si="7"/>
        <v/>
      </c>
      <c r="W91" s="31">
        <f t="shared" si="7"/>
        <v>88.058284584436933</v>
      </c>
      <c r="X91" s="31">
        <f t="shared" si="7"/>
        <v>98.931880005329532</v>
      </c>
      <c r="Y91" s="1">
        <f t="shared" si="6"/>
        <v>91.88671510509063</v>
      </c>
      <c r="Z91" s="1">
        <f t="shared" si="6"/>
        <v>91.59285959354645</v>
      </c>
      <c r="AA91" s="1">
        <f t="shared" si="6"/>
        <v>97.57786185716769</v>
      </c>
      <c r="AB91" s="1">
        <f t="shared" si="6"/>
        <v>94.754871156140737</v>
      </c>
      <c r="AC91" s="1">
        <f t="shared" si="6"/>
        <v>91.444609986396387</v>
      </c>
      <c r="AD91" s="29">
        <f t="shared" si="6"/>
        <v>102.59744760378746</v>
      </c>
      <c r="AE91" s="1">
        <f t="shared" si="6"/>
        <v>60.667685199724488</v>
      </c>
      <c r="AF91" s="144" t="str">
        <f t="shared" si="6"/>
        <v/>
      </c>
      <c r="AG91" s="1"/>
      <c r="AH91" s="1"/>
      <c r="AI91" s="1"/>
    </row>
    <row r="92" spans="1:35" ht="15.75" x14ac:dyDescent="0.3">
      <c r="A92" s="150">
        <v>87</v>
      </c>
      <c r="B92" s="10" t="s">
        <v>1105</v>
      </c>
      <c r="C92">
        <v>237052998.60257</v>
      </c>
      <c r="E92" s="10" t="s">
        <v>392</v>
      </c>
      <c r="F92" s="151">
        <f>IF(ISNUMBER(K51),K51/SUM($I$43:$AI$71),0)</f>
        <v>8.1211324402953988E-3</v>
      </c>
      <c r="H92" s="160" t="s">
        <v>330</v>
      </c>
      <c r="I92" s="37">
        <f t="shared" si="7"/>
        <v>55.822052243244038</v>
      </c>
      <c r="J92" s="1">
        <f t="shared" si="7"/>
        <v>91.985457933340427</v>
      </c>
      <c r="K92" s="1">
        <f t="shared" si="7"/>
        <v>94.932955141583037</v>
      </c>
      <c r="L92" s="1">
        <f t="shared" si="7"/>
        <v>90.700729635138671</v>
      </c>
      <c r="M92" s="1">
        <f t="shared" si="7"/>
        <v>78.943199903308084</v>
      </c>
      <c r="N92" s="1">
        <f t="shared" si="7"/>
        <v>84.040717749317139</v>
      </c>
      <c r="O92" s="1">
        <f t="shared" si="7"/>
        <v>93.289287876166895</v>
      </c>
      <c r="P92" s="1">
        <f t="shared" si="7"/>
        <v>103.20571417937305</v>
      </c>
      <c r="Q92" s="1" t="str">
        <f t="shared" si="7"/>
        <v/>
      </c>
      <c r="R92" s="31" t="str">
        <f t="shared" si="7"/>
        <v/>
      </c>
      <c r="S92" s="31" t="str">
        <f t="shared" si="7"/>
        <v/>
      </c>
      <c r="T92" s="31" t="str">
        <f t="shared" si="7"/>
        <v/>
      </c>
      <c r="U92" s="31" t="str">
        <f t="shared" si="7"/>
        <v/>
      </c>
      <c r="V92" s="31" t="str">
        <f t="shared" si="7"/>
        <v/>
      </c>
      <c r="W92" s="31" t="str">
        <f t="shared" si="7"/>
        <v/>
      </c>
      <c r="X92" s="31">
        <f t="shared" si="7"/>
        <v>95.61213153169399</v>
      </c>
      <c r="Y92" s="1">
        <f t="shared" si="6"/>
        <v>89.191201094660016</v>
      </c>
      <c r="Z92" s="1">
        <f t="shared" si="6"/>
        <v>91.659575702636957</v>
      </c>
      <c r="AA92" s="1">
        <f t="shared" si="6"/>
        <v>97.094149621887851</v>
      </c>
      <c r="AB92" s="1">
        <f t="shared" si="6"/>
        <v>96.157994914538435</v>
      </c>
      <c r="AC92" s="1">
        <f t="shared" si="6"/>
        <v>92.265040262097742</v>
      </c>
      <c r="AD92" s="1">
        <f t="shared" si="6"/>
        <v>89.904427710053881</v>
      </c>
      <c r="AE92" s="29">
        <f t="shared" si="6"/>
        <v>95.129620882081383</v>
      </c>
      <c r="AF92" s="1">
        <f t="shared" si="6"/>
        <v>81.087947575468064</v>
      </c>
      <c r="AG92" s="144" t="str">
        <f t="shared" si="6"/>
        <v/>
      </c>
      <c r="AH92" s="1"/>
      <c r="AI92" s="1"/>
    </row>
    <row r="93" spans="1:35" ht="15.75" x14ac:dyDescent="0.3">
      <c r="A93" s="150">
        <v>88</v>
      </c>
      <c r="B93" s="10" t="s">
        <v>1106</v>
      </c>
      <c r="C93">
        <v>206424281.70333901</v>
      </c>
      <c r="E93" s="10" t="s">
        <v>393</v>
      </c>
      <c r="F93" s="151">
        <f>IF(ISNUMBER(L51),L51/SUM($I$43:$AI$71),0)</f>
        <v>8.6382001962252378E-3</v>
      </c>
      <c r="H93" s="160" t="s">
        <v>331</v>
      </c>
      <c r="I93" s="37">
        <f t="shared" si="7"/>
        <v>59.48106046713994</v>
      </c>
      <c r="J93" s="1">
        <f t="shared" si="7"/>
        <v>78.995225096809563</v>
      </c>
      <c r="K93" s="1">
        <f t="shared" si="7"/>
        <v>95.133816750712626</v>
      </c>
      <c r="L93" s="1">
        <f t="shared" si="7"/>
        <v>89.543785531051043</v>
      </c>
      <c r="M93" s="1">
        <f t="shared" si="7"/>
        <v>79.401090633130735</v>
      </c>
      <c r="N93" s="1">
        <f t="shared" si="7"/>
        <v>84.462454323867064</v>
      </c>
      <c r="O93" s="1">
        <f t="shared" si="7"/>
        <v>91.960990554629262</v>
      </c>
      <c r="P93" s="1">
        <f t="shared" si="7"/>
        <v>93.14753543716381</v>
      </c>
      <c r="Q93" s="1">
        <f t="shared" si="7"/>
        <v>78.213471047795565</v>
      </c>
      <c r="R93" s="31" t="str">
        <f t="shared" si="7"/>
        <v/>
      </c>
      <c r="S93" s="31" t="str">
        <f t="shared" si="7"/>
        <v/>
      </c>
      <c r="T93" s="31" t="str">
        <f t="shared" si="7"/>
        <v/>
      </c>
      <c r="U93" s="31" t="str">
        <f t="shared" si="7"/>
        <v/>
      </c>
      <c r="V93" s="31" t="str">
        <f t="shared" si="7"/>
        <v/>
      </c>
      <c r="W93" s="31" t="str">
        <f t="shared" si="7"/>
        <v/>
      </c>
      <c r="X93" s="31" t="str">
        <f t="shared" si="7"/>
        <v/>
      </c>
      <c r="Y93" s="1">
        <f t="shared" si="6"/>
        <v>92.819173838010855</v>
      </c>
      <c r="Z93" s="1">
        <f t="shared" si="6"/>
        <v>94.595285746420217</v>
      </c>
      <c r="AA93" s="1">
        <f t="shared" si="6"/>
        <v>99.060609344267732</v>
      </c>
      <c r="AB93" s="1">
        <f t="shared" si="6"/>
        <v>96.57191396536706</v>
      </c>
      <c r="AC93" s="1">
        <f t="shared" si="6"/>
        <v>89.924615808221631</v>
      </c>
      <c r="AD93" s="1">
        <f t="shared" si="6"/>
        <v>92.538166581337947</v>
      </c>
      <c r="AE93" s="1">
        <f t="shared" si="6"/>
        <v>99.31468261150539</v>
      </c>
      <c r="AF93" s="29">
        <f t="shared" si="6"/>
        <v>136.0299407597858</v>
      </c>
      <c r="AG93" s="1" t="str">
        <f t="shared" si="6"/>
        <v/>
      </c>
      <c r="AH93" s="144" t="str">
        <f t="shared" si="6"/>
        <v/>
      </c>
      <c r="AI93" s="1"/>
    </row>
    <row r="94" spans="1:35" ht="15.75" x14ac:dyDescent="0.3">
      <c r="A94" s="150">
        <v>89</v>
      </c>
      <c r="B94" s="10" t="s">
        <v>1107</v>
      </c>
      <c r="C94">
        <v>21025697.109595299</v>
      </c>
      <c r="E94" s="10" t="s">
        <v>394</v>
      </c>
      <c r="F94" s="151">
        <f>IF(ISNUMBER(M51),M51/SUM($I$43:$AI$71),0)</f>
        <v>5.7344726997810222E-3</v>
      </c>
      <c r="H94" s="160" t="s">
        <v>332</v>
      </c>
      <c r="I94" s="37">
        <f t="shared" si="7"/>
        <v>53.783993957674674</v>
      </c>
      <c r="J94" s="1">
        <f t="shared" si="7"/>
        <v>79.071582905017195</v>
      </c>
      <c r="K94" s="1">
        <f t="shared" si="7"/>
        <v>95.670753664353128</v>
      </c>
      <c r="L94" s="1">
        <f t="shared" si="7"/>
        <v>90.56214662850708</v>
      </c>
      <c r="M94" s="1">
        <f t="shared" si="7"/>
        <v>78.315293796866627</v>
      </c>
      <c r="N94" s="1">
        <f t="shared" si="7"/>
        <v>83.670904334191363</v>
      </c>
      <c r="O94" s="1">
        <f t="shared" si="7"/>
        <v>97.442075074311433</v>
      </c>
      <c r="P94" s="1">
        <f t="shared" si="7"/>
        <v>90.780573503060111</v>
      </c>
      <c r="Q94" s="1">
        <f t="shared" si="7"/>
        <v>79.168876037797745</v>
      </c>
      <c r="R94" s="31" t="str">
        <f t="shared" si="7"/>
        <v/>
      </c>
      <c r="S94" s="31" t="str">
        <f t="shared" si="7"/>
        <v/>
      </c>
      <c r="T94" s="31" t="str">
        <f t="shared" si="7"/>
        <v/>
      </c>
      <c r="U94" s="31" t="str">
        <f t="shared" si="7"/>
        <v/>
      </c>
      <c r="V94" s="31" t="str">
        <f t="shared" si="7"/>
        <v/>
      </c>
      <c r="W94" s="31" t="str">
        <f t="shared" si="7"/>
        <v/>
      </c>
      <c r="X94" s="31" t="str">
        <f t="shared" si="7"/>
        <v/>
      </c>
      <c r="Y94" s="1">
        <f t="shared" si="6"/>
        <v>102.41716861920929</v>
      </c>
      <c r="Z94" s="1">
        <f t="shared" si="6"/>
        <v>87.405559119431729</v>
      </c>
      <c r="AA94" s="1">
        <f t="shared" si="6"/>
        <v>93.689555925123088</v>
      </c>
      <c r="AB94" s="1">
        <f t="shared" si="6"/>
        <v>93.432472065993863</v>
      </c>
      <c r="AC94" s="1">
        <f t="shared" si="6"/>
        <v>91.641133809149451</v>
      </c>
      <c r="AD94" s="1">
        <f t="shared" si="6"/>
        <v>92.45513913890538</v>
      </c>
      <c r="AE94" s="1">
        <f t="shared" si="6"/>
        <v>98.793735072877652</v>
      </c>
      <c r="AF94" s="1">
        <f t="shared" si="6"/>
        <v>95.44568429810181</v>
      </c>
      <c r="AG94" s="29">
        <f t="shared" si="6"/>
        <v>95.298831492955316</v>
      </c>
      <c r="AH94" s="1">
        <f t="shared" si="6"/>
        <v>76.560764306127524</v>
      </c>
      <c r="AI94" s="144" t="str">
        <f t="shared" si="6"/>
        <v/>
      </c>
    </row>
    <row r="95" spans="1:35" ht="15.75" x14ac:dyDescent="0.3">
      <c r="A95" s="150">
        <v>90</v>
      </c>
      <c r="B95" s="10" t="s">
        <v>1108</v>
      </c>
      <c r="C95">
        <v>19901194.990027402</v>
      </c>
      <c r="E95" s="10" t="s">
        <v>395</v>
      </c>
      <c r="F95" s="151">
        <f>IF(ISNUMBER(N51),N51/SUM($I$43:$AI$71),0)</f>
        <v>3.43811544667629E-3</v>
      </c>
      <c r="H95" s="160" t="s">
        <v>333</v>
      </c>
      <c r="I95" s="37">
        <f t="shared" si="7"/>
        <v>49.893247628826238</v>
      </c>
      <c r="J95" s="1">
        <f t="shared" si="7"/>
        <v>78.933662425714218</v>
      </c>
      <c r="K95" s="1">
        <f t="shared" si="7"/>
        <v>95.132879449782635</v>
      </c>
      <c r="L95" s="1">
        <f t="shared" si="7"/>
        <v>89.989557595134769</v>
      </c>
      <c r="M95" s="1">
        <f t="shared" si="7"/>
        <v>79.165532869267693</v>
      </c>
      <c r="N95" s="1">
        <f t="shared" si="7"/>
        <v>82.779074263625219</v>
      </c>
      <c r="O95" s="1">
        <f t="shared" si="7"/>
        <v>94.080759932339518</v>
      </c>
      <c r="P95" s="1">
        <f t="shared" si="7"/>
        <v>91.812682044463699</v>
      </c>
      <c r="Q95" s="1">
        <f t="shared" si="7"/>
        <v>66.725095669786427</v>
      </c>
      <c r="R95" s="31" t="str">
        <f t="shared" si="7"/>
        <v/>
      </c>
      <c r="S95" s="31" t="str">
        <f t="shared" si="7"/>
        <v/>
      </c>
      <c r="T95" s="31" t="str">
        <f t="shared" si="7"/>
        <v/>
      </c>
      <c r="U95" s="31" t="str">
        <f t="shared" si="7"/>
        <v/>
      </c>
      <c r="V95" s="31" t="str">
        <f t="shared" si="7"/>
        <v/>
      </c>
      <c r="W95" s="31" t="str">
        <f t="shared" si="7"/>
        <v/>
      </c>
      <c r="X95" s="31" t="str">
        <f t="shared" si="7"/>
        <v/>
      </c>
      <c r="Y95" s="1" t="str">
        <f t="shared" si="6"/>
        <v/>
      </c>
      <c r="Z95" s="1" t="str">
        <f t="shared" si="6"/>
        <v/>
      </c>
      <c r="AA95" s="1">
        <f t="shared" si="6"/>
        <v>85.848098897732399</v>
      </c>
      <c r="AB95" s="1">
        <f t="shared" si="6"/>
        <v>96.134091184993665</v>
      </c>
      <c r="AC95" s="1">
        <f t="shared" si="6"/>
        <v>91.256386193653185</v>
      </c>
      <c r="AD95" s="1">
        <f t="shared" si="6"/>
        <v>90.543647197720929</v>
      </c>
      <c r="AE95" s="1">
        <f t="shared" si="6"/>
        <v>97.364062076234887</v>
      </c>
      <c r="AF95" s="1">
        <f t="shared" si="6"/>
        <v>97.847579627195003</v>
      </c>
      <c r="AG95" s="1">
        <f t="shared" si="6"/>
        <v>89.241138062813889</v>
      </c>
      <c r="AH95" s="29">
        <f t="shared" si="6"/>
        <v>104.54059513874498</v>
      </c>
      <c r="AI95" s="145" t="str">
        <f t="shared" si="6"/>
        <v/>
      </c>
    </row>
    <row r="96" spans="1:35" ht="15.75" x14ac:dyDescent="0.3">
      <c r="A96" s="150">
        <v>91</v>
      </c>
      <c r="B96" s="10" t="s">
        <v>681</v>
      </c>
      <c r="C96">
        <v>89269.7014218736</v>
      </c>
      <c r="E96" s="10" t="s">
        <v>396</v>
      </c>
      <c r="F96" s="151">
        <f>IF(ISNUMBER(O51),O51/SUM($I$43:$AI$71),0)</f>
        <v>1.8066601630576235E-3</v>
      </c>
      <c r="H96" s="160" t="s">
        <v>334</v>
      </c>
      <c r="I96" s="37">
        <f t="shared" si="7"/>
        <v>44.318913032366652</v>
      </c>
      <c r="J96" s="1">
        <f t="shared" si="7"/>
        <v>78.550190141912935</v>
      </c>
      <c r="K96" s="1">
        <f t="shared" si="7"/>
        <v>95.605536067047595</v>
      </c>
      <c r="L96" s="1">
        <f t="shared" si="7"/>
        <v>90.556318652291196</v>
      </c>
      <c r="M96" s="1">
        <f t="shared" si="7"/>
        <v>78.677262176467323</v>
      </c>
      <c r="N96" s="1">
        <f t="shared" si="7"/>
        <v>83.43551219588268</v>
      </c>
      <c r="O96" s="1">
        <f t="shared" si="7"/>
        <v>95.007831636012241</v>
      </c>
      <c r="P96" s="1">
        <f t="shared" si="7"/>
        <v>95.097669062329587</v>
      </c>
      <c r="Q96" s="1">
        <f t="shared" si="7"/>
        <v>74.818486961529786</v>
      </c>
      <c r="R96" s="31" t="str">
        <f t="shared" si="7"/>
        <v/>
      </c>
      <c r="S96" s="31" t="str">
        <f t="shared" si="7"/>
        <v/>
      </c>
      <c r="T96" s="31" t="str">
        <f t="shared" si="7"/>
        <v/>
      </c>
      <c r="U96" s="31" t="str">
        <f t="shared" si="7"/>
        <v/>
      </c>
      <c r="V96" s="31" t="str">
        <f t="shared" si="7"/>
        <v/>
      </c>
      <c r="W96" s="31" t="str">
        <f t="shared" si="7"/>
        <v/>
      </c>
      <c r="X96" s="31" t="str">
        <f t="shared" si="7"/>
        <v/>
      </c>
      <c r="Y96" s="1" t="str">
        <f t="shared" si="6"/>
        <v/>
      </c>
      <c r="Z96" s="1" t="str">
        <f t="shared" si="6"/>
        <v/>
      </c>
      <c r="AA96" s="1" t="str">
        <f t="shared" si="6"/>
        <v/>
      </c>
      <c r="AB96" s="1">
        <f t="shared" si="6"/>
        <v>99.165875438478594</v>
      </c>
      <c r="AC96" s="1">
        <f t="shared" si="6"/>
        <v>88.396646756073864</v>
      </c>
      <c r="AD96" s="1">
        <f t="shared" si="6"/>
        <v>91.113819132540485</v>
      </c>
      <c r="AE96" s="1">
        <f t="shared" si="6"/>
        <v>95.327715745189394</v>
      </c>
      <c r="AF96" s="1">
        <f t="shared" si="6"/>
        <v>100.06832381686361</v>
      </c>
      <c r="AG96" s="1">
        <f t="shared" si="6"/>
        <v>91.071242697145323</v>
      </c>
      <c r="AH96" s="1">
        <f t="shared" si="6"/>
        <v>92.457914783344748</v>
      </c>
      <c r="AI96" s="29">
        <f t="shared" si="6"/>
        <v>100.01532847663846</v>
      </c>
    </row>
    <row r="97" spans="1:35" ht="15.75" x14ac:dyDescent="0.3">
      <c r="A97" s="150">
        <v>92</v>
      </c>
      <c r="B97" s="10" t="s">
        <v>682</v>
      </c>
      <c r="C97">
        <v>65549.299968751104</v>
      </c>
      <c r="E97" s="10" t="s">
        <v>397</v>
      </c>
      <c r="F97" s="151">
        <f>IF(ISNUMBER(P51),P51/SUM($I$43:$AI$71),0)</f>
        <v>6.3961000962218042E-4</v>
      </c>
      <c r="H97" s="160" t="s">
        <v>335</v>
      </c>
      <c r="I97" s="37">
        <f t="shared" si="7"/>
        <v>33.71936352843074</v>
      </c>
      <c r="J97" s="1">
        <f t="shared" si="7"/>
        <v>78.125238950365315</v>
      </c>
      <c r="K97" s="1">
        <f t="shared" si="7"/>
        <v>94.425709639327764</v>
      </c>
      <c r="L97" s="1">
        <f t="shared" si="7"/>
        <v>90.972993729216924</v>
      </c>
      <c r="M97" s="1">
        <f t="shared" si="7"/>
        <v>79.698553324405964</v>
      </c>
      <c r="N97" s="1">
        <f t="shared" si="7"/>
        <v>82.958208312087251</v>
      </c>
      <c r="O97" s="1">
        <f t="shared" si="7"/>
        <v>92.630752321582108</v>
      </c>
      <c r="P97" s="1">
        <f t="shared" si="7"/>
        <v>94.058363497436417</v>
      </c>
      <c r="Q97" s="1">
        <f t="shared" si="7"/>
        <v>84.009043447093759</v>
      </c>
      <c r="R97" s="31" t="str">
        <f t="shared" si="7"/>
        <v/>
      </c>
      <c r="S97" s="31" t="str">
        <f t="shared" si="7"/>
        <v/>
      </c>
      <c r="T97" s="31" t="str">
        <f t="shared" si="7"/>
        <v/>
      </c>
      <c r="U97" s="31" t="str">
        <f t="shared" si="7"/>
        <v/>
      </c>
      <c r="V97" s="31" t="str">
        <f t="shared" si="7"/>
        <v/>
      </c>
      <c r="W97" s="31" t="str">
        <f t="shared" si="7"/>
        <v/>
      </c>
      <c r="X97" s="31" t="str">
        <f t="shared" si="7"/>
        <v/>
      </c>
      <c r="Y97" s="31" t="str">
        <f t="shared" si="6"/>
        <v/>
      </c>
      <c r="Z97" s="31" t="str">
        <f t="shared" si="6"/>
        <v/>
      </c>
      <c r="AA97" s="31" t="str">
        <f t="shared" si="6"/>
        <v/>
      </c>
      <c r="AB97" s="31">
        <f t="shared" si="6"/>
        <v>103.96432364571328</v>
      </c>
      <c r="AC97" s="31">
        <f t="shared" si="6"/>
        <v>88.285608509741422</v>
      </c>
      <c r="AD97" s="31">
        <f t="shared" si="6"/>
        <v>89.058928307316393</v>
      </c>
      <c r="AE97" s="31">
        <f t="shared" si="6"/>
        <v>98.989217617127409</v>
      </c>
      <c r="AF97" s="31">
        <f t="shared" si="6"/>
        <v>101.75747564694669</v>
      </c>
      <c r="AG97" s="31">
        <f t="shared" si="6"/>
        <v>93.900472783744391</v>
      </c>
      <c r="AH97" s="31">
        <f t="shared" si="6"/>
        <v>91.532360063732568</v>
      </c>
      <c r="AI97" s="28" t="str">
        <f t="shared" si="6"/>
        <v/>
      </c>
    </row>
    <row r="98" spans="1:35" ht="15.75" x14ac:dyDescent="0.3">
      <c r="A98" s="150">
        <v>93</v>
      </c>
      <c r="B98" s="10" t="s">
        <v>77</v>
      </c>
      <c r="C98">
        <v>49231243.136416398</v>
      </c>
      <c r="E98" s="10" t="s">
        <v>398</v>
      </c>
      <c r="F98" s="151">
        <f>IF(ISNUMBER(Q51),Q51/SUM($I$43:$AI$71),0)</f>
        <v>1.1261063690643576E-4</v>
      </c>
      <c r="H98" s="160" t="s">
        <v>336</v>
      </c>
      <c r="I98" s="37">
        <f t="shared" si="7"/>
        <v>32.201939890952822</v>
      </c>
      <c r="J98" s="1">
        <f t="shared" si="7"/>
        <v>75.409276772572554</v>
      </c>
      <c r="K98" s="1">
        <f t="shared" si="7"/>
        <v>95.550631202070718</v>
      </c>
      <c r="L98" s="1">
        <f t="shared" si="7"/>
        <v>93.293874495240701</v>
      </c>
      <c r="M98" s="1">
        <f t="shared" si="7"/>
        <v>78.015461198421235</v>
      </c>
      <c r="N98" s="1">
        <f t="shared" si="7"/>
        <v>83.383668408798812</v>
      </c>
      <c r="O98" s="1">
        <f t="shared" si="7"/>
        <v>98.479810683388266</v>
      </c>
      <c r="P98" s="1">
        <f t="shared" si="7"/>
        <v>94.494976850821857</v>
      </c>
      <c r="Q98" s="1">
        <f t="shared" si="7"/>
        <v>86.075671913515876</v>
      </c>
      <c r="R98" s="31" t="str">
        <f t="shared" si="7"/>
        <v/>
      </c>
      <c r="S98" s="31" t="str">
        <f t="shared" si="7"/>
        <v/>
      </c>
      <c r="T98" s="31" t="str">
        <f t="shared" si="7"/>
        <v/>
      </c>
      <c r="U98" s="31" t="str">
        <f t="shared" si="7"/>
        <v/>
      </c>
      <c r="V98" s="31" t="str">
        <f t="shared" si="7"/>
        <v/>
      </c>
      <c r="W98" s="31" t="str">
        <f t="shared" si="7"/>
        <v/>
      </c>
      <c r="X98" s="31" t="str">
        <f t="shared" si="7"/>
        <v/>
      </c>
      <c r="Y98" s="31" t="str">
        <f t="shared" si="6"/>
        <v/>
      </c>
      <c r="Z98" s="31" t="str">
        <f t="shared" si="6"/>
        <v/>
      </c>
      <c r="AA98" s="31" t="str">
        <f t="shared" si="6"/>
        <v/>
      </c>
      <c r="AB98" s="31" t="str">
        <f t="shared" si="6"/>
        <v/>
      </c>
      <c r="AC98" s="31">
        <f t="shared" si="6"/>
        <v>77.702855029798727</v>
      </c>
      <c r="AD98" s="31">
        <f t="shared" si="6"/>
        <v>86.525196543986624</v>
      </c>
      <c r="AE98" s="31">
        <f t="shared" si="6"/>
        <v>90.883508101936755</v>
      </c>
      <c r="AF98" s="31">
        <f t="shared" si="6"/>
        <v>97.844354376468161</v>
      </c>
      <c r="AG98" s="31">
        <f t="shared" si="6"/>
        <v>93.532695855003595</v>
      </c>
      <c r="AH98" s="31">
        <f t="shared" si="6"/>
        <v>95.159218785978183</v>
      </c>
      <c r="AI98" s="28" t="str">
        <f t="shared" si="6"/>
        <v/>
      </c>
    </row>
    <row r="99" spans="1:35" ht="15.75" x14ac:dyDescent="0.3">
      <c r="A99" s="150">
        <v>94</v>
      </c>
      <c r="B99" s="10" t="s">
        <v>78</v>
      </c>
      <c r="C99">
        <v>38846112.649614297</v>
      </c>
      <c r="E99" s="10" t="s">
        <v>507</v>
      </c>
      <c r="F99" s="151">
        <f>IF(ISNUMBER(R51),R51/SUM($I$43:$AI$71),0)</f>
        <v>3.3312394445701723E-5</v>
      </c>
      <c r="H99" s="160" t="s">
        <v>337</v>
      </c>
      <c r="I99" s="37" t="str">
        <f t="shared" si="7"/>
        <v/>
      </c>
      <c r="J99" s="1">
        <f t="shared" si="7"/>
        <v>71.703520298598008</v>
      </c>
      <c r="K99" s="1">
        <f t="shared" si="7"/>
        <v>98.642384235127693</v>
      </c>
      <c r="L99" s="1">
        <f t="shared" si="7"/>
        <v>88.393308970247702</v>
      </c>
      <c r="M99" s="1">
        <f t="shared" si="7"/>
        <v>76.858527886757557</v>
      </c>
      <c r="N99" s="1">
        <f t="shared" si="7"/>
        <v>81.755361478310292</v>
      </c>
      <c r="O99" s="1">
        <f t="shared" si="7"/>
        <v>92.856776292581969</v>
      </c>
      <c r="P99" s="1">
        <f t="shared" si="7"/>
        <v>100.7788270660981</v>
      </c>
      <c r="Q99" s="1">
        <f t="shared" si="7"/>
        <v>48.621104995002042</v>
      </c>
      <c r="R99" s="142" t="str">
        <f t="shared" si="7"/>
        <v/>
      </c>
      <c r="S99" s="142" t="str">
        <f t="shared" si="7"/>
        <v/>
      </c>
      <c r="T99" s="142" t="str">
        <f t="shared" si="7"/>
        <v/>
      </c>
      <c r="U99" s="142" t="str">
        <f t="shared" si="7"/>
        <v/>
      </c>
      <c r="V99" s="142" t="str">
        <f t="shared" si="7"/>
        <v/>
      </c>
      <c r="W99" s="142" t="str">
        <f t="shared" si="7"/>
        <v/>
      </c>
      <c r="X99" s="142" t="str">
        <f t="shared" si="7"/>
        <v/>
      </c>
      <c r="Y99" s="142" t="str">
        <f t="shared" si="6"/>
        <v/>
      </c>
      <c r="Z99" s="31" t="str">
        <f t="shared" si="6"/>
        <v/>
      </c>
      <c r="AA99" s="31" t="str">
        <f t="shared" si="6"/>
        <v/>
      </c>
      <c r="AB99" s="31" t="str">
        <f t="shared" si="6"/>
        <v/>
      </c>
      <c r="AC99" s="31" t="str">
        <f t="shared" si="6"/>
        <v/>
      </c>
      <c r="AD99" s="31" t="str">
        <f t="shared" si="6"/>
        <v/>
      </c>
      <c r="AE99" s="31">
        <f t="shared" si="6"/>
        <v>101.0982736629102</v>
      </c>
      <c r="AF99" s="31">
        <f t="shared" si="6"/>
        <v>98.82474497300646</v>
      </c>
      <c r="AG99" s="31">
        <f t="shared" si="6"/>
        <v>94.406758475029847</v>
      </c>
      <c r="AH99" s="31" t="str">
        <f t="shared" si="6"/>
        <v/>
      </c>
      <c r="AI99" s="28" t="str">
        <f t="shared" si="6"/>
        <v/>
      </c>
    </row>
    <row r="100" spans="1:35" ht="15.75" x14ac:dyDescent="0.3">
      <c r="A100" s="150">
        <v>95</v>
      </c>
      <c r="B100" s="10" t="s">
        <v>79</v>
      </c>
      <c r="C100">
        <v>249610949.90059701</v>
      </c>
      <c r="E100" s="10" t="s">
        <v>508</v>
      </c>
      <c r="F100" s="151">
        <f>IF(ISNUMBER(S51),S51/SUM($I$43:$AI$71),0)</f>
        <v>5.4474890904741595E-5</v>
      </c>
      <c r="H100" s="160" t="s">
        <v>338</v>
      </c>
      <c r="I100" s="37" t="str">
        <f t="shared" si="7"/>
        <v/>
      </c>
      <c r="J100" s="1">
        <f t="shared" si="7"/>
        <v>73.950727894929116</v>
      </c>
      <c r="K100" s="1">
        <f t="shared" si="7"/>
        <v>93.509826691890382</v>
      </c>
      <c r="L100" s="1">
        <f t="shared" si="7"/>
        <v>91.677913210548226</v>
      </c>
      <c r="M100" s="1">
        <f t="shared" si="7"/>
        <v>77.326526723899931</v>
      </c>
      <c r="N100" s="1">
        <f t="shared" si="7"/>
        <v>81.253791489808577</v>
      </c>
      <c r="O100" s="1">
        <f t="shared" si="7"/>
        <v>94.868668871684065</v>
      </c>
      <c r="P100" s="1">
        <f t="shared" si="7"/>
        <v>85.54548001263737</v>
      </c>
      <c r="Q100" s="1">
        <f t="shared" si="7"/>
        <v>77.835291439330504</v>
      </c>
      <c r="R100" s="142" t="str">
        <f t="shared" si="7"/>
        <v/>
      </c>
      <c r="S100" s="162" t="str">
        <f t="shared" si="7"/>
        <v/>
      </c>
      <c r="T100" s="162" t="str">
        <f t="shared" si="7"/>
        <v/>
      </c>
      <c r="U100" s="162" t="str">
        <f t="shared" si="7"/>
        <v/>
      </c>
      <c r="V100" s="162" t="str">
        <f t="shared" si="7"/>
        <v/>
      </c>
      <c r="W100" s="162" t="str">
        <f t="shared" si="7"/>
        <v/>
      </c>
      <c r="X100" s="142" t="str">
        <f t="shared" si="7"/>
        <v/>
      </c>
      <c r="Y100" s="142" t="str">
        <f t="shared" ref="Y100:AI102" si="8">IF(ISNUMBER(IF(ISNUMBER(Y164),IF(AND(1000000*Y132&gt;$J$2,1000000*Y164&gt;$J$2),Y164,""),"")/IF(ISNUMBER(Y132),IF(AND(1000000*Y132&gt;$J$2,1000000*Y164&gt;$J$2),Y132,""),"")),100*Y164/Y132,"")</f>
        <v/>
      </c>
      <c r="Z100" s="31" t="str">
        <f t="shared" si="8"/>
        <v/>
      </c>
      <c r="AA100" s="31" t="str">
        <f t="shared" si="8"/>
        <v/>
      </c>
      <c r="AB100" s="31" t="str">
        <f t="shared" si="8"/>
        <v/>
      </c>
      <c r="AC100" s="31" t="str">
        <f t="shared" si="8"/>
        <v/>
      </c>
      <c r="AD100" s="31" t="str">
        <f t="shared" si="8"/>
        <v/>
      </c>
      <c r="AE100" s="31" t="str">
        <f t="shared" si="8"/>
        <v/>
      </c>
      <c r="AF100" s="31">
        <f t="shared" si="8"/>
        <v>93.59124284002246</v>
      </c>
      <c r="AG100" s="31">
        <f t="shared" si="8"/>
        <v>90.831231393699397</v>
      </c>
      <c r="AH100" s="31" t="str">
        <f t="shared" si="8"/>
        <v/>
      </c>
      <c r="AI100" s="28" t="str">
        <f t="shared" si="8"/>
        <v/>
      </c>
    </row>
    <row r="101" spans="1:35" ht="15.75" x14ac:dyDescent="0.3">
      <c r="A101" s="150">
        <v>96</v>
      </c>
      <c r="B101" s="10" t="s">
        <v>80</v>
      </c>
      <c r="C101">
        <v>243429998.92952001</v>
      </c>
      <c r="E101" s="10" t="s">
        <v>509</v>
      </c>
      <c r="F101" s="151">
        <f>IF(ISNUMBER(T51),T51/SUM($I$43:$AI$71),0)</f>
        <v>3.8005668260036215E-5</v>
      </c>
      <c r="H101" s="160" t="s">
        <v>339</v>
      </c>
      <c r="I101" s="37" t="str">
        <f t="shared" si="7"/>
        <v/>
      </c>
      <c r="J101" s="1">
        <f t="shared" si="7"/>
        <v>74.322211313258251</v>
      </c>
      <c r="K101" s="1">
        <f t="shared" si="7"/>
        <v>93.273492120812421</v>
      </c>
      <c r="L101" s="1">
        <f t="shared" si="7"/>
        <v>89.741112719993836</v>
      </c>
      <c r="M101" s="1">
        <f t="shared" si="7"/>
        <v>75.472138969257301</v>
      </c>
      <c r="N101" s="1">
        <f t="shared" si="7"/>
        <v>83.480830669558401</v>
      </c>
      <c r="O101" s="1">
        <f t="shared" si="7"/>
        <v>84.283208820137943</v>
      </c>
      <c r="P101" s="1">
        <f t="shared" si="7"/>
        <v>97.160763942029334</v>
      </c>
      <c r="Q101" s="1" t="str">
        <f t="shared" si="7"/>
        <v/>
      </c>
      <c r="R101" s="142" t="str">
        <f t="shared" si="7"/>
        <v/>
      </c>
      <c r="S101" s="162" t="str">
        <f t="shared" si="7"/>
        <v/>
      </c>
      <c r="T101" s="162" t="str">
        <f t="shared" si="7"/>
        <v/>
      </c>
      <c r="U101" s="162" t="str">
        <f t="shared" si="7"/>
        <v/>
      </c>
      <c r="V101" s="162" t="str">
        <f t="shared" si="7"/>
        <v/>
      </c>
      <c r="W101" s="162" t="str">
        <f t="shared" si="7"/>
        <v/>
      </c>
      <c r="X101" s="142" t="str">
        <f t="shared" si="7"/>
        <v/>
      </c>
      <c r="Y101" s="142" t="str">
        <f t="shared" si="8"/>
        <v/>
      </c>
      <c r="Z101" s="31" t="str">
        <f t="shared" si="8"/>
        <v/>
      </c>
      <c r="AA101" s="31" t="str">
        <f t="shared" si="8"/>
        <v/>
      </c>
      <c r="AB101" s="31" t="str">
        <f t="shared" si="8"/>
        <v/>
      </c>
      <c r="AC101" s="31" t="str">
        <f t="shared" si="8"/>
        <v/>
      </c>
      <c r="AD101" s="31" t="str">
        <f t="shared" si="8"/>
        <v/>
      </c>
      <c r="AE101" s="31" t="str">
        <f t="shared" si="8"/>
        <v/>
      </c>
      <c r="AF101" s="31" t="str">
        <f t="shared" si="8"/>
        <v/>
      </c>
      <c r="AG101" s="31">
        <f t="shared" si="8"/>
        <v>74.605669625470156</v>
      </c>
      <c r="AH101" s="31" t="str">
        <f t="shared" si="8"/>
        <v/>
      </c>
      <c r="AI101" s="28" t="str">
        <f t="shared" si="8"/>
        <v/>
      </c>
    </row>
    <row r="102" spans="1:35" ht="15.75" x14ac:dyDescent="0.3">
      <c r="A102" s="150">
        <v>97</v>
      </c>
      <c r="B102" s="10" t="s">
        <v>81</v>
      </c>
      <c r="C102">
        <v>601742372.67532301</v>
      </c>
      <c r="E102" s="10" t="s">
        <v>510</v>
      </c>
      <c r="F102" s="151">
        <f>IF(ISNUMBER(U51),U51/SUM($I$43:$AI$71),0)</f>
        <v>0</v>
      </c>
      <c r="H102" s="161" t="s">
        <v>340</v>
      </c>
      <c r="I102" s="36" t="str">
        <f t="shared" si="7"/>
        <v/>
      </c>
      <c r="J102" s="33">
        <f t="shared" si="7"/>
        <v>62.940363275193221</v>
      </c>
      <c r="K102" s="33">
        <f t="shared" si="7"/>
        <v>84.372609886024492</v>
      </c>
      <c r="L102" s="33">
        <f t="shared" si="7"/>
        <v>90.210742269489813</v>
      </c>
      <c r="M102" s="33">
        <f t="shared" si="7"/>
        <v>71.434819848724345</v>
      </c>
      <c r="N102" s="33">
        <f t="shared" si="7"/>
        <v>80.548230178045188</v>
      </c>
      <c r="O102" s="33">
        <f t="shared" si="7"/>
        <v>92.180524884231303</v>
      </c>
      <c r="P102" s="33">
        <f t="shared" si="7"/>
        <v>100.63791879362988</v>
      </c>
      <c r="Q102" s="33" t="str">
        <f t="shared" si="7"/>
        <v/>
      </c>
      <c r="R102" s="163" t="str">
        <f t="shared" si="7"/>
        <v/>
      </c>
      <c r="S102" s="163" t="str">
        <f t="shared" si="7"/>
        <v/>
      </c>
      <c r="T102" s="163" t="str">
        <f t="shared" si="7"/>
        <v/>
      </c>
      <c r="U102" s="163" t="str">
        <f t="shared" si="7"/>
        <v/>
      </c>
      <c r="V102" s="163" t="str">
        <f t="shared" si="7"/>
        <v/>
      </c>
      <c r="W102" s="163" t="str">
        <f t="shared" si="7"/>
        <v/>
      </c>
      <c r="X102" s="143" t="str">
        <f t="shared" si="7"/>
        <v/>
      </c>
      <c r="Y102" s="143" t="str">
        <f t="shared" si="8"/>
        <v/>
      </c>
      <c r="Z102" s="33" t="str">
        <f t="shared" si="8"/>
        <v/>
      </c>
      <c r="AA102" s="33" t="str">
        <f t="shared" si="8"/>
        <v/>
      </c>
      <c r="AB102" s="33" t="str">
        <f t="shared" si="8"/>
        <v/>
      </c>
      <c r="AC102" s="33" t="str">
        <f t="shared" si="8"/>
        <v/>
      </c>
      <c r="AD102" s="33" t="str">
        <f t="shared" si="8"/>
        <v/>
      </c>
      <c r="AE102" s="33" t="str">
        <f t="shared" si="8"/>
        <v/>
      </c>
      <c r="AF102" s="33" t="str">
        <f t="shared" si="8"/>
        <v/>
      </c>
      <c r="AG102" s="33" t="str">
        <f t="shared" si="8"/>
        <v/>
      </c>
      <c r="AH102" s="33" t="str">
        <f t="shared" si="8"/>
        <v/>
      </c>
      <c r="AI102" s="34" t="str">
        <f t="shared" si="8"/>
        <v/>
      </c>
    </row>
    <row r="103" spans="1:35" x14ac:dyDescent="0.25">
      <c r="A103" s="150">
        <v>98</v>
      </c>
      <c r="B103" s="10" t="s">
        <v>82</v>
      </c>
      <c r="C103">
        <v>533592051.887375</v>
      </c>
      <c r="E103" s="10" t="s">
        <v>1053</v>
      </c>
      <c r="F103" s="151">
        <f>IF(ISNUMBER(V51),V51/SUM($I$43:$AI$71),0)</f>
        <v>0</v>
      </c>
    </row>
    <row r="104" spans="1:35" x14ac:dyDescent="0.25">
      <c r="A104" s="150">
        <v>99</v>
      </c>
      <c r="B104" s="10" t="s">
        <v>83</v>
      </c>
      <c r="C104">
        <v>616204188.28456104</v>
      </c>
      <c r="E104" s="10" t="s">
        <v>1575</v>
      </c>
      <c r="F104" s="151">
        <f>IF(ISNUMBER(W51),W51/SUM($I$43:$AI$71),0)</f>
        <v>0</v>
      </c>
      <c r="H104" s="246" t="s">
        <v>1088</v>
      </c>
      <c r="AD104" s="237" t="s">
        <v>1818</v>
      </c>
      <c r="AE104" s="153">
        <f>C2</f>
        <v>404830793.527542</v>
      </c>
      <c r="AG104" s="237" t="s">
        <v>1819</v>
      </c>
      <c r="AH104" s="153">
        <f>C4</f>
        <v>191809.725175776</v>
      </c>
    </row>
    <row r="105" spans="1:35" ht="15.75" x14ac:dyDescent="0.3">
      <c r="A105" s="150">
        <v>100</v>
      </c>
      <c r="B105" s="10" t="s">
        <v>84</v>
      </c>
      <c r="C105">
        <v>484187933.67382801</v>
      </c>
      <c r="E105" s="10" t="s">
        <v>511</v>
      </c>
      <c r="F105" s="151">
        <f>IF(ISNUMBER(I52),I52/SUM($I$43:$AI$71),0)</f>
        <v>9.2926352370071365E-5</v>
      </c>
      <c r="H105" s="247"/>
      <c r="I105" s="154" t="s">
        <v>1012</v>
      </c>
      <c r="J105" s="155" t="s">
        <v>322</v>
      </c>
      <c r="K105" s="155" t="s">
        <v>323</v>
      </c>
      <c r="L105" s="155" t="s">
        <v>324</v>
      </c>
      <c r="M105" s="155" t="s">
        <v>325</v>
      </c>
      <c r="N105" s="155" t="s">
        <v>326</v>
      </c>
      <c r="O105" s="155" t="s">
        <v>2</v>
      </c>
      <c r="P105" s="155" t="s">
        <v>3</v>
      </c>
      <c r="Q105" s="155" t="s">
        <v>4</v>
      </c>
      <c r="R105" s="155" t="s">
        <v>5</v>
      </c>
      <c r="S105" s="155" t="s">
        <v>6</v>
      </c>
      <c r="T105" s="155" t="s">
        <v>7</v>
      </c>
      <c r="U105" s="155" t="s">
        <v>8</v>
      </c>
      <c r="V105" s="155" t="s">
        <v>1016</v>
      </c>
      <c r="W105" s="155" t="s">
        <v>1017</v>
      </c>
      <c r="X105" s="155" t="s">
        <v>1018</v>
      </c>
      <c r="Y105" s="155" t="s">
        <v>1074</v>
      </c>
      <c r="Z105" s="155" t="s">
        <v>1075</v>
      </c>
      <c r="AA105" s="155" t="s">
        <v>1076</v>
      </c>
      <c r="AB105" s="155" t="s">
        <v>1077</v>
      </c>
      <c r="AC105" s="155" t="s">
        <v>1078</v>
      </c>
      <c r="AD105" s="155" t="s">
        <v>1079</v>
      </c>
      <c r="AE105" s="155" t="s">
        <v>1080</v>
      </c>
      <c r="AF105" s="155" t="s">
        <v>1081</v>
      </c>
      <c r="AG105" s="155" t="s">
        <v>1082</v>
      </c>
      <c r="AH105" s="155" t="s">
        <v>1083</v>
      </c>
      <c r="AI105" s="157" t="s">
        <v>1084</v>
      </c>
    </row>
    <row r="106" spans="1:35" ht="15.75" x14ac:dyDescent="0.3">
      <c r="A106" s="150">
        <v>101</v>
      </c>
      <c r="B106" s="10" t="s">
        <v>85</v>
      </c>
      <c r="C106">
        <v>334947317.36286902</v>
      </c>
      <c r="E106" s="10" t="s">
        <v>399</v>
      </c>
      <c r="F106" s="151">
        <f>IF(ISNUMBER(J52),J52/SUM($I$43:$AI$71),0)</f>
        <v>1.4194200533877274E-3</v>
      </c>
      <c r="H106" s="158" t="s">
        <v>1011</v>
      </c>
      <c r="I106" s="11">
        <f t="shared" ref="I106:X121" si="9">IF(ISNUMBER(VLOOKUP(CONCATENATE($H106,"_",I$105,"_a"),$B$6:$C$1151,2,FALSE)),VLOOKUP(CONCATENATE($H106,"_",I$105,"_a"),$B$6:$C$1151,2,FALSE)/1000000,"N/A")</f>
        <v>0</v>
      </c>
      <c r="J106" s="11">
        <f t="shared" si="9"/>
        <v>0</v>
      </c>
      <c r="K106" s="6">
        <f t="shared" si="9"/>
        <v>3.1208204553220399E-3</v>
      </c>
      <c r="L106" s="6">
        <f t="shared" si="9"/>
        <v>0</v>
      </c>
      <c r="M106" s="12">
        <f t="shared" si="9"/>
        <v>5.4706396195311098E-2</v>
      </c>
      <c r="N106" s="6">
        <f t="shared" si="9"/>
        <v>3.4637875949703198E-3</v>
      </c>
      <c r="O106" s="141">
        <f t="shared" si="9"/>
        <v>0</v>
      </c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</row>
    <row r="107" spans="1:35" ht="15.75" x14ac:dyDescent="0.3">
      <c r="A107" s="150">
        <v>102</v>
      </c>
      <c r="B107" s="10" t="s">
        <v>86</v>
      </c>
      <c r="C107">
        <v>284849965.59895301</v>
      </c>
      <c r="E107" s="10" t="s">
        <v>400</v>
      </c>
      <c r="F107" s="151">
        <f>IF(ISNUMBER(K52),K52/SUM($I$43:$AI$71),0)</f>
        <v>4.3754747781751101E-3</v>
      </c>
      <c r="H107" s="159" t="s">
        <v>321</v>
      </c>
      <c r="I107" s="9">
        <f t="shared" si="9"/>
        <v>0</v>
      </c>
      <c r="J107" s="9">
        <f t="shared" si="9"/>
        <v>0</v>
      </c>
      <c r="K107" s="9">
        <f t="shared" si="9"/>
        <v>0.16116367909179599</v>
      </c>
      <c r="L107" s="9">
        <f t="shared" si="9"/>
        <v>0.43174895428612797</v>
      </c>
      <c r="M107" s="9">
        <f t="shared" si="9"/>
        <v>3.0022994426073999</v>
      </c>
      <c r="N107" s="13">
        <f t="shared" si="9"/>
        <v>1.5445074880898599</v>
      </c>
      <c r="O107" s="6">
        <f t="shared" si="9"/>
        <v>0</v>
      </c>
      <c r="P107" s="140">
        <f t="shared" si="9"/>
        <v>0</v>
      </c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</row>
    <row r="108" spans="1:35" ht="15.75" x14ac:dyDescent="0.3">
      <c r="A108" s="150">
        <v>103</v>
      </c>
      <c r="B108" s="10" t="s">
        <v>87</v>
      </c>
      <c r="C108">
        <v>454184721.16215497</v>
      </c>
      <c r="E108" s="10" t="s">
        <v>401</v>
      </c>
      <c r="F108" s="151">
        <f>IF(ISNUMBER(L52),L52/SUM($I$43:$AI$71),0)</f>
        <v>6.2340942538994595E-3</v>
      </c>
      <c r="H108" s="160" t="s">
        <v>10</v>
      </c>
      <c r="I108" s="11">
        <f t="shared" si="9"/>
        <v>0</v>
      </c>
      <c r="J108" s="11">
        <f t="shared" si="9"/>
        <v>45.094345084152202</v>
      </c>
      <c r="K108" s="6">
        <f t="shared" si="9"/>
        <v>241.344453346954</v>
      </c>
      <c r="L108" s="6">
        <f t="shared" si="9"/>
        <v>200.96001504718001</v>
      </c>
      <c r="M108" s="6">
        <f t="shared" si="9"/>
        <v>203.403852241398</v>
      </c>
      <c r="N108" s="6">
        <f t="shared" si="9"/>
        <v>347.95240969208504</v>
      </c>
      <c r="O108" s="12">
        <f t="shared" si="9"/>
        <v>226.20191117524001</v>
      </c>
      <c r="P108" s="6">
        <f t="shared" si="9"/>
        <v>61.919157366790799</v>
      </c>
      <c r="Q108" s="140">
        <f t="shared" si="9"/>
        <v>2.6292725215820103</v>
      </c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</row>
    <row r="109" spans="1:35" ht="15.75" x14ac:dyDescent="0.3">
      <c r="A109" s="150">
        <v>104</v>
      </c>
      <c r="B109" s="10" t="s">
        <v>88</v>
      </c>
      <c r="C109">
        <v>429308279.85409498</v>
      </c>
      <c r="E109" s="10" t="s">
        <v>402</v>
      </c>
      <c r="F109" s="151">
        <f>IF(ISNUMBER(M52),M52/SUM($I$43:$AI$71),0)</f>
        <v>5.285440373881606E-3</v>
      </c>
      <c r="H109" s="160" t="s">
        <v>11</v>
      </c>
      <c r="I109" s="11">
        <f t="shared" si="9"/>
        <v>0.186311704710938</v>
      </c>
      <c r="J109" s="11">
        <f t="shared" si="9"/>
        <v>249.60590383235899</v>
      </c>
      <c r="K109" s="6">
        <f t="shared" si="9"/>
        <v>1489.56773354858</v>
      </c>
      <c r="L109" s="6">
        <f t="shared" si="9"/>
        <v>1556.3110410890802</v>
      </c>
      <c r="M109" s="6">
        <f t="shared" si="9"/>
        <v>620.05921356311001</v>
      </c>
      <c r="N109" s="6">
        <f t="shared" si="9"/>
        <v>588.22636231147806</v>
      </c>
      <c r="O109" s="6">
        <f t="shared" si="9"/>
        <v>908.893811989136</v>
      </c>
      <c r="P109" s="12">
        <f t="shared" si="9"/>
        <v>630.84776124197401</v>
      </c>
      <c r="Q109" s="6">
        <f t="shared" si="9"/>
        <v>148.66797600608101</v>
      </c>
      <c r="R109" s="140">
        <f t="shared" si="9"/>
        <v>12.7591590854373</v>
      </c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</row>
    <row r="110" spans="1:35" ht="15.75" x14ac:dyDescent="0.3">
      <c r="A110" s="150">
        <v>105</v>
      </c>
      <c r="B110" s="10" t="s">
        <v>89</v>
      </c>
      <c r="C110">
        <v>1336507050.0246</v>
      </c>
      <c r="E110" s="10" t="s">
        <v>403</v>
      </c>
      <c r="F110" s="151">
        <f>IF(ISNUMBER(N52),N52/SUM($I$43:$AI$71),0)</f>
        <v>3.2061522736913949E-3</v>
      </c>
      <c r="H110" s="160" t="s">
        <v>12</v>
      </c>
      <c r="I110" s="11">
        <f t="shared" si="9"/>
        <v>0.26724441597265802</v>
      </c>
      <c r="J110" s="11">
        <f t="shared" si="9"/>
        <v>210.59088168859898</v>
      </c>
      <c r="K110" s="6">
        <f t="shared" si="9"/>
        <v>1602.29581591183</v>
      </c>
      <c r="L110" s="6">
        <f t="shared" si="9"/>
        <v>2694.95069127234</v>
      </c>
      <c r="M110" s="6">
        <f t="shared" si="9"/>
        <v>1620.8097939883398</v>
      </c>
      <c r="N110" s="6">
        <f t="shared" si="9"/>
        <v>644.90711571415693</v>
      </c>
      <c r="O110" s="6">
        <f t="shared" si="9"/>
        <v>1045.9086712663</v>
      </c>
      <c r="P110" s="6">
        <f t="shared" si="9"/>
        <v>1439.2607552780198</v>
      </c>
      <c r="Q110" s="12">
        <f t="shared" si="9"/>
        <v>885.34595236547898</v>
      </c>
      <c r="R110" s="6">
        <f t="shared" si="9"/>
        <v>237.05299860257</v>
      </c>
      <c r="S110" s="140">
        <f t="shared" si="9"/>
        <v>21.025697109595299</v>
      </c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</row>
    <row r="111" spans="1:35" ht="15.75" x14ac:dyDescent="0.3">
      <c r="A111" s="150">
        <v>106</v>
      </c>
      <c r="B111" s="10" t="s">
        <v>90</v>
      </c>
      <c r="C111">
        <v>1250218081.24261</v>
      </c>
      <c r="E111" s="10" t="s">
        <v>404</v>
      </c>
      <c r="F111" s="151">
        <f>IF(ISNUMBER(O52),O52/SUM($I$43:$AI$71),0)</f>
        <v>1.7716518482158827E-3</v>
      </c>
      <c r="H111" s="159" t="s">
        <v>13</v>
      </c>
      <c r="I111" s="9">
        <f t="shared" si="9"/>
        <v>8.9269701421873598E-2</v>
      </c>
      <c r="J111" s="9">
        <f t="shared" si="9"/>
        <v>49.231243136416396</v>
      </c>
      <c r="K111" s="9">
        <f t="shared" si="9"/>
        <v>249.61094990059701</v>
      </c>
      <c r="L111" s="9">
        <f t="shared" si="9"/>
        <v>601.74237267532305</v>
      </c>
      <c r="M111" s="9">
        <f t="shared" si="9"/>
        <v>616.20418828456104</v>
      </c>
      <c r="N111" s="9">
        <f t="shared" si="9"/>
        <v>334.947317362869</v>
      </c>
      <c r="O111" s="9">
        <f t="shared" si="9"/>
        <v>454.18472116215497</v>
      </c>
      <c r="P111" s="9">
        <f t="shared" si="9"/>
        <v>1336.5070500245999</v>
      </c>
      <c r="Q111" s="9">
        <f t="shared" si="9"/>
        <v>1868.39444903003</v>
      </c>
      <c r="R111" s="13">
        <f t="shared" si="9"/>
        <v>1108.6457322015399</v>
      </c>
      <c r="S111" s="6">
        <f t="shared" si="9"/>
        <v>256.48910413336199</v>
      </c>
      <c r="T111" s="140">
        <f t="shared" si="9"/>
        <v>20.907363524992</v>
      </c>
      <c r="U111" s="6"/>
      <c r="V111" s="11"/>
      <c r="W111" s="11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</row>
    <row r="112" spans="1:35" ht="15.75" x14ac:dyDescent="0.3">
      <c r="A112" s="150">
        <v>107</v>
      </c>
      <c r="B112" s="10" t="s">
        <v>91</v>
      </c>
      <c r="C112">
        <v>1868394449.03003</v>
      </c>
      <c r="E112" s="10" t="s">
        <v>405</v>
      </c>
      <c r="F112" s="151">
        <f>IF(ISNUMBER(P52),P52/SUM($I$43:$AI$71),0)</f>
        <v>7.7286980609363718E-4</v>
      </c>
      <c r="H112" s="160" t="s">
        <v>14</v>
      </c>
      <c r="I112" s="11">
        <f t="shared" si="9"/>
        <v>24.318306051705402</v>
      </c>
      <c r="J112" s="11">
        <f t="shared" si="9"/>
        <v>483.576252269897</v>
      </c>
      <c r="K112" s="6">
        <f t="shared" si="9"/>
        <v>740.91904498559597</v>
      </c>
      <c r="L112" s="6">
        <f t="shared" si="9"/>
        <v>554.321563760971</v>
      </c>
      <c r="M112" s="6">
        <f t="shared" si="9"/>
        <v>333.993056680405</v>
      </c>
      <c r="N112" s="6">
        <f t="shared" si="9"/>
        <v>162.79782829525797</v>
      </c>
      <c r="O112" s="6">
        <f t="shared" si="9"/>
        <v>110.87311654402501</v>
      </c>
      <c r="P112" s="6">
        <f t="shared" si="9"/>
        <v>498.73479693890397</v>
      </c>
      <c r="Q112" s="6">
        <f t="shared" si="9"/>
        <v>1407.9785613659699</v>
      </c>
      <c r="R112" s="6">
        <f t="shared" si="9"/>
        <v>1598.7353667172201</v>
      </c>
      <c r="S112" s="12">
        <f t="shared" si="9"/>
        <v>741.44844946002195</v>
      </c>
      <c r="T112" s="6">
        <f t="shared" si="9"/>
        <v>138.812085685623</v>
      </c>
      <c r="U112" s="140">
        <f t="shared" si="9"/>
        <v>7.8387645757384297</v>
      </c>
      <c r="V112" s="11"/>
      <c r="W112" s="11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</row>
    <row r="113" spans="1:35" ht="15.75" x14ac:dyDescent="0.3">
      <c r="A113" s="150">
        <v>108</v>
      </c>
      <c r="B113" s="10" t="s">
        <v>92</v>
      </c>
      <c r="C113">
        <v>1597207420.7414601</v>
      </c>
      <c r="E113" s="10" t="s">
        <v>406</v>
      </c>
      <c r="F113" s="151">
        <f>IF(ISNUMBER(Q52),Q52/SUM($I$43:$AI$71),0)</f>
        <v>2.0784787648675781E-4</v>
      </c>
      <c r="H113" s="160" t="s">
        <v>15</v>
      </c>
      <c r="I113" s="11">
        <f t="shared" si="9"/>
        <v>24.462575530686401</v>
      </c>
      <c r="J113" s="11">
        <f t="shared" si="9"/>
        <v>409.34564555802899</v>
      </c>
      <c r="K113" s="6">
        <f t="shared" si="9"/>
        <v>854.41799017642199</v>
      </c>
      <c r="L113" s="6">
        <f t="shared" si="9"/>
        <v>741.3984878633421</v>
      </c>
      <c r="M113" s="6">
        <f t="shared" si="9"/>
        <v>364.227023601685</v>
      </c>
      <c r="N113" s="6">
        <f t="shared" si="9"/>
        <v>175.27893211592098</v>
      </c>
      <c r="O113" s="6">
        <f t="shared" si="9"/>
        <v>74.465978514003794</v>
      </c>
      <c r="P113" s="6">
        <f t="shared" si="9"/>
        <v>25.283774864374202</v>
      </c>
      <c r="Q113" s="6">
        <f t="shared" si="9"/>
        <v>38.120342060556396</v>
      </c>
      <c r="R113" s="6">
        <f t="shared" si="9"/>
        <v>76.532025597717293</v>
      </c>
      <c r="S113" s="6">
        <f t="shared" si="9"/>
        <v>67.649485174205793</v>
      </c>
      <c r="T113" s="12">
        <f t="shared" si="9"/>
        <v>23.928361066981299</v>
      </c>
      <c r="U113" s="6">
        <f t="shared" si="9"/>
        <v>1.71970554221094</v>
      </c>
      <c r="V113" s="140">
        <f t="shared" si="9"/>
        <v>0</v>
      </c>
      <c r="W113" s="11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</row>
    <row r="114" spans="1:35" ht="15.75" x14ac:dyDescent="0.3">
      <c r="A114" s="150">
        <v>109</v>
      </c>
      <c r="B114" s="10" t="s">
        <v>683</v>
      </c>
      <c r="C114">
        <v>1108645732.20154</v>
      </c>
      <c r="E114" s="10" t="s">
        <v>407</v>
      </c>
      <c r="F114" s="151">
        <f>IF(ISNUMBER(R52),R52/SUM($I$43:$AI$71),0)</f>
        <v>0</v>
      </c>
      <c r="H114" s="160" t="s">
        <v>16</v>
      </c>
      <c r="I114" s="11">
        <f t="shared" si="9"/>
        <v>22.507433125555</v>
      </c>
      <c r="J114" s="11">
        <f t="shared" si="9"/>
        <v>325.89505856079103</v>
      </c>
      <c r="K114" s="6">
        <f t="shared" si="9"/>
        <v>731.493083456146</v>
      </c>
      <c r="L114" s="6">
        <f t="shared" si="9"/>
        <v>756.93188255755604</v>
      </c>
      <c r="M114" s="6">
        <f t="shared" si="9"/>
        <v>489.309478129929</v>
      </c>
      <c r="N114" s="6">
        <f t="shared" si="9"/>
        <v>277.64272354866</v>
      </c>
      <c r="O114" s="6">
        <f t="shared" si="9"/>
        <v>134.95137937747202</v>
      </c>
      <c r="P114" s="6">
        <f t="shared" si="9"/>
        <v>46.448142017024999</v>
      </c>
      <c r="Q114" s="6">
        <f t="shared" si="9"/>
        <v>8.0510840239863395</v>
      </c>
      <c r="R114" s="6">
        <f t="shared" si="9"/>
        <v>2.2983618692969099</v>
      </c>
      <c r="S114" s="6">
        <f t="shared" si="9"/>
        <v>3.5576492082077302</v>
      </c>
      <c r="T114" s="6">
        <f t="shared" si="9"/>
        <v>2.4411408161171697</v>
      </c>
      <c r="U114" s="12">
        <f t="shared" si="9"/>
        <v>0.41758526332421603</v>
      </c>
      <c r="V114" s="11">
        <f t="shared" si="9"/>
        <v>7.4665630832027596E-2</v>
      </c>
      <c r="W114" s="140">
        <f t="shared" si="9"/>
        <v>0</v>
      </c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</row>
    <row r="115" spans="1:35" ht="15.75" x14ac:dyDescent="0.3">
      <c r="A115" s="150">
        <v>110</v>
      </c>
      <c r="B115" s="10" t="s">
        <v>684</v>
      </c>
      <c r="C115">
        <v>961355567.78198195</v>
      </c>
      <c r="E115" s="10" t="s">
        <v>512</v>
      </c>
      <c r="F115" s="151">
        <f>IF(ISNUMBER(S52),S52/SUM($I$43:$AI$71),0)</f>
        <v>0</v>
      </c>
      <c r="H115" s="159" t="s">
        <v>17</v>
      </c>
      <c r="I115" s="9">
        <f t="shared" si="9"/>
        <v>10.319834972183701</v>
      </c>
      <c r="J115" s="9">
        <f t="shared" si="9"/>
        <v>143.18806558215698</v>
      </c>
      <c r="K115" s="9">
        <f t="shared" si="9"/>
        <v>389.86688093684398</v>
      </c>
      <c r="L115" s="9">
        <f t="shared" si="9"/>
        <v>540.25782815043601</v>
      </c>
      <c r="M115" s="9">
        <f t="shared" si="9"/>
        <v>445.84605411425798</v>
      </c>
      <c r="N115" s="9">
        <f t="shared" si="9"/>
        <v>256.04826360462198</v>
      </c>
      <c r="O115" s="9">
        <f t="shared" si="9"/>
        <v>131.022942830685</v>
      </c>
      <c r="P115" s="9">
        <f t="shared" si="9"/>
        <v>55.616280878713603</v>
      </c>
      <c r="Q115" s="9">
        <f t="shared" si="9"/>
        <v>14.724119215513701</v>
      </c>
      <c r="R115" s="9">
        <f t="shared" si="9"/>
        <v>1.63853978391993</v>
      </c>
      <c r="S115" s="9">
        <f t="shared" si="9"/>
        <v>0.31818861147657002</v>
      </c>
      <c r="T115" s="9">
        <f t="shared" si="9"/>
        <v>0.20304347895703501</v>
      </c>
      <c r="U115" s="9">
        <f t="shared" si="9"/>
        <v>0.15605650742577798</v>
      </c>
      <c r="V115" s="13">
        <f t="shared" si="9"/>
        <v>4.1347285070801199E-3</v>
      </c>
      <c r="W115" s="11">
        <f t="shared" si="9"/>
        <v>0</v>
      </c>
      <c r="X115" s="140">
        <f t="shared" si="9"/>
        <v>6.1605552113279699E-2</v>
      </c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</row>
    <row r="116" spans="1:35" ht="15.75" x14ac:dyDescent="0.3">
      <c r="A116" s="150">
        <v>111</v>
      </c>
      <c r="B116" s="10" t="s">
        <v>1109</v>
      </c>
      <c r="C116">
        <v>256489104.133362</v>
      </c>
      <c r="E116" s="10" t="s">
        <v>513</v>
      </c>
      <c r="F116" s="151">
        <f>IF(ISNUMBER(T52),T52/SUM($I$43:$AI$71),0)</f>
        <v>0</v>
      </c>
      <c r="H116" s="160" t="s">
        <v>9</v>
      </c>
      <c r="I116" s="11">
        <f t="shared" si="9"/>
        <v>0.37144639641407096</v>
      </c>
      <c r="J116" s="11">
        <f t="shared" si="9"/>
        <v>16.912827265395201</v>
      </c>
      <c r="K116" s="6">
        <f t="shared" si="9"/>
        <v>54.349768699499101</v>
      </c>
      <c r="L116" s="6">
        <f t="shared" si="9"/>
        <v>89.779594226005599</v>
      </c>
      <c r="M116" s="6">
        <f t="shared" si="9"/>
        <v>87.088118081554398</v>
      </c>
      <c r="N116" s="6">
        <f t="shared" si="9"/>
        <v>50.543032655521401</v>
      </c>
      <c r="O116" s="6">
        <f t="shared" si="9"/>
        <v>24.142449072519298</v>
      </c>
      <c r="P116" s="6">
        <f t="shared" si="9"/>
        <v>11.582787727064099</v>
      </c>
      <c r="Q116" s="6">
        <f t="shared" si="9"/>
        <v>2.9337214901660698</v>
      </c>
      <c r="R116" s="6">
        <f t="shared" si="9"/>
        <v>0.73150619380858506</v>
      </c>
      <c r="S116" s="6">
        <f t="shared" si="9"/>
        <v>7.4116974873395005</v>
      </c>
      <c r="T116" s="6">
        <f t="shared" si="9"/>
        <v>22.3326218392382</v>
      </c>
      <c r="U116" s="11">
        <f t="shared" si="9"/>
        <v>28.240160348035801</v>
      </c>
      <c r="V116" s="6">
        <f t="shared" si="9"/>
        <v>17.360923436546301</v>
      </c>
      <c r="W116" s="12">
        <f t="shared" si="9"/>
        <v>3.35691616635942</v>
      </c>
      <c r="X116" s="6">
        <f t="shared" si="9"/>
        <v>0</v>
      </c>
      <c r="Y116" s="140">
        <f t="shared" ref="Y116:AI134" si="10">IF(ISNUMBER(VLOOKUP(CONCATENATE($H116,"_",Y$105,"_a"),$B$6:$C$1151,2,FALSE)),VLOOKUP(CONCATENATE($H116,"_",Y$105,"_a"),$B$6:$C$1151,2,FALSE)/1000000,"N/A")</f>
        <v>2.6063551757812501E-2</v>
      </c>
      <c r="Z116" s="6"/>
      <c r="AA116" s="6"/>
      <c r="AB116" s="6"/>
      <c r="AC116" s="6"/>
      <c r="AD116" s="6"/>
      <c r="AE116" s="6"/>
      <c r="AF116" s="6"/>
      <c r="AG116" s="6"/>
      <c r="AH116" s="6"/>
      <c r="AI116" s="6"/>
    </row>
    <row r="117" spans="1:35" ht="15.75" x14ac:dyDescent="0.3">
      <c r="A117" s="150">
        <v>112</v>
      </c>
      <c r="B117" s="10" t="s">
        <v>1110</v>
      </c>
      <c r="C117">
        <v>243896066.29329699</v>
      </c>
      <c r="E117" s="10" t="s">
        <v>514</v>
      </c>
      <c r="F117" s="151">
        <f>IF(ISNUMBER(U52),U52/SUM($I$43:$AI$71),0)</f>
        <v>0</v>
      </c>
      <c r="H117" s="160" t="s">
        <v>18</v>
      </c>
      <c r="I117" s="11">
        <f t="shared" si="9"/>
        <v>0.95145193317675603</v>
      </c>
      <c r="J117" s="11">
        <f t="shared" si="9"/>
        <v>4.6484598201367904</v>
      </c>
      <c r="K117" s="6">
        <f t="shared" si="9"/>
        <v>4.1766177452480804</v>
      </c>
      <c r="L117" s="6">
        <f t="shared" si="9"/>
        <v>3.1300077218681603</v>
      </c>
      <c r="M117" s="6">
        <f t="shared" si="9"/>
        <v>0.92913117637890597</v>
      </c>
      <c r="N117" s="6">
        <f t="shared" si="9"/>
        <v>0.29115044790038502</v>
      </c>
      <c r="O117" s="6">
        <f t="shared" si="9"/>
        <v>2.9434513546874701E-2</v>
      </c>
      <c r="P117" s="6">
        <f t="shared" si="9"/>
        <v>0</v>
      </c>
      <c r="Q117" s="6">
        <f t="shared" si="9"/>
        <v>3.1328062025388702E-2</v>
      </c>
      <c r="R117" s="6">
        <f t="shared" si="9"/>
        <v>0</v>
      </c>
      <c r="S117" s="6">
        <f t="shared" si="9"/>
        <v>7.3617597035741795</v>
      </c>
      <c r="T117" s="6">
        <f t="shared" si="9"/>
        <v>42.796283533113503</v>
      </c>
      <c r="U117" s="11">
        <f t="shared" si="9"/>
        <v>94.372802381134008</v>
      </c>
      <c r="V117" s="6">
        <f t="shared" si="9"/>
        <v>102.13690110210399</v>
      </c>
      <c r="W117" s="6">
        <f t="shared" si="9"/>
        <v>56.168077645049998</v>
      </c>
      <c r="X117" s="12">
        <f t="shared" si="9"/>
        <v>14.9559812956228</v>
      </c>
      <c r="Y117" s="6">
        <f t="shared" si="10"/>
        <v>0.26731365166406301</v>
      </c>
      <c r="Z117" s="140">
        <f t="shared" si="10"/>
        <v>0</v>
      </c>
      <c r="AA117" s="6"/>
      <c r="AB117" s="6"/>
      <c r="AC117" s="6"/>
      <c r="AD117" s="6"/>
      <c r="AE117" s="6"/>
      <c r="AF117" s="6"/>
      <c r="AG117" s="6"/>
      <c r="AH117" s="6"/>
      <c r="AI117" s="6"/>
    </row>
    <row r="118" spans="1:35" ht="15.75" x14ac:dyDescent="0.3">
      <c r="A118" s="150">
        <v>113</v>
      </c>
      <c r="B118" s="10" t="s">
        <v>1111</v>
      </c>
      <c r="C118">
        <v>20907363.524992</v>
      </c>
      <c r="E118" s="10" t="s">
        <v>1054</v>
      </c>
      <c r="F118" s="151">
        <f>IF(ISNUMBER(V52),V52/SUM($I$43:$AI$71),0)</f>
        <v>0</v>
      </c>
      <c r="H118" s="160" t="s">
        <v>19</v>
      </c>
      <c r="I118" s="11">
        <f t="shared" si="9"/>
        <v>19.7257830046482</v>
      </c>
      <c r="J118" s="11">
        <f t="shared" si="9"/>
        <v>63.904017055694602</v>
      </c>
      <c r="K118" s="6">
        <f t="shared" si="9"/>
        <v>65.772904498333006</v>
      </c>
      <c r="L118" s="6">
        <f t="shared" si="9"/>
        <v>51.972327617210404</v>
      </c>
      <c r="M118" s="6">
        <f t="shared" si="9"/>
        <v>21.763406299053198</v>
      </c>
      <c r="N118" s="6">
        <f t="shared" si="9"/>
        <v>3.7141237882187399</v>
      </c>
      <c r="O118" s="6">
        <f t="shared" si="9"/>
        <v>6.3989484685551393E-2</v>
      </c>
      <c r="P118" s="6">
        <f t="shared" si="9"/>
        <v>4.0689520101560302E-2</v>
      </c>
      <c r="Q118" s="6">
        <f t="shared" si="9"/>
        <v>8.096406917187389E-2</v>
      </c>
      <c r="R118" s="11">
        <f t="shared" si="9"/>
        <v>0</v>
      </c>
      <c r="S118" s="11">
        <f t="shared" si="9"/>
        <v>1.19656383701169</v>
      </c>
      <c r="T118" s="11">
        <f t="shared" si="9"/>
        <v>21.498067962433801</v>
      </c>
      <c r="U118" s="11">
        <f t="shared" si="9"/>
        <v>87.051772812385607</v>
      </c>
      <c r="V118" s="11">
        <f t="shared" si="9"/>
        <v>163.389309054443</v>
      </c>
      <c r="W118" s="11">
        <f t="shared" si="9"/>
        <v>154.27478129214501</v>
      </c>
      <c r="X118" s="6">
        <f t="shared" si="9"/>
        <v>76.403869594394692</v>
      </c>
      <c r="Y118" s="12">
        <f t="shared" si="10"/>
        <v>18.886135057743999</v>
      </c>
      <c r="Z118" s="6">
        <f t="shared" si="10"/>
        <v>0.744064116078615</v>
      </c>
      <c r="AA118" s="140">
        <f t="shared" si="10"/>
        <v>0</v>
      </c>
      <c r="AB118" s="6"/>
      <c r="AC118" s="6"/>
      <c r="AD118" s="6"/>
      <c r="AE118" s="6"/>
      <c r="AF118" s="6"/>
      <c r="AG118" s="6"/>
      <c r="AH118" s="6"/>
      <c r="AI118" s="6"/>
    </row>
    <row r="119" spans="1:35" ht="15.75" x14ac:dyDescent="0.3">
      <c r="A119" s="150">
        <v>114</v>
      </c>
      <c r="B119" s="10" t="s">
        <v>1112</v>
      </c>
      <c r="C119">
        <v>19848881.950388901</v>
      </c>
      <c r="E119" s="10" t="s">
        <v>1576</v>
      </c>
      <c r="F119" s="151">
        <f>IF(ISNUMBER(W52),W52/SUM($I$43:$AI$71),0)</f>
        <v>0</v>
      </c>
      <c r="H119" s="160" t="s">
        <v>20</v>
      </c>
      <c r="I119" s="11">
        <f t="shared" si="9"/>
        <v>64.811311061542497</v>
      </c>
      <c r="J119" s="11">
        <f t="shared" si="9"/>
        <v>229.43850236104598</v>
      </c>
      <c r="K119" s="6">
        <f t="shared" si="9"/>
        <v>282.833133911743</v>
      </c>
      <c r="L119" s="6">
        <f t="shared" si="9"/>
        <v>245.13883555865499</v>
      </c>
      <c r="M119" s="6">
        <f t="shared" si="9"/>
        <v>115.858746324894</v>
      </c>
      <c r="N119" s="6">
        <f t="shared" si="9"/>
        <v>29.651245233905801</v>
      </c>
      <c r="O119" s="6">
        <f t="shared" si="9"/>
        <v>2.8886368884062801</v>
      </c>
      <c r="P119" s="6">
        <f t="shared" si="9"/>
        <v>4.1715788683593304E-2</v>
      </c>
      <c r="Q119" s="6">
        <f t="shared" si="9"/>
        <v>0</v>
      </c>
      <c r="R119" s="11">
        <f t="shared" si="9"/>
        <v>0</v>
      </c>
      <c r="S119" s="11">
        <f t="shared" si="9"/>
        <v>8.0120071781249705E-2</v>
      </c>
      <c r="T119" s="11">
        <f t="shared" si="9"/>
        <v>3.7799466844024701</v>
      </c>
      <c r="U119" s="11">
        <f t="shared" si="9"/>
        <v>38.481806185342805</v>
      </c>
      <c r="V119" s="11">
        <f t="shared" si="9"/>
        <v>121.864407930496</v>
      </c>
      <c r="W119" s="11">
        <f t="shared" si="9"/>
        <v>185.53833624964898</v>
      </c>
      <c r="X119" s="6">
        <f t="shared" si="9"/>
        <v>155.02946897543299</v>
      </c>
      <c r="Y119" s="6">
        <f t="shared" si="10"/>
        <v>69.685729714736894</v>
      </c>
      <c r="Z119" s="12">
        <f t="shared" si="10"/>
        <v>16.567431415853502</v>
      </c>
      <c r="AA119" s="6">
        <f t="shared" si="10"/>
        <v>0.40543513293161998</v>
      </c>
      <c r="AB119" s="140">
        <f t="shared" si="10"/>
        <v>5.37265780136734E-2</v>
      </c>
      <c r="AC119" s="6"/>
      <c r="AD119" s="6"/>
      <c r="AE119" s="6"/>
      <c r="AF119" s="6"/>
      <c r="AG119" s="6"/>
      <c r="AH119" s="6"/>
      <c r="AI119" s="6"/>
    </row>
    <row r="120" spans="1:35" ht="15.75" x14ac:dyDescent="0.3">
      <c r="A120" s="150">
        <v>115</v>
      </c>
      <c r="B120" s="10" t="s">
        <v>685</v>
      </c>
      <c r="C120">
        <v>24318306.051705401</v>
      </c>
      <c r="E120" s="10" t="s">
        <v>1577</v>
      </c>
      <c r="F120" s="151">
        <f>IF(ISNUMBER(X52),X52/SUM($I$43:$AI$71),0)</f>
        <v>0</v>
      </c>
      <c r="H120" s="160" t="s">
        <v>21</v>
      </c>
      <c r="I120" s="11">
        <f t="shared" si="9"/>
        <v>104.39735286327</v>
      </c>
      <c r="J120" s="11">
        <f t="shared" si="9"/>
        <v>373.38103663130198</v>
      </c>
      <c r="K120" s="6">
        <f t="shared" si="9"/>
        <v>540.41280190261807</v>
      </c>
      <c r="L120" s="6">
        <f t="shared" si="9"/>
        <v>540.45503807940702</v>
      </c>
      <c r="M120" s="6">
        <f t="shared" si="9"/>
        <v>289.56093696864303</v>
      </c>
      <c r="N120" s="6">
        <f t="shared" si="9"/>
        <v>84.905730419357297</v>
      </c>
      <c r="O120" s="6">
        <f t="shared" si="9"/>
        <v>14.796919439863199</v>
      </c>
      <c r="P120" s="6">
        <f t="shared" si="9"/>
        <v>0.54675100660941001</v>
      </c>
      <c r="Q120" s="6">
        <f t="shared" si="9"/>
        <v>0.13108750984863599</v>
      </c>
      <c r="R120" s="11">
        <f t="shared" si="9"/>
        <v>0</v>
      </c>
      <c r="S120" s="11">
        <f t="shared" si="9"/>
        <v>0</v>
      </c>
      <c r="T120" s="11">
        <f t="shared" si="9"/>
        <v>0</v>
      </c>
      <c r="U120" s="11">
        <f t="shared" si="9"/>
        <v>13.602850836438199</v>
      </c>
      <c r="V120" s="11">
        <f t="shared" si="9"/>
        <v>80.261493728664405</v>
      </c>
      <c r="W120" s="11">
        <f t="shared" si="9"/>
        <v>205.24046671141099</v>
      </c>
      <c r="X120" s="6">
        <f t="shared" si="9"/>
        <v>277.34414748796098</v>
      </c>
      <c r="Y120" s="6">
        <f t="shared" si="10"/>
        <v>206.764466635498</v>
      </c>
      <c r="Z120" s="6">
        <f t="shared" si="10"/>
        <v>92.06473009633639</v>
      </c>
      <c r="AA120" s="12">
        <f t="shared" si="10"/>
        <v>22.123696562644998</v>
      </c>
      <c r="AB120" s="6">
        <f t="shared" si="10"/>
        <v>0.65342304831200804</v>
      </c>
      <c r="AC120" s="140">
        <f t="shared" si="10"/>
        <v>3.1889052600584895E-2</v>
      </c>
      <c r="AD120" s="6"/>
      <c r="AE120" s="6"/>
      <c r="AF120" s="6"/>
      <c r="AG120" s="6"/>
      <c r="AH120" s="6"/>
      <c r="AI120" s="6"/>
    </row>
    <row r="121" spans="1:35" ht="15.75" x14ac:dyDescent="0.3">
      <c r="A121" s="150">
        <v>116</v>
      </c>
      <c r="B121" s="10" t="s">
        <v>686</v>
      </c>
      <c r="C121">
        <v>13388767.4158068</v>
      </c>
      <c r="E121" s="10" t="s">
        <v>515</v>
      </c>
      <c r="F121" s="151">
        <f>IF(ISNUMBER(I53),I53/SUM($I$43:$AI$71),0)</f>
        <v>0</v>
      </c>
      <c r="H121" s="160" t="s">
        <v>22</v>
      </c>
      <c r="I121" s="11">
        <f t="shared" si="9"/>
        <v>88.798058752960202</v>
      </c>
      <c r="J121" s="11">
        <f t="shared" si="9"/>
        <v>385.91282943498203</v>
      </c>
      <c r="K121" s="6">
        <f t="shared" si="9"/>
        <v>691.67917898669396</v>
      </c>
      <c r="L121" s="6">
        <f t="shared" si="9"/>
        <v>784.19247789923099</v>
      </c>
      <c r="M121" s="6">
        <f t="shared" si="9"/>
        <v>472.10493088116505</v>
      </c>
      <c r="N121" s="6">
        <f t="shared" si="9"/>
        <v>159.93420827872501</v>
      </c>
      <c r="O121" s="6">
        <f t="shared" si="9"/>
        <v>34.548280792055102</v>
      </c>
      <c r="P121" s="6">
        <f t="shared" si="9"/>
        <v>3.9880884378397501</v>
      </c>
      <c r="Q121" s="6">
        <f t="shared" si="9"/>
        <v>0.28936775782032298</v>
      </c>
      <c r="R121" s="11">
        <f t="shared" si="9"/>
        <v>5.14535911142565E-2</v>
      </c>
      <c r="S121" s="11">
        <f t="shared" si="9"/>
        <v>1.4924078077148401E-2</v>
      </c>
      <c r="T121" s="11">
        <f t="shared" si="9"/>
        <v>0</v>
      </c>
      <c r="U121" s="11">
        <f t="shared" si="9"/>
        <v>1.11694397759765</v>
      </c>
      <c r="V121" s="11">
        <f t="shared" si="9"/>
        <v>30.908624946289098</v>
      </c>
      <c r="W121" s="11">
        <f t="shared" si="9"/>
        <v>130.31692837825801</v>
      </c>
      <c r="X121" s="6">
        <f t="shared" si="9"/>
        <v>285.96459406356797</v>
      </c>
      <c r="Y121" s="6">
        <f t="shared" si="10"/>
        <v>344.247389313599</v>
      </c>
      <c r="Z121" s="6">
        <f t="shared" si="10"/>
        <v>249.50780428961198</v>
      </c>
      <c r="AA121" s="6">
        <f t="shared" si="10"/>
        <v>106.33120696244801</v>
      </c>
      <c r="AB121" s="12">
        <f t="shared" si="10"/>
        <v>25.895582391061801</v>
      </c>
      <c r="AC121" s="6">
        <f t="shared" si="10"/>
        <v>1.28675121415627</v>
      </c>
      <c r="AD121" s="140">
        <f t="shared" si="10"/>
        <v>4.2108560917969801E-2</v>
      </c>
      <c r="AE121" s="6"/>
      <c r="AF121" s="6"/>
      <c r="AG121" s="6"/>
      <c r="AH121" s="6"/>
      <c r="AI121" s="6"/>
    </row>
    <row r="122" spans="1:35" ht="15.75" x14ac:dyDescent="0.3">
      <c r="A122" s="150">
        <v>117</v>
      </c>
      <c r="B122" s="10" t="s">
        <v>93</v>
      </c>
      <c r="C122">
        <v>483576252.26989698</v>
      </c>
      <c r="E122" s="10" t="s">
        <v>408</v>
      </c>
      <c r="F122" s="151">
        <f>IF(ISNUMBER(J53),J53/SUM($I$43:$AI$71),0)</f>
        <v>1.6949110294053784E-4</v>
      </c>
      <c r="H122" s="160" t="s">
        <v>23</v>
      </c>
      <c r="I122" s="11">
        <f t="shared" ref="I122:X134" si="11">IF(ISNUMBER(VLOOKUP(CONCATENATE($H122,"_",I$105,"_a"),$B$6:$C$1151,2,FALSE)),VLOOKUP(CONCATENATE($H122,"_",I$105,"_a"),$B$6:$C$1151,2,FALSE)/1000000,"N/A")</f>
        <v>74.287446615486104</v>
      </c>
      <c r="J122" s="11">
        <f t="shared" si="11"/>
        <v>312.78817225234997</v>
      </c>
      <c r="K122" s="6">
        <f t="shared" si="11"/>
        <v>657.00246086306799</v>
      </c>
      <c r="L122" s="6">
        <f t="shared" si="11"/>
        <v>849.37014153869609</v>
      </c>
      <c r="M122" s="6">
        <f t="shared" si="11"/>
        <v>571.91831995230098</v>
      </c>
      <c r="N122" s="6">
        <f t="shared" si="11"/>
        <v>226.466420674408</v>
      </c>
      <c r="O122" s="6">
        <f t="shared" si="11"/>
        <v>54.824029181774101</v>
      </c>
      <c r="P122" s="6">
        <f t="shared" si="11"/>
        <v>8.0070016208085999</v>
      </c>
      <c r="Q122" s="6">
        <f t="shared" si="11"/>
        <v>0.21775194353906799</v>
      </c>
      <c r="R122" s="11">
        <f t="shared" si="11"/>
        <v>6.0321870269533201E-2</v>
      </c>
      <c r="S122" s="11">
        <f t="shared" si="11"/>
        <v>5.1510508005857499E-2</v>
      </c>
      <c r="T122" s="11">
        <f t="shared" si="11"/>
        <v>0</v>
      </c>
      <c r="U122" s="11">
        <f t="shared" si="11"/>
        <v>0</v>
      </c>
      <c r="V122" s="11">
        <f t="shared" si="11"/>
        <v>6.65332977234364</v>
      </c>
      <c r="W122" s="11">
        <f t="shared" si="11"/>
        <v>48.081028548088106</v>
      </c>
      <c r="X122" s="6">
        <f t="shared" si="11"/>
        <v>167.22173178530898</v>
      </c>
      <c r="Y122" s="6">
        <f t="shared" si="10"/>
        <v>326.95495691326897</v>
      </c>
      <c r="Z122" s="6">
        <f t="shared" si="10"/>
        <v>372.52751060528601</v>
      </c>
      <c r="AA122" s="6">
        <f t="shared" si="10"/>
        <v>261.13471522058097</v>
      </c>
      <c r="AB122" s="6">
        <f t="shared" si="10"/>
        <v>113.37360824700201</v>
      </c>
      <c r="AC122" s="12">
        <f t="shared" si="10"/>
        <v>29.4121473166695</v>
      </c>
      <c r="AD122" s="6">
        <f t="shared" si="10"/>
        <v>2.7663582195313001</v>
      </c>
      <c r="AE122" s="140">
        <f t="shared" si="10"/>
        <v>4.2423213046871099E-2</v>
      </c>
      <c r="AF122" s="6"/>
      <c r="AG122" s="6"/>
      <c r="AH122" s="6"/>
      <c r="AI122" s="6"/>
    </row>
    <row r="123" spans="1:35" ht="15.75" x14ac:dyDescent="0.3">
      <c r="A123" s="150">
        <v>118</v>
      </c>
      <c r="B123" s="10" t="s">
        <v>94</v>
      </c>
      <c r="C123">
        <v>385497566.38839698</v>
      </c>
      <c r="E123" s="10" t="s">
        <v>409</v>
      </c>
      <c r="F123" s="151">
        <f>IF(ISNUMBER(K53),K53/SUM($I$43:$AI$71),0)</f>
        <v>6.1660462811268717E-4</v>
      </c>
      <c r="H123" s="160" t="s">
        <v>24</v>
      </c>
      <c r="I123" s="11">
        <f t="shared" si="11"/>
        <v>61.327925451808902</v>
      </c>
      <c r="J123" s="11">
        <f t="shared" si="11"/>
        <v>253.56748413828998</v>
      </c>
      <c r="K123" s="6">
        <f t="shared" si="11"/>
        <v>578.37945707531708</v>
      </c>
      <c r="L123" s="6">
        <f t="shared" si="11"/>
        <v>796.65554219488502</v>
      </c>
      <c r="M123" s="6">
        <f t="shared" si="11"/>
        <v>598.65145642571997</v>
      </c>
      <c r="N123" s="6">
        <f t="shared" si="11"/>
        <v>266.79739893624901</v>
      </c>
      <c r="O123" s="6">
        <f t="shared" si="11"/>
        <v>76.363653046058701</v>
      </c>
      <c r="P123" s="6">
        <f t="shared" si="11"/>
        <v>15.1803676862736</v>
      </c>
      <c r="Q123" s="6">
        <f t="shared" si="11"/>
        <v>0.76966133349221899</v>
      </c>
      <c r="R123" s="11">
        <f t="shared" si="11"/>
        <v>0.14183470689453198</v>
      </c>
      <c r="S123" s="11">
        <f t="shared" si="11"/>
        <v>0</v>
      </c>
      <c r="T123" s="11">
        <f t="shared" si="11"/>
        <v>8.6392121191404797E-2</v>
      </c>
      <c r="U123" s="11">
        <f t="shared" si="11"/>
        <v>4.2328520894531194E-2</v>
      </c>
      <c r="V123" s="11">
        <f t="shared" si="11"/>
        <v>9.0831482988282988E-2</v>
      </c>
      <c r="W123" s="11">
        <f t="shared" si="11"/>
        <v>9.6719217585430108</v>
      </c>
      <c r="X123" s="6">
        <f t="shared" si="11"/>
        <v>57.845762413436894</v>
      </c>
      <c r="Y123" s="6">
        <f t="shared" si="10"/>
        <v>176.04549763729901</v>
      </c>
      <c r="Z123" s="6">
        <f t="shared" si="10"/>
        <v>315.73439977148399</v>
      </c>
      <c r="AA123" s="6">
        <f t="shared" si="10"/>
        <v>339.41973117935197</v>
      </c>
      <c r="AB123" s="6">
        <f t="shared" si="10"/>
        <v>238.170419122543</v>
      </c>
      <c r="AC123" s="6">
        <f t="shared" si="10"/>
        <v>108.34670752168299</v>
      </c>
      <c r="AD123" s="12">
        <f t="shared" si="10"/>
        <v>25.318726397466701</v>
      </c>
      <c r="AE123" s="6">
        <f t="shared" si="10"/>
        <v>2.9419731687147599</v>
      </c>
      <c r="AF123" s="140">
        <f t="shared" si="10"/>
        <v>7.0566530898436911E-2</v>
      </c>
      <c r="AG123" s="6"/>
      <c r="AH123" s="6"/>
      <c r="AI123" s="6"/>
    </row>
    <row r="124" spans="1:35" ht="15.75" x14ac:dyDescent="0.3">
      <c r="A124" s="150">
        <v>119</v>
      </c>
      <c r="B124" s="10" t="s">
        <v>95</v>
      </c>
      <c r="C124">
        <v>740919044.98559594</v>
      </c>
      <c r="E124" s="10" t="s">
        <v>410</v>
      </c>
      <c r="F124" s="151">
        <f>IF(ISNUMBER(L53),L53/SUM($I$43:$AI$71),0)</f>
        <v>1.0475121989196451E-3</v>
      </c>
      <c r="H124" s="160" t="s">
        <v>330</v>
      </c>
      <c r="I124" s="11">
        <f t="shared" si="11"/>
        <v>47.932376096099901</v>
      </c>
      <c r="J124" s="11">
        <f t="shared" si="11"/>
        <v>183.35665035393501</v>
      </c>
      <c r="K124" s="6">
        <f t="shared" si="11"/>
        <v>498.13203922811903</v>
      </c>
      <c r="L124" s="6">
        <f t="shared" si="11"/>
        <v>702.97566629855294</v>
      </c>
      <c r="M124" s="6">
        <f t="shared" si="11"/>
        <v>574.889833365051</v>
      </c>
      <c r="N124" s="6">
        <f t="shared" si="11"/>
        <v>289.646166671738</v>
      </c>
      <c r="O124" s="6">
        <f t="shared" si="11"/>
        <v>94.748549396091505</v>
      </c>
      <c r="P124" s="6">
        <f t="shared" si="11"/>
        <v>19.460301099126802</v>
      </c>
      <c r="Q124" s="6">
        <f t="shared" si="11"/>
        <v>2.0812700795136698</v>
      </c>
      <c r="R124" s="11">
        <f t="shared" si="11"/>
        <v>0</v>
      </c>
      <c r="S124" s="11">
        <f t="shared" si="11"/>
        <v>4.5387920332031303E-2</v>
      </c>
      <c r="T124" s="11">
        <f t="shared" si="11"/>
        <v>4.8331528113279495E-2</v>
      </c>
      <c r="U124" s="11">
        <f t="shared" si="11"/>
        <v>0</v>
      </c>
      <c r="V124" s="11">
        <f t="shared" si="11"/>
        <v>0</v>
      </c>
      <c r="W124" s="11">
        <f t="shared" si="11"/>
        <v>0.91437703415232896</v>
      </c>
      <c r="X124" s="6">
        <f t="shared" si="11"/>
        <v>17.390253159172101</v>
      </c>
      <c r="Y124" s="6">
        <f t="shared" si="10"/>
        <v>94.405708177085913</v>
      </c>
      <c r="Z124" s="6">
        <f t="shared" si="10"/>
        <v>266.42080131394999</v>
      </c>
      <c r="AA124" s="6">
        <f t="shared" si="10"/>
        <v>456.21364179867601</v>
      </c>
      <c r="AB124" s="6">
        <f t="shared" si="10"/>
        <v>505.86338680270399</v>
      </c>
      <c r="AC124" s="6">
        <f t="shared" si="10"/>
        <v>363.52926447476204</v>
      </c>
      <c r="AD124" s="6">
        <f t="shared" si="10"/>
        <v>162.552162454285</v>
      </c>
      <c r="AE124" s="12">
        <f t="shared" si="10"/>
        <v>42.174275674835201</v>
      </c>
      <c r="AF124" s="6">
        <f t="shared" si="10"/>
        <v>4.41056719958973</v>
      </c>
      <c r="AG124" s="140">
        <f t="shared" si="10"/>
        <v>1.3133432012694001E-2</v>
      </c>
      <c r="AH124" s="6"/>
      <c r="AI124" s="6"/>
    </row>
    <row r="125" spans="1:35" ht="15.75" x14ac:dyDescent="0.3">
      <c r="A125" s="150">
        <v>120</v>
      </c>
      <c r="B125" s="10" t="s">
        <v>96</v>
      </c>
      <c r="C125">
        <v>714194947.10320997</v>
      </c>
      <c r="E125" s="10" t="s">
        <v>411</v>
      </c>
      <c r="F125" s="151">
        <f>IF(ISNUMBER(M53),M53/SUM($I$43:$AI$71),0)</f>
        <v>1.0433999521801719E-3</v>
      </c>
      <c r="H125" s="160" t="s">
        <v>331</v>
      </c>
      <c r="I125" s="11">
        <f t="shared" si="11"/>
        <v>32.397448296712902</v>
      </c>
      <c r="J125" s="11">
        <f t="shared" si="11"/>
        <v>163.56010070312499</v>
      </c>
      <c r="K125" s="6">
        <f t="shared" si="11"/>
        <v>401.77524157318095</v>
      </c>
      <c r="L125" s="6">
        <f t="shared" si="11"/>
        <v>586.451364058075</v>
      </c>
      <c r="M125" s="6">
        <f t="shared" si="11"/>
        <v>505.43941070282</v>
      </c>
      <c r="N125" s="6">
        <f t="shared" si="11"/>
        <v>281.46912771292102</v>
      </c>
      <c r="O125" s="6">
        <f t="shared" si="11"/>
        <v>104.09233912339801</v>
      </c>
      <c r="P125" s="6">
        <f t="shared" si="11"/>
        <v>26.429497997707401</v>
      </c>
      <c r="Q125" s="6">
        <f t="shared" si="11"/>
        <v>3.4142967875571304</v>
      </c>
      <c r="R125" s="11">
        <f t="shared" si="11"/>
        <v>0.20259124857421199</v>
      </c>
      <c r="S125" s="11">
        <f t="shared" si="11"/>
        <v>4.7443982941407704E-2</v>
      </c>
      <c r="T125" s="11">
        <f t="shared" si="11"/>
        <v>4.98668155810563E-3</v>
      </c>
      <c r="U125" s="11">
        <f t="shared" si="11"/>
        <v>9.4721766902342394E-2</v>
      </c>
      <c r="V125" s="11">
        <f t="shared" si="11"/>
        <v>2.6401223572265802E-2</v>
      </c>
      <c r="W125" s="11">
        <f t="shared" si="11"/>
        <v>4.0513901323243002E-3</v>
      </c>
      <c r="X125" s="6">
        <f t="shared" si="11"/>
        <v>0.87459228058987903</v>
      </c>
      <c r="Y125" s="6">
        <f t="shared" si="10"/>
        <v>14.1103409682741</v>
      </c>
      <c r="Z125" s="6">
        <f t="shared" si="10"/>
        <v>63.147944882888801</v>
      </c>
      <c r="AA125" s="6">
        <f t="shared" si="10"/>
        <v>161.088811404068</v>
      </c>
      <c r="AB125" s="6">
        <f t="shared" si="10"/>
        <v>267.34962847483797</v>
      </c>
      <c r="AC125" s="6">
        <f t="shared" si="10"/>
        <v>284.19711962634301</v>
      </c>
      <c r="AD125" s="6">
        <f t="shared" si="10"/>
        <v>182.63465707159401</v>
      </c>
      <c r="AE125" s="6">
        <f t="shared" si="10"/>
        <v>73.328161729789699</v>
      </c>
      <c r="AF125" s="12">
        <f t="shared" si="10"/>
        <v>67.420745854038188</v>
      </c>
      <c r="AG125" s="6">
        <f t="shared" si="10"/>
        <v>0.78823927804684601</v>
      </c>
      <c r="AH125" s="140">
        <f t="shared" si="10"/>
        <v>0</v>
      </c>
      <c r="AI125" s="6"/>
    </row>
    <row r="126" spans="1:35" ht="15.75" x14ac:dyDescent="0.3">
      <c r="A126" s="150">
        <v>121</v>
      </c>
      <c r="B126" s="10" t="s">
        <v>97</v>
      </c>
      <c r="C126">
        <v>554321563.76097095</v>
      </c>
      <c r="E126" s="10" t="s">
        <v>412</v>
      </c>
      <c r="F126" s="151">
        <f>IF(ISNUMBER(N53),N53/SUM($I$43:$AI$71),0)</f>
        <v>6.4005427792184616E-4</v>
      </c>
      <c r="H126" s="160" t="s">
        <v>332</v>
      </c>
      <c r="I126" s="11">
        <f t="shared" si="11"/>
        <v>21.721781321023901</v>
      </c>
      <c r="J126" s="11">
        <f t="shared" si="11"/>
        <v>114.79352429615</v>
      </c>
      <c r="K126" s="6">
        <f t="shared" si="11"/>
        <v>295.99998729571496</v>
      </c>
      <c r="L126" s="6">
        <f t="shared" si="11"/>
        <v>450.99415253112801</v>
      </c>
      <c r="M126" s="6">
        <f t="shared" si="11"/>
        <v>422.73552598440597</v>
      </c>
      <c r="N126" s="6">
        <f t="shared" si="11"/>
        <v>251.74171205461099</v>
      </c>
      <c r="O126" s="6">
        <f t="shared" si="11"/>
        <v>99.327214825202901</v>
      </c>
      <c r="P126" s="6">
        <f t="shared" si="11"/>
        <v>30.5118743744125</v>
      </c>
      <c r="Q126" s="6">
        <f t="shared" si="11"/>
        <v>4.5317871347165095</v>
      </c>
      <c r="R126" s="11">
        <f t="shared" si="11"/>
        <v>0.13161517992187299</v>
      </c>
      <c r="S126" s="11">
        <f t="shared" si="11"/>
        <v>0</v>
      </c>
      <c r="T126" s="11">
        <f t="shared" si="11"/>
        <v>0</v>
      </c>
      <c r="U126" s="11">
        <f t="shared" si="11"/>
        <v>0</v>
      </c>
      <c r="V126" s="11">
        <f t="shared" si="11"/>
        <v>0</v>
      </c>
      <c r="W126" s="11">
        <f t="shared" si="11"/>
        <v>4.6531146175781302E-2</v>
      </c>
      <c r="X126" s="6">
        <f t="shared" si="11"/>
        <v>0</v>
      </c>
      <c r="Y126" s="6">
        <f t="shared" si="10"/>
        <v>1.3335546155664899</v>
      </c>
      <c r="Z126" s="6">
        <f t="shared" si="10"/>
        <v>22.094533852203398</v>
      </c>
      <c r="AA126" s="6">
        <f t="shared" si="10"/>
        <v>89.77684498952479</v>
      </c>
      <c r="AB126" s="6">
        <f t="shared" si="10"/>
        <v>224.219001671341</v>
      </c>
      <c r="AC126" s="6">
        <f t="shared" si="10"/>
        <v>353.22188861901896</v>
      </c>
      <c r="AD126" s="6">
        <f t="shared" si="10"/>
        <v>352.87749025351002</v>
      </c>
      <c r="AE126" s="6">
        <f t="shared" si="10"/>
        <v>220.12001735972601</v>
      </c>
      <c r="AF126" s="6">
        <f t="shared" si="10"/>
        <v>88.998202528938293</v>
      </c>
      <c r="AG126" s="12">
        <f t="shared" si="10"/>
        <v>20.555781940921797</v>
      </c>
      <c r="AH126" s="6">
        <f t="shared" si="10"/>
        <v>1.74728954580855</v>
      </c>
      <c r="AI126" s="140">
        <f t="shared" si="10"/>
        <v>4.74504857929684E-2</v>
      </c>
    </row>
    <row r="127" spans="1:35" ht="15.75" x14ac:dyDescent="0.3">
      <c r="A127" s="150">
        <v>122</v>
      </c>
      <c r="B127" s="10" t="s">
        <v>98</v>
      </c>
      <c r="C127">
        <v>492048016.155945</v>
      </c>
      <c r="E127" s="10" t="s">
        <v>413</v>
      </c>
      <c r="F127" s="151">
        <f>IF(ISNUMBER(O53),O53/SUM($I$43:$AI$71),0)</f>
        <v>3.2995238523616935E-4</v>
      </c>
      <c r="H127" s="160" t="s">
        <v>333</v>
      </c>
      <c r="I127" s="11">
        <f t="shared" si="11"/>
        <v>14.4612866242867</v>
      </c>
      <c r="J127" s="11">
        <f t="shared" si="11"/>
        <v>82.363595665107695</v>
      </c>
      <c r="K127" s="6">
        <f t="shared" si="11"/>
        <v>214.817818807571</v>
      </c>
      <c r="L127" s="6">
        <f t="shared" si="11"/>
        <v>340.03289587571697</v>
      </c>
      <c r="M127" s="6">
        <f t="shared" si="11"/>
        <v>336.55395236231999</v>
      </c>
      <c r="N127" s="6">
        <f t="shared" si="11"/>
        <v>220.524907213516</v>
      </c>
      <c r="O127" s="6">
        <f t="shared" si="11"/>
        <v>97.597143657798796</v>
      </c>
      <c r="P127" s="6">
        <f t="shared" si="11"/>
        <v>32.131365808113095</v>
      </c>
      <c r="Q127" s="6">
        <f t="shared" si="11"/>
        <v>5.7476056094608294</v>
      </c>
      <c r="R127" s="11">
        <f t="shared" si="11"/>
        <v>0.17755034537547801</v>
      </c>
      <c r="S127" s="11">
        <f t="shared" si="11"/>
        <v>7.2152837349612295E-2</v>
      </c>
      <c r="T127" s="11">
        <f t="shared" si="11"/>
        <v>2.6950360757812399E-2</v>
      </c>
      <c r="U127" s="11">
        <f t="shared" si="11"/>
        <v>0.111620954019532</v>
      </c>
      <c r="V127" s="11">
        <f t="shared" si="11"/>
        <v>7.5100509413085909E-2</v>
      </c>
      <c r="W127" s="11">
        <f t="shared" si="11"/>
        <v>3.8325692660156604E-2</v>
      </c>
      <c r="X127" s="6">
        <f t="shared" si="11"/>
        <v>0</v>
      </c>
      <c r="Y127" s="6">
        <f t="shared" si="10"/>
        <v>0.191240974888682</v>
      </c>
      <c r="Z127" s="6">
        <f t="shared" si="10"/>
        <v>0.82202821085154998</v>
      </c>
      <c r="AA127" s="6">
        <f t="shared" si="10"/>
        <v>16.253326454367599</v>
      </c>
      <c r="AB127" s="6">
        <f t="shared" si="10"/>
        <v>61.680289240962999</v>
      </c>
      <c r="AC127" s="6">
        <f t="shared" si="10"/>
        <v>142.384997994217</v>
      </c>
      <c r="AD127" s="6">
        <f t="shared" si="10"/>
        <v>196.889307947296</v>
      </c>
      <c r="AE127" s="6">
        <f t="shared" si="10"/>
        <v>176.15527351875301</v>
      </c>
      <c r="AF127" s="6">
        <f t="shared" si="10"/>
        <v>104.65155928771999</v>
      </c>
      <c r="AG127" s="6">
        <f t="shared" si="10"/>
        <v>39.030040197612799</v>
      </c>
      <c r="AH127" s="12">
        <f t="shared" si="10"/>
        <v>7.3410421341075898</v>
      </c>
      <c r="AI127" s="141">
        <f t="shared" si="10"/>
        <v>0.21891232994923002</v>
      </c>
    </row>
    <row r="128" spans="1:35" ht="15.75" x14ac:dyDescent="0.3">
      <c r="A128" s="150">
        <v>123</v>
      </c>
      <c r="B128" s="10" t="s">
        <v>99</v>
      </c>
      <c r="C128">
        <v>333993056.68040502</v>
      </c>
      <c r="E128" s="10" t="s">
        <v>414</v>
      </c>
      <c r="F128" s="151">
        <f>IF(ISNUMBER(P53),P53/SUM($I$43:$AI$71),0)</f>
        <v>1.6272219063519162E-4</v>
      </c>
      <c r="H128" s="160" t="s">
        <v>334</v>
      </c>
      <c r="I128" s="11">
        <f t="shared" si="11"/>
        <v>9.1906094633512492</v>
      </c>
      <c r="J128" s="11">
        <f t="shared" si="11"/>
        <v>54.219299964164698</v>
      </c>
      <c r="K128" s="6">
        <f t="shared" si="11"/>
        <v>137.32769966229998</v>
      </c>
      <c r="L128" s="6">
        <f t="shared" si="11"/>
        <v>222.94371711357098</v>
      </c>
      <c r="M128" s="6">
        <f t="shared" si="11"/>
        <v>235.08197189280702</v>
      </c>
      <c r="N128" s="6">
        <f t="shared" si="11"/>
        <v>161.80452280889099</v>
      </c>
      <c r="O128" s="6">
        <f t="shared" si="11"/>
        <v>76.861213486789708</v>
      </c>
      <c r="P128" s="6">
        <f t="shared" si="11"/>
        <v>27.7022363994942</v>
      </c>
      <c r="Q128" s="6">
        <f t="shared" si="11"/>
        <v>6.5856222395076802</v>
      </c>
      <c r="R128" s="11">
        <f t="shared" si="11"/>
        <v>0.42418712348020099</v>
      </c>
      <c r="S128" s="11">
        <f t="shared" si="11"/>
        <v>0</v>
      </c>
      <c r="T128" s="11">
        <f t="shared" si="11"/>
        <v>1.2169938953613901E-2</v>
      </c>
      <c r="U128" s="11">
        <f t="shared" si="11"/>
        <v>4.5588317563477901E-3</v>
      </c>
      <c r="V128" s="11">
        <f t="shared" si="11"/>
        <v>0</v>
      </c>
      <c r="W128" s="11">
        <f t="shared" si="11"/>
        <v>0</v>
      </c>
      <c r="X128" s="6">
        <f t="shared" si="11"/>
        <v>0</v>
      </c>
      <c r="Y128" s="6">
        <f t="shared" si="10"/>
        <v>0</v>
      </c>
      <c r="Z128" s="6">
        <f t="shared" si="10"/>
        <v>0</v>
      </c>
      <c r="AA128" s="6">
        <f t="shared" si="10"/>
        <v>1.48159575962889</v>
      </c>
      <c r="AB128" s="6">
        <f t="shared" si="10"/>
        <v>17.597397045972802</v>
      </c>
      <c r="AC128" s="6">
        <f t="shared" si="10"/>
        <v>64.183190037761705</v>
      </c>
      <c r="AD128" s="6">
        <f t="shared" si="10"/>
        <v>126.621294955971</v>
      </c>
      <c r="AE128" s="6">
        <f t="shared" si="10"/>
        <v>160.37709315457201</v>
      </c>
      <c r="AF128" s="6">
        <f t="shared" si="10"/>
        <v>133.32558810037199</v>
      </c>
      <c r="AG128" s="6">
        <f t="shared" si="10"/>
        <v>77.660860470130899</v>
      </c>
      <c r="AH128" s="6">
        <f t="shared" si="10"/>
        <v>26.698349534122499</v>
      </c>
      <c r="AI128" s="12">
        <f t="shared" si="10"/>
        <v>4.1721379644765904</v>
      </c>
    </row>
    <row r="129" spans="1:35" ht="15.75" x14ac:dyDescent="0.3">
      <c r="A129" s="150">
        <v>124</v>
      </c>
      <c r="B129" s="10" t="s">
        <v>100</v>
      </c>
      <c r="C129">
        <v>258053697.86782801</v>
      </c>
      <c r="E129" s="10" t="s">
        <v>415</v>
      </c>
      <c r="F129" s="151">
        <f>IF(ISNUMBER(Q53),Q53/SUM($I$43:$AI$71),0)</f>
        <v>4.1903082784200463E-5</v>
      </c>
      <c r="H129" s="160" t="s">
        <v>335</v>
      </c>
      <c r="I129" s="11">
        <f t="shared" si="11"/>
        <v>7.8054683246302599</v>
      </c>
      <c r="J129" s="11">
        <f t="shared" si="11"/>
        <v>39.124551300632497</v>
      </c>
      <c r="K129" s="6">
        <f t="shared" si="11"/>
        <v>94.970937138740496</v>
      </c>
      <c r="L129" s="6">
        <f t="shared" si="11"/>
        <v>151.58688039114401</v>
      </c>
      <c r="M129" s="6">
        <f t="shared" si="11"/>
        <v>164.837752565758</v>
      </c>
      <c r="N129" s="6">
        <f t="shared" si="11"/>
        <v>125.52085573201799</v>
      </c>
      <c r="O129" s="6">
        <f t="shared" si="11"/>
        <v>64.776790580062908</v>
      </c>
      <c r="P129" s="6">
        <f t="shared" si="11"/>
        <v>24.247066551324799</v>
      </c>
      <c r="Q129" s="6">
        <f t="shared" si="11"/>
        <v>5.6523480372223904</v>
      </c>
      <c r="R129" s="11">
        <f t="shared" si="11"/>
        <v>0.105595330289058</v>
      </c>
      <c r="S129" s="11">
        <f t="shared" si="11"/>
        <v>0</v>
      </c>
      <c r="T129" s="11">
        <f t="shared" si="11"/>
        <v>4.8276621960938002E-2</v>
      </c>
      <c r="U129" s="11">
        <f t="shared" si="11"/>
        <v>4.20610901015624E-2</v>
      </c>
      <c r="V129" s="11">
        <f t="shared" si="11"/>
        <v>0</v>
      </c>
      <c r="W129" s="11">
        <f t="shared" si="11"/>
        <v>4.4219824148435102E-2</v>
      </c>
      <c r="X129" s="11">
        <f t="shared" si="11"/>
        <v>1.3975238601805601E-2</v>
      </c>
      <c r="Y129" s="11">
        <f t="shared" si="10"/>
        <v>0</v>
      </c>
      <c r="Z129" s="11">
        <f t="shared" si="10"/>
        <v>0</v>
      </c>
      <c r="AA129" s="11">
        <f t="shared" si="10"/>
        <v>0</v>
      </c>
      <c r="AB129" s="11">
        <f t="shared" si="10"/>
        <v>1.4063995723749398</v>
      </c>
      <c r="AC129" s="11">
        <f t="shared" si="10"/>
        <v>16.327827804778099</v>
      </c>
      <c r="AD129" s="11">
        <f t="shared" si="10"/>
        <v>48.925951281116504</v>
      </c>
      <c r="AE129" s="11">
        <f t="shared" si="10"/>
        <v>87.710297754829412</v>
      </c>
      <c r="AF129" s="11">
        <f t="shared" si="10"/>
        <v>105.148859962784</v>
      </c>
      <c r="AG129" s="11">
        <f t="shared" si="10"/>
        <v>87.8819353770905</v>
      </c>
      <c r="AH129" s="11">
        <f t="shared" si="10"/>
        <v>46.7405695606422</v>
      </c>
      <c r="AI129" s="14">
        <f t="shared" si="10"/>
        <v>0</v>
      </c>
    </row>
    <row r="130" spans="1:35" ht="15.75" x14ac:dyDescent="0.3">
      <c r="A130" s="150">
        <v>125</v>
      </c>
      <c r="B130" s="10" t="s">
        <v>101</v>
      </c>
      <c r="C130">
        <v>162797828.29525799</v>
      </c>
      <c r="E130" s="10" t="s">
        <v>416</v>
      </c>
      <c r="F130" s="151">
        <f>IF(ISNUMBER(R53),R53/SUM($I$43:$AI$71),0)</f>
        <v>0</v>
      </c>
      <c r="H130" s="160" t="s">
        <v>336</v>
      </c>
      <c r="I130" s="11">
        <f t="shared" si="11"/>
        <v>5.99355257224369</v>
      </c>
      <c r="J130" s="11">
        <f t="shared" si="11"/>
        <v>27.941351148824698</v>
      </c>
      <c r="K130" s="6">
        <f t="shared" si="11"/>
        <v>60.579502879337305</v>
      </c>
      <c r="L130" s="6">
        <f t="shared" si="11"/>
        <v>93.353666386283905</v>
      </c>
      <c r="M130" s="6">
        <f t="shared" si="11"/>
        <v>107.87038757273901</v>
      </c>
      <c r="N130" s="6">
        <f t="shared" si="11"/>
        <v>84.201507918678303</v>
      </c>
      <c r="O130" s="6">
        <f t="shared" si="11"/>
        <v>46.621862982235001</v>
      </c>
      <c r="P130" s="6">
        <f t="shared" si="11"/>
        <v>18.600374891398399</v>
      </c>
      <c r="Q130" s="6">
        <f t="shared" si="11"/>
        <v>4.4126909807734496</v>
      </c>
      <c r="R130" s="11">
        <f t="shared" si="11"/>
        <v>0.26883769001659796</v>
      </c>
      <c r="S130" s="11">
        <f t="shared" si="11"/>
        <v>6.7434684320311994E-2</v>
      </c>
      <c r="T130" s="11">
        <f t="shared" si="11"/>
        <v>8.1739641726562798E-2</v>
      </c>
      <c r="U130" s="11">
        <f t="shared" si="11"/>
        <v>6.2842454218748997E-2</v>
      </c>
      <c r="V130" s="11">
        <f t="shared" si="11"/>
        <v>0</v>
      </c>
      <c r="W130" s="11">
        <f t="shared" si="11"/>
        <v>0</v>
      </c>
      <c r="X130" s="11">
        <f t="shared" si="11"/>
        <v>0</v>
      </c>
      <c r="Y130" s="11">
        <f t="shared" si="10"/>
        <v>0</v>
      </c>
      <c r="Z130" s="11">
        <f t="shared" si="10"/>
        <v>0</v>
      </c>
      <c r="AA130" s="11">
        <f t="shared" si="10"/>
        <v>0</v>
      </c>
      <c r="AB130" s="11">
        <f t="shared" si="10"/>
        <v>0</v>
      </c>
      <c r="AC130" s="11">
        <f t="shared" si="10"/>
        <v>2.1004227507187099</v>
      </c>
      <c r="AD130" s="11">
        <f t="shared" si="10"/>
        <v>13.2133063524265</v>
      </c>
      <c r="AE130" s="11">
        <f t="shared" si="10"/>
        <v>37.824486905013998</v>
      </c>
      <c r="AF130" s="11">
        <f t="shared" si="10"/>
        <v>63.1218972100868</v>
      </c>
      <c r="AG130" s="11">
        <f t="shared" si="10"/>
        <v>70.816162901626598</v>
      </c>
      <c r="AH130" s="11">
        <f t="shared" si="10"/>
        <v>52.221953314151804</v>
      </c>
      <c r="AI130" s="14">
        <f t="shared" si="10"/>
        <v>0</v>
      </c>
    </row>
    <row r="131" spans="1:35" ht="15.75" x14ac:dyDescent="0.3">
      <c r="A131" s="150">
        <v>126</v>
      </c>
      <c r="B131" s="10" t="s">
        <v>102</v>
      </c>
      <c r="C131">
        <v>136672142.887146</v>
      </c>
      <c r="E131" s="10" t="s">
        <v>516</v>
      </c>
      <c r="F131" s="151">
        <f>IF(ISNUMBER(S53),S53/SUM($I$43:$AI$71),0)</f>
        <v>1.1588823333301457E-4</v>
      </c>
      <c r="H131" s="160" t="s">
        <v>337</v>
      </c>
      <c r="I131" s="11">
        <f t="shared" si="11"/>
        <v>3.19861164437294</v>
      </c>
      <c r="J131" s="11">
        <f t="shared" si="11"/>
        <v>21.1887668551655</v>
      </c>
      <c r="K131" s="6">
        <f t="shared" si="11"/>
        <v>39.2349531641159</v>
      </c>
      <c r="L131" s="6">
        <f t="shared" si="11"/>
        <v>63.281460344215404</v>
      </c>
      <c r="M131" s="6">
        <f t="shared" si="11"/>
        <v>71.542421151920308</v>
      </c>
      <c r="N131" s="6">
        <f t="shared" si="11"/>
        <v>57.986480194522905</v>
      </c>
      <c r="O131" s="6">
        <f t="shared" si="11"/>
        <v>33.620641220359801</v>
      </c>
      <c r="P131" s="6">
        <f t="shared" si="11"/>
        <v>14.1039479811249</v>
      </c>
      <c r="Q131" s="6">
        <f t="shared" si="11"/>
        <v>3.60111374985933</v>
      </c>
      <c r="R131" s="11">
        <f t="shared" si="11"/>
        <v>0.21893803503516299</v>
      </c>
      <c r="S131" s="11">
        <f t="shared" si="11"/>
        <v>1.7634369474608499E-2</v>
      </c>
      <c r="T131" s="11">
        <f t="shared" si="11"/>
        <v>0</v>
      </c>
      <c r="U131" s="11">
        <f t="shared" si="11"/>
        <v>0</v>
      </c>
      <c r="V131" s="11">
        <f t="shared" si="11"/>
        <v>0</v>
      </c>
      <c r="W131" s="11">
        <f t="shared" si="11"/>
        <v>0</v>
      </c>
      <c r="X131" s="11">
        <f t="shared" si="11"/>
        <v>0</v>
      </c>
      <c r="Y131" s="11">
        <f t="shared" si="10"/>
        <v>0</v>
      </c>
      <c r="Z131" s="11">
        <f t="shared" si="10"/>
        <v>1.72494335459005E-2</v>
      </c>
      <c r="AA131" s="11">
        <f t="shared" si="10"/>
        <v>4.5188176539063499E-2</v>
      </c>
      <c r="AB131" s="11">
        <f t="shared" si="10"/>
        <v>0</v>
      </c>
      <c r="AC131" s="11">
        <f t="shared" si="10"/>
        <v>5.7393317218754396E-2</v>
      </c>
      <c r="AD131" s="11">
        <f t="shared" si="10"/>
        <v>1.1758422045116399</v>
      </c>
      <c r="AE131" s="11">
        <f t="shared" si="10"/>
        <v>7.4708745954875901</v>
      </c>
      <c r="AF131" s="11">
        <f t="shared" si="10"/>
        <v>25.623992296070099</v>
      </c>
      <c r="AG131" s="11">
        <f t="shared" si="10"/>
        <v>38.5424221974449</v>
      </c>
      <c r="AH131" s="11">
        <f t="shared" si="10"/>
        <v>26.106455430097597</v>
      </c>
      <c r="AI131" s="14">
        <f t="shared" si="10"/>
        <v>0</v>
      </c>
    </row>
    <row r="132" spans="1:35" ht="15.75" x14ac:dyDescent="0.3">
      <c r="A132" s="150">
        <v>127</v>
      </c>
      <c r="B132" s="10" t="s">
        <v>103</v>
      </c>
      <c r="C132">
        <v>110873116.544025</v>
      </c>
      <c r="E132" s="10" t="s">
        <v>517</v>
      </c>
      <c r="F132" s="151">
        <f>IF(ISNUMBER(T53),T53/SUM($I$43:$AI$71),0)</f>
        <v>3.5408177816287264E-4</v>
      </c>
      <c r="H132" s="160" t="s">
        <v>338</v>
      </c>
      <c r="I132" s="11">
        <f t="shared" si="11"/>
        <v>1.45024652160108</v>
      </c>
      <c r="J132" s="11">
        <f t="shared" si="11"/>
        <v>13.161330706014599</v>
      </c>
      <c r="K132" s="6">
        <f t="shared" si="11"/>
        <v>27.929839810091</v>
      </c>
      <c r="L132" s="6">
        <f t="shared" si="11"/>
        <v>38.963663221332602</v>
      </c>
      <c r="M132" s="6">
        <f t="shared" si="11"/>
        <v>42.087798454326602</v>
      </c>
      <c r="N132" s="6">
        <f t="shared" si="11"/>
        <v>34.791222438167601</v>
      </c>
      <c r="O132" s="6">
        <f t="shared" si="11"/>
        <v>21.0462024071293</v>
      </c>
      <c r="P132" s="6">
        <f t="shared" si="11"/>
        <v>9.7353363850154899</v>
      </c>
      <c r="Q132" s="6">
        <f t="shared" si="11"/>
        <v>1.7696944800000201</v>
      </c>
      <c r="R132" s="11">
        <f t="shared" si="11"/>
        <v>0.165082097308591</v>
      </c>
      <c r="S132" s="11">
        <f t="shared" si="11"/>
        <v>0</v>
      </c>
      <c r="T132" s="11">
        <f t="shared" si="11"/>
        <v>3.1777149363283103E-2</v>
      </c>
      <c r="U132" s="11">
        <f t="shared" si="11"/>
        <v>9.7326903304686796E-2</v>
      </c>
      <c r="V132" s="11">
        <f t="shared" si="11"/>
        <v>0</v>
      </c>
      <c r="W132" s="11">
        <f t="shared" si="11"/>
        <v>0</v>
      </c>
      <c r="X132" s="11">
        <f t="shared" si="11"/>
        <v>1.7369451890625099E-2</v>
      </c>
      <c r="Y132" s="11">
        <f t="shared" si="10"/>
        <v>0</v>
      </c>
      <c r="Z132" s="11">
        <f t="shared" si="10"/>
        <v>9.8718043207030703E-2</v>
      </c>
      <c r="AA132" s="11">
        <f t="shared" si="10"/>
        <v>8.1924813492186402E-2</v>
      </c>
      <c r="AB132" s="11">
        <f t="shared" si="10"/>
        <v>0</v>
      </c>
      <c r="AC132" s="11">
        <f t="shared" si="10"/>
        <v>9.0608955151373505E-3</v>
      </c>
      <c r="AD132" s="11">
        <f t="shared" si="10"/>
        <v>9.2457307890623799E-2</v>
      </c>
      <c r="AE132" s="11">
        <f t="shared" si="10"/>
        <v>1.20859965108204</v>
      </c>
      <c r="AF132" s="11">
        <f t="shared" si="10"/>
        <v>5.8374668917951604</v>
      </c>
      <c r="AG132" s="11">
        <f t="shared" si="10"/>
        <v>14.560380799767501</v>
      </c>
      <c r="AH132" s="11">
        <f t="shared" si="10"/>
        <v>0</v>
      </c>
      <c r="AI132" s="14">
        <f t="shared" si="10"/>
        <v>0</v>
      </c>
    </row>
    <row r="133" spans="1:35" ht="15.75" x14ac:dyDescent="0.3">
      <c r="A133" s="150">
        <v>128</v>
      </c>
      <c r="B133" s="10" t="s">
        <v>104</v>
      </c>
      <c r="C133">
        <v>106623483.768093</v>
      </c>
      <c r="E133" s="10" t="s">
        <v>518</v>
      </c>
      <c r="F133" s="151">
        <f>IF(ISNUMBER(U53),U53/SUM($I$43:$AI$71),0)</f>
        <v>4.5272535358905621E-4</v>
      </c>
      <c r="H133" s="160" t="s">
        <v>339</v>
      </c>
      <c r="I133" s="11">
        <f t="shared" si="11"/>
        <v>0.78356926662600002</v>
      </c>
      <c r="J133" s="11">
        <f t="shared" si="11"/>
        <v>8.0820182637929889</v>
      </c>
      <c r="K133" s="6">
        <f t="shared" si="11"/>
        <v>17.659432725284599</v>
      </c>
      <c r="L133" s="6">
        <f t="shared" si="11"/>
        <v>25.471194892568601</v>
      </c>
      <c r="M133" s="6">
        <f t="shared" si="11"/>
        <v>27.7450674718628</v>
      </c>
      <c r="N133" s="6">
        <f t="shared" si="11"/>
        <v>21.200138020721397</v>
      </c>
      <c r="O133" s="6">
        <f t="shared" si="11"/>
        <v>13.8189516048241</v>
      </c>
      <c r="P133" s="6">
        <f t="shared" si="11"/>
        <v>5.1164447565507896</v>
      </c>
      <c r="Q133" s="6">
        <f t="shared" si="11"/>
        <v>1.36056167341018</v>
      </c>
      <c r="R133" s="11">
        <f t="shared" si="11"/>
        <v>0.13458157222264999</v>
      </c>
      <c r="S133" s="11">
        <f t="shared" si="11"/>
        <v>0</v>
      </c>
      <c r="T133" s="11">
        <f t="shared" si="11"/>
        <v>0</v>
      </c>
      <c r="U133" s="11">
        <f t="shared" si="11"/>
        <v>0</v>
      </c>
      <c r="V133" s="11">
        <f t="shared" si="11"/>
        <v>0</v>
      </c>
      <c r="W133" s="11">
        <f t="shared" si="11"/>
        <v>9.1172596406251208E-2</v>
      </c>
      <c r="X133" s="11">
        <f t="shared" si="11"/>
        <v>0</v>
      </c>
      <c r="Y133" s="11">
        <f t="shared" si="10"/>
        <v>7.8902369462894306E-3</v>
      </c>
      <c r="Z133" s="11">
        <f t="shared" si="10"/>
        <v>0</v>
      </c>
      <c r="AA133" s="11">
        <f t="shared" si="10"/>
        <v>4.5146276003904598E-2</v>
      </c>
      <c r="AB133" s="11">
        <f t="shared" si="10"/>
        <v>0</v>
      </c>
      <c r="AC133" s="11">
        <f t="shared" si="10"/>
        <v>0</v>
      </c>
      <c r="AD133" s="11">
        <f t="shared" si="10"/>
        <v>4.7097356414062902E-2</v>
      </c>
      <c r="AE133" s="11">
        <f t="shared" si="10"/>
        <v>0</v>
      </c>
      <c r="AF133" s="11">
        <f t="shared" si="10"/>
        <v>0.45539223692581099</v>
      </c>
      <c r="AG133" s="11">
        <f t="shared" si="10"/>
        <v>2.6875689858124296</v>
      </c>
      <c r="AH133" s="11">
        <f t="shared" si="10"/>
        <v>0</v>
      </c>
      <c r="AI133" s="14">
        <f t="shared" si="10"/>
        <v>0</v>
      </c>
    </row>
    <row r="134" spans="1:35" ht="15.75" x14ac:dyDescent="0.3">
      <c r="A134" s="150">
        <v>129</v>
      </c>
      <c r="B134" s="10" t="s">
        <v>105</v>
      </c>
      <c r="C134">
        <v>498734796.93890399</v>
      </c>
      <c r="E134" s="10" t="s">
        <v>1055</v>
      </c>
      <c r="F134" s="151">
        <f>IF(ISNUMBER(V53),V53/SUM($I$43:$AI$71),0)</f>
        <v>2.8616445493860111E-4</v>
      </c>
      <c r="H134" s="161" t="s">
        <v>340</v>
      </c>
      <c r="I134" s="47">
        <f t="shared" si="11"/>
        <v>0.47454514099121098</v>
      </c>
      <c r="J134" s="47">
        <f t="shared" si="11"/>
        <v>3.9980602320289598</v>
      </c>
      <c r="K134" s="47">
        <f t="shared" si="11"/>
        <v>11.2603415685291</v>
      </c>
      <c r="L134" s="47">
        <f t="shared" si="11"/>
        <v>15.7362230822001</v>
      </c>
      <c r="M134" s="47">
        <f t="shared" si="11"/>
        <v>17.2343488704119</v>
      </c>
      <c r="N134" s="47">
        <f t="shared" si="11"/>
        <v>13.4665616449442</v>
      </c>
      <c r="O134" s="47">
        <f t="shared" si="11"/>
        <v>7.3715656406526602</v>
      </c>
      <c r="P134" s="47">
        <f t="shared" si="11"/>
        <v>2.6728172505877001</v>
      </c>
      <c r="Q134" s="47">
        <f t="shared" si="11"/>
        <v>0.52187444277736494</v>
      </c>
      <c r="R134" s="47">
        <f t="shared" si="11"/>
        <v>8.7096797179687796E-2</v>
      </c>
      <c r="S134" s="47">
        <f t="shared" si="11"/>
        <v>0</v>
      </c>
      <c r="T134" s="47">
        <f t="shared" si="11"/>
        <v>0</v>
      </c>
      <c r="U134" s="47">
        <f t="shared" si="11"/>
        <v>8.3372435140624604E-2</v>
      </c>
      <c r="V134" s="47">
        <f t="shared" si="11"/>
        <v>0</v>
      </c>
      <c r="W134" s="47">
        <f t="shared" si="11"/>
        <v>0</v>
      </c>
      <c r="X134" s="47">
        <f t="shared" si="11"/>
        <v>0</v>
      </c>
      <c r="Y134" s="47">
        <f t="shared" si="10"/>
        <v>6.1473733863279201E-2</v>
      </c>
      <c r="Z134" s="47">
        <f t="shared" si="10"/>
        <v>0</v>
      </c>
      <c r="AA134" s="47">
        <f t="shared" si="10"/>
        <v>0</v>
      </c>
      <c r="AB134" s="47">
        <f t="shared" si="10"/>
        <v>0.102598172039066</v>
      </c>
      <c r="AC134" s="47">
        <f t="shared" si="10"/>
        <v>4.5730659462893397E-3</v>
      </c>
      <c r="AD134" s="47">
        <f t="shared" si="10"/>
        <v>0.146622640710935</v>
      </c>
      <c r="AE134" s="47">
        <f t="shared" si="10"/>
        <v>6.2341553718751296E-2</v>
      </c>
      <c r="AF134" s="47">
        <f t="shared" si="10"/>
        <v>4.45070358325215E-3</v>
      </c>
      <c r="AG134" s="47">
        <f t="shared" si="10"/>
        <v>0</v>
      </c>
      <c r="AH134" s="47">
        <f t="shared" si="10"/>
        <v>0</v>
      </c>
      <c r="AI134" s="46">
        <f t="shared" si="10"/>
        <v>0</v>
      </c>
    </row>
    <row r="135" spans="1:35" x14ac:dyDescent="0.25">
      <c r="A135" s="150">
        <v>130</v>
      </c>
      <c r="B135" s="10" t="s">
        <v>106</v>
      </c>
      <c r="C135">
        <v>471263107.85197401</v>
      </c>
      <c r="E135" s="10" t="s">
        <v>1056</v>
      </c>
      <c r="F135" s="151">
        <f>IF(ISNUMBER(W53),W53/SUM($I$43:$AI$71),0)</f>
        <v>5.7738152812108536E-5</v>
      </c>
    </row>
    <row r="136" spans="1:35" x14ac:dyDescent="0.25">
      <c r="A136" s="150">
        <v>131</v>
      </c>
      <c r="B136" s="10" t="s">
        <v>107</v>
      </c>
      <c r="C136">
        <v>1407978561.3659699</v>
      </c>
      <c r="E136" s="10" t="s">
        <v>1578</v>
      </c>
      <c r="F136" s="151">
        <f>IF(ISNUMBER(X53),X53/SUM($I$43:$AI$71),0)</f>
        <v>0</v>
      </c>
      <c r="H136" s="244" t="s">
        <v>1087</v>
      </c>
      <c r="AD136" s="237" t="s">
        <v>1818</v>
      </c>
      <c r="AE136" s="153">
        <f>C3</f>
        <v>336711809.78716999</v>
      </c>
      <c r="AG136" s="237" t="s">
        <v>1819</v>
      </c>
      <c r="AH136" s="153">
        <f>C5</f>
        <v>171983.71272656301</v>
      </c>
    </row>
    <row r="137" spans="1:35" ht="15.75" x14ac:dyDescent="0.3">
      <c r="A137" s="150">
        <v>132</v>
      </c>
      <c r="B137" s="10" t="s">
        <v>108</v>
      </c>
      <c r="C137">
        <v>1209136319.7835701</v>
      </c>
      <c r="E137" s="10" t="s">
        <v>1579</v>
      </c>
      <c r="F137" s="151">
        <f>IF(ISNUMBER(Y53),Y53/SUM($I$43:$AI$71),0)</f>
        <v>0</v>
      </c>
      <c r="H137" s="245"/>
      <c r="I137" s="154" t="s">
        <v>1012</v>
      </c>
      <c r="J137" s="155" t="s">
        <v>322</v>
      </c>
      <c r="K137" s="155" t="s">
        <v>323</v>
      </c>
      <c r="L137" s="155" t="s">
        <v>324</v>
      </c>
      <c r="M137" s="155" t="s">
        <v>325</v>
      </c>
      <c r="N137" s="155" t="s">
        <v>326</v>
      </c>
      <c r="O137" s="155" t="s">
        <v>2</v>
      </c>
      <c r="P137" s="155" t="s">
        <v>3</v>
      </c>
      <c r="Q137" s="155" t="s">
        <v>4</v>
      </c>
      <c r="R137" s="155" t="s">
        <v>5</v>
      </c>
      <c r="S137" s="155" t="s">
        <v>6</v>
      </c>
      <c r="T137" s="155" t="s">
        <v>7</v>
      </c>
      <c r="U137" s="155" t="s">
        <v>8</v>
      </c>
      <c r="V137" s="155" t="s">
        <v>1016</v>
      </c>
      <c r="W137" s="155" t="s">
        <v>1017</v>
      </c>
      <c r="X137" s="155" t="s">
        <v>1018</v>
      </c>
      <c r="Y137" s="155" t="s">
        <v>1074</v>
      </c>
      <c r="Z137" s="155" t="s">
        <v>1075</v>
      </c>
      <c r="AA137" s="155" t="s">
        <v>1076</v>
      </c>
      <c r="AB137" s="155" t="s">
        <v>1077</v>
      </c>
      <c r="AC137" s="155" t="s">
        <v>1078</v>
      </c>
      <c r="AD137" s="155" t="s">
        <v>1079</v>
      </c>
      <c r="AE137" s="155" t="s">
        <v>1080</v>
      </c>
      <c r="AF137" s="155" t="s">
        <v>1081</v>
      </c>
      <c r="AG137" s="155" t="s">
        <v>1082</v>
      </c>
      <c r="AH137" s="155" t="s">
        <v>1083</v>
      </c>
      <c r="AI137" s="157" t="s">
        <v>1084</v>
      </c>
    </row>
    <row r="138" spans="1:35" ht="15.75" x14ac:dyDescent="0.3">
      <c r="A138" s="150">
        <v>133</v>
      </c>
      <c r="B138" s="10" t="s">
        <v>687</v>
      </c>
      <c r="C138">
        <v>1598735366.7172201</v>
      </c>
      <c r="E138" s="10" t="s">
        <v>519</v>
      </c>
      <c r="F138" s="151">
        <f>IF(ISNUMBER(I54),I54/SUM($I$43:$AI$71),0)</f>
        <v>0</v>
      </c>
      <c r="H138" s="158" t="s">
        <v>1011</v>
      </c>
      <c r="I138" s="11">
        <f t="shared" ref="I138:X153" si="12">IF(ISNUMBER(VLOOKUP(CONCATENATE($H138,"_",I$137,"_b"),$B$6:$C$1151,2,FALSE)),VLOOKUP(CONCATENATE($H138,"_",I$137,"_b"),$B$6:$C$1151,2,FALSE)/1000000,"N/A")</f>
        <v>0</v>
      </c>
      <c r="J138" s="11">
        <f t="shared" si="12"/>
        <v>0</v>
      </c>
      <c r="K138" s="6">
        <f t="shared" si="12"/>
        <v>5.4091701370602506E-2</v>
      </c>
      <c r="L138" s="6">
        <f t="shared" si="12"/>
        <v>1.25108944013659E-2</v>
      </c>
      <c r="M138" s="12">
        <f t="shared" si="12"/>
        <v>2.6568481311036699E-3</v>
      </c>
      <c r="N138" s="6">
        <f t="shared" si="12"/>
        <v>5.15591837226562E-2</v>
      </c>
      <c r="O138" s="141">
        <f t="shared" si="12"/>
        <v>9.8925263320310004E-3</v>
      </c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</row>
    <row r="139" spans="1:35" ht="15.75" x14ac:dyDescent="0.3">
      <c r="A139" s="150">
        <v>134</v>
      </c>
      <c r="B139" s="10" t="s">
        <v>688</v>
      </c>
      <c r="C139">
        <v>1385803306.87708</v>
      </c>
      <c r="E139" s="10" t="s">
        <v>417</v>
      </c>
      <c r="F139" s="151">
        <f>IF(ISNUMBER(J54),J54/SUM($I$43:$AI$71),0)</f>
        <v>4.7100479507469057E-5</v>
      </c>
      <c r="H139" s="159" t="s">
        <v>321</v>
      </c>
      <c r="I139" s="9">
        <f t="shared" si="12"/>
        <v>5.0446754402345001E-2</v>
      </c>
      <c r="J139" s="9">
        <f t="shared" si="12"/>
        <v>0</v>
      </c>
      <c r="K139" s="9">
        <f t="shared" si="12"/>
        <v>6.0756773661620897E-2</v>
      </c>
      <c r="L139" s="9">
        <f t="shared" si="12"/>
        <v>0.41883134794335802</v>
      </c>
      <c r="M139" s="9">
        <f t="shared" si="12"/>
        <v>1.39211091045702</v>
      </c>
      <c r="N139" s="13">
        <f t="shared" si="12"/>
        <v>1.03825865464649</v>
      </c>
      <c r="O139" s="6">
        <f t="shared" si="12"/>
        <v>8.8474095843751002E-2</v>
      </c>
      <c r="P139" s="140">
        <f t="shared" si="12"/>
        <v>0</v>
      </c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</row>
    <row r="140" spans="1:35" ht="15.75" x14ac:dyDescent="0.3">
      <c r="A140" s="150">
        <v>135</v>
      </c>
      <c r="B140" s="10" t="s">
        <v>689</v>
      </c>
      <c r="C140">
        <v>741448449.46002197</v>
      </c>
      <c r="E140" s="10" t="s">
        <v>418</v>
      </c>
      <c r="F140" s="151">
        <f>IF(ISNUMBER(K54),K54/SUM($I$43:$AI$71),0)</f>
        <v>4.7909019274639425E-5</v>
      </c>
      <c r="H140" s="160" t="s">
        <v>10</v>
      </c>
      <c r="I140" s="11">
        <f t="shared" si="12"/>
        <v>0</v>
      </c>
      <c r="J140" s="11">
        <f t="shared" si="12"/>
        <v>36.843283114941599</v>
      </c>
      <c r="K140" s="6">
        <f t="shared" si="12"/>
        <v>232.39676200685099</v>
      </c>
      <c r="L140" s="6">
        <f t="shared" si="12"/>
        <v>180.42582071510699</v>
      </c>
      <c r="M140" s="6">
        <f t="shared" si="12"/>
        <v>153.99000224977101</v>
      </c>
      <c r="N140" s="6">
        <f t="shared" si="12"/>
        <v>293.77160738832902</v>
      </c>
      <c r="O140" s="12">
        <f t="shared" si="12"/>
        <v>217.131283761063</v>
      </c>
      <c r="P140" s="6">
        <f t="shared" si="12"/>
        <v>58.1542653159065</v>
      </c>
      <c r="Q140" s="140">
        <f t="shared" si="12"/>
        <v>1.6931174192168101</v>
      </c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</row>
    <row r="141" spans="1:35" ht="15.75" x14ac:dyDescent="0.3">
      <c r="A141" s="150">
        <v>136</v>
      </c>
      <c r="B141" s="10" t="s">
        <v>690</v>
      </c>
      <c r="C141">
        <v>707745361.31173694</v>
      </c>
      <c r="E141" s="10" t="s">
        <v>419</v>
      </c>
      <c r="F141" s="151">
        <f>IF(ISNUMBER(L54),L54/SUM($I$43:$AI$71),0)</f>
        <v>0</v>
      </c>
      <c r="H141" s="160" t="s">
        <v>11</v>
      </c>
      <c r="I141" s="11">
        <f t="shared" si="12"/>
        <v>0.16668414968554698</v>
      </c>
      <c r="J141" s="11">
        <f t="shared" si="12"/>
        <v>203.949398800415</v>
      </c>
      <c r="K141" s="6">
        <f t="shared" si="12"/>
        <v>1437.18479161499</v>
      </c>
      <c r="L141" s="6">
        <f t="shared" si="12"/>
        <v>1412.0557463960299</v>
      </c>
      <c r="M141" s="6">
        <f t="shared" si="12"/>
        <v>484.21621417515598</v>
      </c>
      <c r="N141" s="6">
        <f t="shared" si="12"/>
        <v>503.60587265916399</v>
      </c>
      <c r="O141" s="6">
        <f t="shared" si="12"/>
        <v>869.54232494457995</v>
      </c>
      <c r="P141" s="12">
        <f t="shared" si="12"/>
        <v>590.53356005502292</v>
      </c>
      <c r="Q141" s="6">
        <f t="shared" si="12"/>
        <v>126.99558398541301</v>
      </c>
      <c r="R141" s="140">
        <f t="shared" si="12"/>
        <v>9.7443608081479098</v>
      </c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</row>
    <row r="142" spans="1:35" ht="15.75" x14ac:dyDescent="0.3">
      <c r="A142" s="150">
        <v>137</v>
      </c>
      <c r="B142" s="10" t="s">
        <v>1113</v>
      </c>
      <c r="C142">
        <v>138812085.68562299</v>
      </c>
      <c r="E142" s="10" t="s">
        <v>420</v>
      </c>
      <c r="F142" s="151">
        <f>IF(ISNUMBER(M54),M54/SUM($I$43:$AI$71),0)</f>
        <v>0</v>
      </c>
      <c r="H142" s="160" t="s">
        <v>12</v>
      </c>
      <c r="I142" s="11">
        <f t="shared" si="12"/>
        <v>0.22558687970507899</v>
      </c>
      <c r="J142" s="11">
        <f t="shared" si="12"/>
        <v>169.86048773444</v>
      </c>
      <c r="K142" s="6">
        <f t="shared" si="12"/>
        <v>1537.2683275284401</v>
      </c>
      <c r="L142" s="6">
        <f t="shared" si="12"/>
        <v>2366.5542027991901</v>
      </c>
      <c r="M142" s="6">
        <f t="shared" si="12"/>
        <v>1286.17643441824</v>
      </c>
      <c r="N142" s="6">
        <f t="shared" si="12"/>
        <v>549.78630190383899</v>
      </c>
      <c r="O142" s="6">
        <f t="shared" si="12"/>
        <v>995.67748564849899</v>
      </c>
      <c r="P142" s="6">
        <f t="shared" si="12"/>
        <v>1341.1675770286299</v>
      </c>
      <c r="Q142" s="12">
        <f t="shared" si="12"/>
        <v>758.00388189352407</v>
      </c>
      <c r="R142" s="6">
        <f t="shared" si="12"/>
        <v>206.42428170333901</v>
      </c>
      <c r="S142" s="140">
        <f t="shared" si="12"/>
        <v>19.901194990027403</v>
      </c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</row>
    <row r="143" spans="1:35" ht="15.75" x14ac:dyDescent="0.3">
      <c r="A143" s="150">
        <v>138</v>
      </c>
      <c r="B143" s="10" t="s">
        <v>1114</v>
      </c>
      <c r="C143">
        <v>131612391.42464399</v>
      </c>
      <c r="E143" s="10" t="s">
        <v>421</v>
      </c>
      <c r="F143" s="151">
        <f>IF(ISNUMBER(N54),N54/SUM($I$43:$AI$71),0)</f>
        <v>0</v>
      </c>
      <c r="H143" s="159" t="s">
        <v>13</v>
      </c>
      <c r="I143" s="9">
        <f t="shared" si="12"/>
        <v>6.5549299968751099E-2</v>
      </c>
      <c r="J143" s="9">
        <f t="shared" si="12"/>
        <v>38.846112649614298</v>
      </c>
      <c r="K143" s="9">
        <f t="shared" si="12"/>
        <v>243.42999892952002</v>
      </c>
      <c r="L143" s="9">
        <f t="shared" si="12"/>
        <v>533.59205188737496</v>
      </c>
      <c r="M143" s="9">
        <f t="shared" si="12"/>
        <v>484.18793367382801</v>
      </c>
      <c r="N143" s="9">
        <f t="shared" si="12"/>
        <v>284.84996559895302</v>
      </c>
      <c r="O143" s="9">
        <f t="shared" si="12"/>
        <v>429.30827985409496</v>
      </c>
      <c r="P143" s="9">
        <f t="shared" si="12"/>
        <v>1250.21808124261</v>
      </c>
      <c r="Q143" s="9">
        <f t="shared" si="12"/>
        <v>1597.2074207414601</v>
      </c>
      <c r="R143" s="13">
        <f t="shared" si="12"/>
        <v>961.3555677819819</v>
      </c>
      <c r="S143" s="6">
        <f t="shared" si="12"/>
        <v>243.896066293297</v>
      </c>
      <c r="T143" s="140">
        <f t="shared" si="12"/>
        <v>19.8488819503889</v>
      </c>
      <c r="U143" s="6"/>
      <c r="V143" s="11"/>
      <c r="W143" s="11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</row>
    <row r="144" spans="1:35" ht="15.75" x14ac:dyDescent="0.3">
      <c r="A144" s="150">
        <v>139</v>
      </c>
      <c r="B144" s="10" t="s">
        <v>1115</v>
      </c>
      <c r="C144">
        <v>7838764.57573843</v>
      </c>
      <c r="E144" s="10" t="s">
        <v>422</v>
      </c>
      <c r="F144" s="151">
        <f>IF(ISNUMBER(O54),O54/SUM($I$43:$AI$71),0)</f>
        <v>0</v>
      </c>
      <c r="H144" s="160" t="s">
        <v>14</v>
      </c>
      <c r="I144" s="11">
        <f t="shared" si="12"/>
        <v>13.3887674158068</v>
      </c>
      <c r="J144" s="11">
        <f t="shared" si="12"/>
        <v>385.49756638839699</v>
      </c>
      <c r="K144" s="6">
        <f t="shared" si="12"/>
        <v>714.19494710320998</v>
      </c>
      <c r="L144" s="6">
        <f t="shared" si="12"/>
        <v>492.04801615594499</v>
      </c>
      <c r="M144" s="6">
        <f t="shared" si="12"/>
        <v>258.05369786782802</v>
      </c>
      <c r="N144" s="6">
        <f t="shared" si="12"/>
        <v>136.67214288714601</v>
      </c>
      <c r="O144" s="6">
        <f t="shared" si="12"/>
        <v>106.62348376809301</v>
      </c>
      <c r="P144" s="6">
        <f t="shared" si="12"/>
        <v>471.26310785197398</v>
      </c>
      <c r="Q144" s="6">
        <f t="shared" si="12"/>
        <v>1209.1363197835701</v>
      </c>
      <c r="R144" s="6">
        <f t="shared" si="12"/>
        <v>1385.8033068770799</v>
      </c>
      <c r="S144" s="12">
        <f t="shared" si="12"/>
        <v>707.74536131173693</v>
      </c>
      <c r="T144" s="6">
        <f t="shared" si="12"/>
        <v>131.61239142464399</v>
      </c>
      <c r="U144" s="140">
        <f t="shared" si="12"/>
        <v>6.9664741390900602</v>
      </c>
      <c r="V144" s="11"/>
      <c r="W144" s="11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</row>
    <row r="145" spans="1:35" ht="15.75" x14ac:dyDescent="0.3">
      <c r="A145" s="150">
        <v>140</v>
      </c>
      <c r="B145" s="10" t="s">
        <v>1116</v>
      </c>
      <c r="C145">
        <v>6966474.1390900603</v>
      </c>
      <c r="E145" s="10" t="s">
        <v>423</v>
      </c>
      <c r="F145" s="151">
        <f>IF(ISNUMBER(P54),P54/SUM($I$43:$AI$71),0)</f>
        <v>0</v>
      </c>
      <c r="H145" s="160" t="s">
        <v>15</v>
      </c>
      <c r="I145" s="11">
        <f t="shared" si="12"/>
        <v>14.9777041572275</v>
      </c>
      <c r="J145" s="11">
        <f t="shared" si="12"/>
        <v>327.99255581977098</v>
      </c>
      <c r="K145" s="6">
        <f t="shared" si="12"/>
        <v>821.59450695166004</v>
      </c>
      <c r="L145" s="6">
        <f t="shared" si="12"/>
        <v>655.90504392523201</v>
      </c>
      <c r="M145" s="6">
        <f t="shared" si="12"/>
        <v>281.160847977272</v>
      </c>
      <c r="N145" s="6">
        <f t="shared" si="12"/>
        <v>152.93718999138599</v>
      </c>
      <c r="O145" s="6">
        <f t="shared" si="12"/>
        <v>70.57772216528889</v>
      </c>
      <c r="P145" s="6">
        <f t="shared" si="12"/>
        <v>24.441911110361101</v>
      </c>
      <c r="Q145" s="6">
        <f t="shared" si="12"/>
        <v>32.760567742530803</v>
      </c>
      <c r="R145" s="6">
        <f t="shared" si="12"/>
        <v>67.981484611019098</v>
      </c>
      <c r="S145" s="6">
        <f t="shared" si="12"/>
        <v>64.5733077837791</v>
      </c>
      <c r="T145" s="12">
        <f t="shared" si="12"/>
        <v>23.572636799931502</v>
      </c>
      <c r="U145" s="6">
        <f t="shared" si="12"/>
        <v>1.7408169347149101</v>
      </c>
      <c r="V145" s="140">
        <f t="shared" si="12"/>
        <v>0</v>
      </c>
      <c r="W145" s="11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</row>
    <row r="146" spans="1:35" ht="15.75" x14ac:dyDescent="0.3">
      <c r="A146" s="150">
        <v>141</v>
      </c>
      <c r="B146" s="10" t="s">
        <v>691</v>
      </c>
      <c r="C146">
        <v>24462575.530686401</v>
      </c>
      <c r="E146" s="10" t="s">
        <v>424</v>
      </c>
      <c r="F146" s="151">
        <f>IF(ISNUMBER(Q54),Q54/SUM($I$43:$AI$71),0)</f>
        <v>0</v>
      </c>
      <c r="H146" s="160" t="s">
        <v>16</v>
      </c>
      <c r="I146" s="11">
        <f t="shared" si="12"/>
        <v>15.0425419607182</v>
      </c>
      <c r="J146" s="11">
        <f t="shared" si="12"/>
        <v>262.136658565895</v>
      </c>
      <c r="K146" s="6">
        <f t="shared" si="12"/>
        <v>701.16908487429794</v>
      </c>
      <c r="L146" s="6">
        <f t="shared" si="12"/>
        <v>673.11709498980701</v>
      </c>
      <c r="M146" s="6">
        <f t="shared" si="12"/>
        <v>383.27003472728001</v>
      </c>
      <c r="N146" s="6">
        <f t="shared" si="12"/>
        <v>229.53396527555799</v>
      </c>
      <c r="O146" s="6">
        <f t="shared" si="12"/>
        <v>131.71983233662002</v>
      </c>
      <c r="P146" s="6">
        <f t="shared" si="12"/>
        <v>42.959546720682098</v>
      </c>
      <c r="Q146" s="6">
        <f t="shared" si="12"/>
        <v>7.1306731695547105</v>
      </c>
      <c r="R146" s="6">
        <f t="shared" si="12"/>
        <v>2.0420419093612399</v>
      </c>
      <c r="S146" s="6">
        <f t="shared" si="12"/>
        <v>3.22204944626665</v>
      </c>
      <c r="T146" s="6">
        <f t="shared" si="12"/>
        <v>2.1367995242729201</v>
      </c>
      <c r="U146" s="12">
        <f t="shared" si="12"/>
        <v>0.153828833183356</v>
      </c>
      <c r="V146" s="11">
        <f t="shared" si="12"/>
        <v>6.4482077631350596E-2</v>
      </c>
      <c r="W146" s="140">
        <f t="shared" si="12"/>
        <v>6.4844556684568498E-3</v>
      </c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</row>
    <row r="147" spans="1:35" ht="15.75" x14ac:dyDescent="0.3">
      <c r="A147" s="150">
        <v>142</v>
      </c>
      <c r="B147" s="10" t="s">
        <v>692</v>
      </c>
      <c r="C147">
        <v>14977704.157227499</v>
      </c>
      <c r="E147" s="10" t="s">
        <v>425</v>
      </c>
      <c r="F147" s="151">
        <f>IF(ISNUMBER(R54),R54/SUM($I$43:$AI$71),0)</f>
        <v>0</v>
      </c>
      <c r="H147" s="159" t="s">
        <v>17</v>
      </c>
      <c r="I147" s="9">
        <f t="shared" si="12"/>
        <v>5.3932742883124396</v>
      </c>
      <c r="J147" s="9">
        <f t="shared" si="12"/>
        <v>117.00405552512001</v>
      </c>
      <c r="K147" s="9">
        <f t="shared" si="12"/>
        <v>372.23077626541101</v>
      </c>
      <c r="L147" s="9">
        <f t="shared" si="12"/>
        <v>474.81408862591599</v>
      </c>
      <c r="M147" s="9">
        <f t="shared" si="12"/>
        <v>352.20583041546598</v>
      </c>
      <c r="N147" s="9">
        <f t="shared" si="12"/>
        <v>219.631351832436</v>
      </c>
      <c r="O147" s="9">
        <f t="shared" si="12"/>
        <v>127.568462871422</v>
      </c>
      <c r="P147" s="9">
        <f t="shared" si="12"/>
        <v>52.697931538703905</v>
      </c>
      <c r="Q147" s="9">
        <f t="shared" si="12"/>
        <v>12.7028550450702</v>
      </c>
      <c r="R147" s="9">
        <f t="shared" si="12"/>
        <v>1.1043362798593601</v>
      </c>
      <c r="S147" s="9">
        <f t="shared" si="12"/>
        <v>6.7246246690433498E-2</v>
      </c>
      <c r="T147" s="9">
        <f t="shared" si="12"/>
        <v>0.23537326600390698</v>
      </c>
      <c r="U147" s="9">
        <f t="shared" si="12"/>
        <v>4.9295712304688995E-2</v>
      </c>
      <c r="V147" s="13">
        <f t="shared" si="12"/>
        <v>3.7435732946773099E-3</v>
      </c>
      <c r="W147" s="11">
        <f t="shared" si="12"/>
        <v>0</v>
      </c>
      <c r="X147" s="140">
        <f t="shared" si="12"/>
        <v>5.0670444316405806E-2</v>
      </c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</row>
    <row r="148" spans="1:35" ht="15.75" x14ac:dyDescent="0.3">
      <c r="A148" s="150">
        <v>143</v>
      </c>
      <c r="B148" s="10" t="s">
        <v>109</v>
      </c>
      <c r="C148">
        <v>409345645.558029</v>
      </c>
      <c r="E148" s="10" t="s">
        <v>426</v>
      </c>
      <c r="F148" s="151">
        <f>IF(ISNUMBER(S54),S54/SUM($I$43:$AI$71),0)</f>
        <v>1.1497819366964881E-4</v>
      </c>
      <c r="H148" s="160" t="s">
        <v>9</v>
      </c>
      <c r="I148" s="11">
        <f t="shared" si="12"/>
        <v>0.111135947687499</v>
      </c>
      <c r="J148" s="11">
        <f t="shared" si="12"/>
        <v>12.797544832070399</v>
      </c>
      <c r="K148" s="6">
        <f t="shared" si="12"/>
        <v>50.387511940475498</v>
      </c>
      <c r="L148" s="6">
        <f t="shared" si="12"/>
        <v>80.963148846939106</v>
      </c>
      <c r="M148" s="6">
        <f t="shared" si="12"/>
        <v>69.325525398765592</v>
      </c>
      <c r="N148" s="6">
        <f t="shared" si="12"/>
        <v>44.101453997613902</v>
      </c>
      <c r="O148" s="6">
        <f t="shared" si="12"/>
        <v>23.809042732488599</v>
      </c>
      <c r="P148" s="6">
        <f t="shared" si="12"/>
        <v>10.0864773983359</v>
      </c>
      <c r="Q148" s="6">
        <f t="shared" si="12"/>
        <v>2.4185327934805203</v>
      </c>
      <c r="R148" s="6">
        <f t="shared" si="12"/>
        <v>0.41276452162694904</v>
      </c>
      <c r="S148" s="6">
        <f t="shared" si="12"/>
        <v>6.9230562319564797</v>
      </c>
      <c r="T148" s="6">
        <f t="shared" si="12"/>
        <v>21.963931258988399</v>
      </c>
      <c r="U148" s="11">
        <f t="shared" si="12"/>
        <v>26.517216277578399</v>
      </c>
      <c r="V148" s="6">
        <f t="shared" si="12"/>
        <v>16.169229490249599</v>
      </c>
      <c r="W148" s="12">
        <f t="shared" si="12"/>
        <v>3.03322230825782</v>
      </c>
      <c r="X148" s="6">
        <f t="shared" si="12"/>
        <v>1.6857292004883302E-2</v>
      </c>
      <c r="Y148" s="140">
        <f t="shared" ref="Y148:AI166" si="13">IF(ISNUMBER(VLOOKUP(CONCATENATE($H148,"_",Y$137,"_b"),$B$6:$C$1151,2,FALSE)),VLOOKUP(CONCATENATE($H148,"_",Y$137,"_b"),$B$6:$C$1151,2,FALSE)/1000000,"N/A")</f>
        <v>0</v>
      </c>
      <c r="Z148" s="6"/>
      <c r="AA148" s="6"/>
      <c r="AB148" s="6"/>
      <c r="AC148" s="6"/>
      <c r="AD148" s="6"/>
      <c r="AE148" s="6"/>
      <c r="AF148" s="6"/>
      <c r="AG148" s="6"/>
      <c r="AH148" s="6"/>
      <c r="AI148" s="6"/>
    </row>
    <row r="149" spans="1:35" ht="15.75" x14ac:dyDescent="0.3">
      <c r="A149" s="150">
        <v>144</v>
      </c>
      <c r="B149" s="10" t="s">
        <v>110</v>
      </c>
      <c r="C149">
        <v>327992555.81977099</v>
      </c>
      <c r="E149" s="10" t="s">
        <v>520</v>
      </c>
      <c r="F149" s="151">
        <f>IF(ISNUMBER(T54),T54/SUM($I$43:$AI$71),0)</f>
        <v>6.8462228597197783E-4</v>
      </c>
      <c r="H149" s="160" t="s">
        <v>18</v>
      </c>
      <c r="I149" s="11">
        <f t="shared" si="12"/>
        <v>0.40394300047266501</v>
      </c>
      <c r="J149" s="11">
        <f t="shared" si="12"/>
        <v>3.6598250072520999</v>
      </c>
      <c r="K149" s="6">
        <f t="shared" si="12"/>
        <v>3.9496267916426699</v>
      </c>
      <c r="L149" s="6">
        <f t="shared" si="12"/>
        <v>3.5631219670456602</v>
      </c>
      <c r="M149" s="6">
        <f t="shared" si="12"/>
        <v>0.44567149118751298</v>
      </c>
      <c r="N149" s="6">
        <f t="shared" si="12"/>
        <v>0.10227896322656399</v>
      </c>
      <c r="O149" s="6">
        <f t="shared" si="12"/>
        <v>0</v>
      </c>
      <c r="P149" s="6">
        <f t="shared" si="12"/>
        <v>1.19093039472653E-2</v>
      </c>
      <c r="Q149" s="6">
        <f t="shared" si="12"/>
        <v>0</v>
      </c>
      <c r="R149" s="6">
        <f t="shared" si="12"/>
        <v>7.5096816144533493E-2</v>
      </c>
      <c r="S149" s="6">
        <f t="shared" si="12"/>
        <v>7.0223325337925004</v>
      </c>
      <c r="T149" s="6">
        <f t="shared" si="12"/>
        <v>42.169286453948999</v>
      </c>
      <c r="U149" s="11">
        <f t="shared" si="12"/>
        <v>82.673461200298291</v>
      </c>
      <c r="V149" s="6">
        <f t="shared" si="12"/>
        <v>91.487168675701099</v>
      </c>
      <c r="W149" s="6">
        <f t="shared" si="12"/>
        <v>53.936083020774795</v>
      </c>
      <c r="X149" s="12">
        <f t="shared" si="12"/>
        <v>13.540990573735201</v>
      </c>
      <c r="Y149" s="6">
        <f t="shared" si="13"/>
        <v>0.443553312325418</v>
      </c>
      <c r="Z149" s="140">
        <f t="shared" si="13"/>
        <v>7.5335995458988498E-3</v>
      </c>
      <c r="AA149" s="6"/>
      <c r="AB149" s="6"/>
      <c r="AC149" s="6"/>
      <c r="AD149" s="6"/>
      <c r="AE149" s="6"/>
      <c r="AF149" s="6"/>
      <c r="AG149" s="6"/>
      <c r="AH149" s="6"/>
      <c r="AI149" s="6"/>
    </row>
    <row r="150" spans="1:35" ht="15.75" x14ac:dyDescent="0.3">
      <c r="A150" s="150">
        <v>145</v>
      </c>
      <c r="B150" s="10" t="s">
        <v>111</v>
      </c>
      <c r="C150">
        <v>854417990.176422</v>
      </c>
      <c r="E150" s="10" t="s">
        <v>521</v>
      </c>
      <c r="F150" s="151">
        <f>IF(ISNUMBER(U54),U54/SUM($I$43:$AI$71),0)</f>
        <v>1.5267065414441064E-3</v>
      </c>
      <c r="H150" s="160" t="s">
        <v>19</v>
      </c>
      <c r="I150" s="11">
        <f t="shared" si="12"/>
        <v>11.939945617115001</v>
      </c>
      <c r="J150" s="11">
        <f t="shared" si="12"/>
        <v>49.824702416433297</v>
      </c>
      <c r="K150" s="6">
        <f t="shared" si="12"/>
        <v>63.492386480865498</v>
      </c>
      <c r="L150" s="6">
        <f t="shared" si="12"/>
        <v>45.595527763809194</v>
      </c>
      <c r="M150" s="6">
        <f t="shared" si="12"/>
        <v>16.567494923997899</v>
      </c>
      <c r="N150" s="6">
        <f t="shared" si="12"/>
        <v>3.4845443321093303</v>
      </c>
      <c r="O150" s="6">
        <f t="shared" si="12"/>
        <v>4.1104663802247504E-2</v>
      </c>
      <c r="P150" s="6">
        <f t="shared" si="12"/>
        <v>3.8880291832029797E-2</v>
      </c>
      <c r="Q150" s="6">
        <f t="shared" si="12"/>
        <v>0</v>
      </c>
      <c r="R150" s="11">
        <f t="shared" si="12"/>
        <v>0</v>
      </c>
      <c r="S150" s="11">
        <f t="shared" si="12"/>
        <v>0.97190959544920896</v>
      </c>
      <c r="T150" s="11">
        <f t="shared" si="12"/>
        <v>19.482932057417898</v>
      </c>
      <c r="U150" s="11">
        <f t="shared" si="12"/>
        <v>76.430972237075807</v>
      </c>
      <c r="V150" s="11">
        <f t="shared" si="12"/>
        <v>145.63115962638102</v>
      </c>
      <c r="W150" s="11">
        <f t="shared" si="12"/>
        <v>148.34991366204102</v>
      </c>
      <c r="X150" s="6">
        <f t="shared" si="12"/>
        <v>77.641132964283003</v>
      </c>
      <c r="Y150" s="12">
        <f t="shared" si="13"/>
        <v>17.5518450350819</v>
      </c>
      <c r="Z150" s="6">
        <f t="shared" si="13"/>
        <v>0.37466546572655396</v>
      </c>
      <c r="AA150" s="140">
        <f t="shared" si="13"/>
        <v>1.09663751337882E-2</v>
      </c>
      <c r="AB150" s="6"/>
      <c r="AC150" s="6"/>
      <c r="AD150" s="6"/>
      <c r="AE150" s="6"/>
      <c r="AF150" s="6"/>
      <c r="AG150" s="6"/>
      <c r="AH150" s="6"/>
      <c r="AI150" s="6"/>
    </row>
    <row r="151" spans="1:35" ht="15.75" x14ac:dyDescent="0.3">
      <c r="A151" s="150">
        <v>146</v>
      </c>
      <c r="B151" s="10" t="s">
        <v>112</v>
      </c>
      <c r="C151">
        <v>821594506.95166004</v>
      </c>
      <c r="E151" s="10" t="s">
        <v>1057</v>
      </c>
      <c r="F151" s="151">
        <f>IF(ISNUMBER(V54),V54/SUM($I$43:$AI$71),0)</f>
        <v>1.6990866228898825E-3</v>
      </c>
      <c r="H151" s="160" t="s">
        <v>20</v>
      </c>
      <c r="I151" s="11">
        <f t="shared" si="12"/>
        <v>42.882769344163904</v>
      </c>
      <c r="J151" s="11">
        <f t="shared" si="12"/>
        <v>182.94065218304399</v>
      </c>
      <c r="K151" s="6">
        <f t="shared" si="12"/>
        <v>269.34258269067402</v>
      </c>
      <c r="L151" s="6">
        <f t="shared" si="12"/>
        <v>217.48058988043201</v>
      </c>
      <c r="M151" s="6">
        <f t="shared" si="12"/>
        <v>91.308755160213494</v>
      </c>
      <c r="N151" s="6">
        <f t="shared" si="12"/>
        <v>24.566409192451498</v>
      </c>
      <c r="O151" s="6">
        <f t="shared" si="12"/>
        <v>2.98120744485843</v>
      </c>
      <c r="P151" s="6">
        <f t="shared" si="12"/>
        <v>0.15371236440234598</v>
      </c>
      <c r="Q151" s="6">
        <f t="shared" si="12"/>
        <v>0</v>
      </c>
      <c r="R151" s="11">
        <f t="shared" si="12"/>
        <v>0</v>
      </c>
      <c r="S151" s="11">
        <f t="shared" si="12"/>
        <v>0</v>
      </c>
      <c r="T151" s="11">
        <f t="shared" si="12"/>
        <v>3.6844726995077099</v>
      </c>
      <c r="U151" s="11">
        <f t="shared" si="12"/>
        <v>33.118987742021602</v>
      </c>
      <c r="V151" s="11">
        <f t="shared" si="12"/>
        <v>109.160931336121</v>
      </c>
      <c r="W151" s="11">
        <f t="shared" si="12"/>
        <v>182.250401450775</v>
      </c>
      <c r="X151" s="6">
        <f t="shared" si="12"/>
        <v>150.205290263824</v>
      </c>
      <c r="Y151" s="6">
        <f t="shared" si="13"/>
        <v>65.506041675353998</v>
      </c>
      <c r="Z151" s="12">
        <f t="shared" si="13"/>
        <v>15.009183411929101</v>
      </c>
      <c r="AA151" s="6">
        <f t="shared" si="13"/>
        <v>0.52125401322656895</v>
      </c>
      <c r="AB151" s="140">
        <f t="shared" si="13"/>
        <v>5.2371404197266304E-2</v>
      </c>
      <c r="AC151" s="6"/>
      <c r="AD151" s="6"/>
      <c r="AE151" s="6"/>
      <c r="AF151" s="6"/>
      <c r="AG151" s="6"/>
      <c r="AH151" s="6"/>
      <c r="AI151" s="6"/>
    </row>
    <row r="152" spans="1:35" ht="15.75" x14ac:dyDescent="0.3">
      <c r="A152" s="150">
        <v>147</v>
      </c>
      <c r="B152" s="10" t="s">
        <v>113</v>
      </c>
      <c r="C152">
        <v>741398487.86334205</v>
      </c>
      <c r="E152" s="10" t="s">
        <v>1058</v>
      </c>
      <c r="F152" s="151">
        <f>IF(ISNUMBER(W54),W54/SUM($I$43:$AI$71),0)</f>
        <v>9.7509909981674287E-4</v>
      </c>
      <c r="H152" s="160" t="s">
        <v>21</v>
      </c>
      <c r="I152" s="11">
        <f t="shared" si="12"/>
        <v>64.525600729183196</v>
      </c>
      <c r="J152" s="11">
        <f t="shared" si="12"/>
        <v>292.52698285377505</v>
      </c>
      <c r="K152" s="6">
        <f t="shared" si="12"/>
        <v>516.96814722323597</v>
      </c>
      <c r="L152" s="6">
        <f t="shared" si="12"/>
        <v>484.56613379898101</v>
      </c>
      <c r="M152" s="6">
        <f t="shared" si="12"/>
        <v>226.58851786653901</v>
      </c>
      <c r="N152" s="6">
        <f t="shared" si="12"/>
        <v>72.049425241966205</v>
      </c>
      <c r="O152" s="6">
        <f t="shared" si="12"/>
        <v>13.7616241725626</v>
      </c>
      <c r="P152" s="6">
        <f t="shared" si="12"/>
        <v>0.67457818601951003</v>
      </c>
      <c r="Q152" s="6">
        <f t="shared" si="12"/>
        <v>4.0785050671875496E-2</v>
      </c>
      <c r="R152" s="11">
        <f t="shared" si="12"/>
        <v>5.4692907890629E-2</v>
      </c>
      <c r="S152" s="11">
        <f t="shared" si="12"/>
        <v>0</v>
      </c>
      <c r="T152" s="11">
        <f t="shared" si="12"/>
        <v>8.1373368259765197E-2</v>
      </c>
      <c r="U152" s="11">
        <f t="shared" si="12"/>
        <v>13.140442003433199</v>
      </c>
      <c r="V152" s="11">
        <f t="shared" si="12"/>
        <v>75.417477966850299</v>
      </c>
      <c r="W152" s="11">
        <f t="shared" si="12"/>
        <v>195.61342324913002</v>
      </c>
      <c r="X152" s="6">
        <f t="shared" si="12"/>
        <v>264.66409465669301</v>
      </c>
      <c r="Y152" s="6">
        <f t="shared" si="13"/>
        <v>192.003444378387</v>
      </c>
      <c r="Z152" s="6">
        <f t="shared" si="13"/>
        <v>84.526724613365204</v>
      </c>
      <c r="AA152" s="12">
        <f t="shared" si="13"/>
        <v>21.5251186307697</v>
      </c>
      <c r="AB152" s="6">
        <f t="shared" si="13"/>
        <v>0.98308762749218903</v>
      </c>
      <c r="AC152" s="140">
        <f t="shared" si="13"/>
        <v>2.5580482419434E-2</v>
      </c>
      <c r="AD152" s="6"/>
      <c r="AE152" s="6"/>
      <c r="AF152" s="6"/>
      <c r="AG152" s="6"/>
      <c r="AH152" s="6"/>
      <c r="AI152" s="6"/>
    </row>
    <row r="153" spans="1:35" ht="15.75" x14ac:dyDescent="0.3">
      <c r="A153" s="150">
        <v>148</v>
      </c>
      <c r="B153" s="10" t="s">
        <v>114</v>
      </c>
      <c r="C153">
        <v>655905043.92523205</v>
      </c>
      <c r="E153" s="10" t="s">
        <v>1059</v>
      </c>
      <c r="F153" s="151">
        <f>IF(ISNUMBER(X54),X54/SUM($I$43:$AI$71),0)</f>
        <v>2.6626550856875765E-4</v>
      </c>
      <c r="H153" s="160" t="s">
        <v>22</v>
      </c>
      <c r="I153" s="11">
        <f t="shared" si="12"/>
        <v>56.5339761199455</v>
      </c>
      <c r="J153" s="11">
        <f t="shared" si="12"/>
        <v>307.69254121757501</v>
      </c>
      <c r="K153" s="6">
        <f t="shared" si="12"/>
        <v>659.60225373113997</v>
      </c>
      <c r="L153" s="6">
        <f t="shared" si="12"/>
        <v>705.4723237214971</v>
      </c>
      <c r="M153" s="6">
        <f t="shared" si="12"/>
        <v>370.88246067840601</v>
      </c>
      <c r="N153" s="6">
        <f t="shared" si="12"/>
        <v>134.10201455511501</v>
      </c>
      <c r="O153" s="6">
        <f t="shared" si="12"/>
        <v>32.411789797866795</v>
      </c>
      <c r="P153" s="6">
        <f t="shared" si="12"/>
        <v>3.0526344697266801</v>
      </c>
      <c r="Q153" s="6">
        <f t="shared" si="12"/>
        <v>0.240001053515628</v>
      </c>
      <c r="R153" s="11">
        <f t="shared" si="12"/>
        <v>4.0007701677735902E-2</v>
      </c>
      <c r="S153" s="11">
        <f t="shared" si="12"/>
        <v>0.117423673394531</v>
      </c>
      <c r="T153" s="11">
        <f t="shared" si="12"/>
        <v>0</v>
      </c>
      <c r="U153" s="11">
        <f t="shared" si="12"/>
        <v>1.3392080271367401</v>
      </c>
      <c r="V153" s="11">
        <f t="shared" si="12"/>
        <v>29.147188678878798</v>
      </c>
      <c r="W153" s="11">
        <f t="shared" si="12"/>
        <v>127.960016759048</v>
      </c>
      <c r="X153" s="6">
        <f t="shared" si="12"/>
        <v>273.21272382365402</v>
      </c>
      <c r="Y153" s="6">
        <f t="shared" si="13"/>
        <v>311.27443448539697</v>
      </c>
      <c r="Z153" s="6">
        <f t="shared" si="13"/>
        <v>224.95568994726602</v>
      </c>
      <c r="AA153" s="6">
        <f t="shared" si="13"/>
        <v>102.06669916774</v>
      </c>
      <c r="AB153" s="12">
        <f t="shared" si="13"/>
        <v>24.7935129090042</v>
      </c>
      <c r="AC153" s="6">
        <f t="shared" si="13"/>
        <v>0.69401367045706497</v>
      </c>
      <c r="AD153" s="140">
        <f t="shared" si="13"/>
        <v>8.0720048791989699E-2</v>
      </c>
      <c r="AE153" s="6"/>
      <c r="AF153" s="6"/>
      <c r="AG153" s="6"/>
      <c r="AH153" s="6"/>
      <c r="AI153" s="6"/>
    </row>
    <row r="154" spans="1:35" ht="15.75" x14ac:dyDescent="0.3">
      <c r="A154" s="150">
        <v>149</v>
      </c>
      <c r="B154" s="10" t="s">
        <v>115</v>
      </c>
      <c r="C154">
        <v>364227023.60168499</v>
      </c>
      <c r="E154" s="10" t="s">
        <v>1580</v>
      </c>
      <c r="F154" s="151">
        <f>IF(ISNUMBER(Y54),Y54/SUM($I$43:$AI$71),0)</f>
        <v>0</v>
      </c>
      <c r="H154" s="160" t="s">
        <v>23</v>
      </c>
      <c r="I154" s="11">
        <f t="shared" ref="I154:X166" si="14">IF(ISNUMBER(VLOOKUP(CONCATENATE($H154,"_",I$137,"_b"),$B$6:$C$1151,2,FALSE)),VLOOKUP(CONCATENATE($H154,"_",I$137,"_b"),$B$6:$C$1151,2,FALSE)/1000000,"N/A")</f>
        <v>46.303603468269301</v>
      </c>
      <c r="J154" s="11">
        <f t="shared" si="14"/>
        <v>246.82235600717198</v>
      </c>
      <c r="K154" s="6">
        <f t="shared" si="14"/>
        <v>630.46873507617204</v>
      </c>
      <c r="L154" s="6">
        <f t="shared" si="14"/>
        <v>753.21185569592296</v>
      </c>
      <c r="M154" s="6">
        <f t="shared" si="14"/>
        <v>451.525789018951</v>
      </c>
      <c r="N154" s="6">
        <f t="shared" si="14"/>
        <v>187.81825374433899</v>
      </c>
      <c r="O154" s="6">
        <f t="shared" si="14"/>
        <v>51.770481964035</v>
      </c>
      <c r="P154" s="6">
        <f t="shared" si="14"/>
        <v>7.6975528636369699</v>
      </c>
      <c r="Q154" s="6">
        <f t="shared" si="14"/>
        <v>0.269142179906249</v>
      </c>
      <c r="R154" s="11">
        <f t="shared" si="14"/>
        <v>0</v>
      </c>
      <c r="S154" s="11">
        <f t="shared" si="14"/>
        <v>0</v>
      </c>
      <c r="T154" s="11">
        <f t="shared" si="14"/>
        <v>0</v>
      </c>
      <c r="U154" s="11">
        <f t="shared" si="14"/>
        <v>0</v>
      </c>
      <c r="V154" s="11">
        <f t="shared" si="14"/>
        <v>3.4544155515048498</v>
      </c>
      <c r="W154" s="11">
        <f t="shared" si="14"/>
        <v>47.439778163642899</v>
      </c>
      <c r="X154" s="6">
        <f t="shared" si="14"/>
        <v>165.45033538328599</v>
      </c>
      <c r="Y154" s="6">
        <f t="shared" si="13"/>
        <v>298.14946564444</v>
      </c>
      <c r="Z154" s="6">
        <f t="shared" si="13"/>
        <v>343.99368098733504</v>
      </c>
      <c r="AA154" s="6">
        <f t="shared" si="13"/>
        <v>253.43956793882799</v>
      </c>
      <c r="AB154" s="6">
        <f t="shared" si="13"/>
        <v>111.439929524231</v>
      </c>
      <c r="AC154" s="12">
        <f t="shared" si="13"/>
        <v>26.321816593315098</v>
      </c>
      <c r="AD154" s="6">
        <f t="shared" si="13"/>
        <v>1.93760876893759</v>
      </c>
      <c r="AE154" s="140">
        <f t="shared" si="13"/>
        <v>0.118016637585938</v>
      </c>
      <c r="AF154" s="6"/>
      <c r="AG154" s="6"/>
      <c r="AH154" s="6"/>
      <c r="AI154" s="6"/>
    </row>
    <row r="155" spans="1:35" ht="15.75" x14ac:dyDescent="0.3">
      <c r="A155" s="150">
        <v>150</v>
      </c>
      <c r="B155" s="10" t="s">
        <v>116</v>
      </c>
      <c r="C155">
        <v>281160847.97727197</v>
      </c>
      <c r="E155" s="10" t="s">
        <v>1581</v>
      </c>
      <c r="F155" s="151">
        <f>IF(ISNUMBER(Z54),Z54/SUM($I$43:$AI$71),0)</f>
        <v>0</v>
      </c>
      <c r="H155" s="160" t="s">
        <v>24</v>
      </c>
      <c r="I155" s="11">
        <f t="shared" si="14"/>
        <v>36.458416240406002</v>
      </c>
      <c r="J155" s="11">
        <f t="shared" si="14"/>
        <v>203.78252618720998</v>
      </c>
      <c r="K155" s="6">
        <f t="shared" si="14"/>
        <v>548.31493061941501</v>
      </c>
      <c r="L155" s="6">
        <f t="shared" si="14"/>
        <v>712.81611366534401</v>
      </c>
      <c r="M155" s="6">
        <f t="shared" si="14"/>
        <v>470.37193016867099</v>
      </c>
      <c r="N155" s="6">
        <f t="shared" si="14"/>
        <v>224.92541132423401</v>
      </c>
      <c r="O155" s="6">
        <f t="shared" si="14"/>
        <v>70.056667595329301</v>
      </c>
      <c r="P155" s="6">
        <f t="shared" si="14"/>
        <v>13.174793134305</v>
      </c>
      <c r="Q155" s="6">
        <f t="shared" si="14"/>
        <v>0.51273731920313803</v>
      </c>
      <c r="R155" s="11">
        <f t="shared" si="14"/>
        <v>4.75384378828108E-2</v>
      </c>
      <c r="S155" s="11">
        <f t="shared" si="14"/>
        <v>6.3187116113286503E-3</v>
      </c>
      <c r="T155" s="11">
        <f t="shared" si="14"/>
        <v>4.79782303593718E-2</v>
      </c>
      <c r="U155" s="11">
        <f t="shared" si="14"/>
        <v>0</v>
      </c>
      <c r="V155" s="11">
        <f t="shared" si="14"/>
        <v>4.6555787484377602E-2</v>
      </c>
      <c r="W155" s="11">
        <f t="shared" si="14"/>
        <v>8.5169283869218813</v>
      </c>
      <c r="X155" s="6">
        <f t="shared" si="14"/>
        <v>57.227900259029404</v>
      </c>
      <c r="Y155" s="6">
        <f t="shared" si="13"/>
        <v>161.76242486932401</v>
      </c>
      <c r="Z155" s="6">
        <f t="shared" si="13"/>
        <v>289.19016547122197</v>
      </c>
      <c r="AA155" s="6">
        <f t="shared" si="13"/>
        <v>331.19851640615798</v>
      </c>
      <c r="AB155" s="6">
        <f t="shared" si="13"/>
        <v>225.67807377160599</v>
      </c>
      <c r="AC155" s="6">
        <f t="shared" si="13"/>
        <v>99.0772241263046</v>
      </c>
      <c r="AD155" s="12">
        <f t="shared" si="13"/>
        <v>25.9763670495872</v>
      </c>
      <c r="AE155" s="6">
        <f t="shared" si="13"/>
        <v>1.78482702065623</v>
      </c>
      <c r="AF155" s="140">
        <f t="shared" si="13"/>
        <v>0.132215581253909</v>
      </c>
      <c r="AG155" s="6"/>
      <c r="AH155" s="6"/>
      <c r="AI155" s="6"/>
    </row>
    <row r="156" spans="1:35" ht="15.75" x14ac:dyDescent="0.3">
      <c r="A156" s="150">
        <v>151</v>
      </c>
      <c r="B156" s="10" t="s">
        <v>117</v>
      </c>
      <c r="C156">
        <v>175278932.11592099</v>
      </c>
      <c r="E156" s="10" t="s">
        <v>522</v>
      </c>
      <c r="F156" s="151">
        <f>IF(ISNUMBER(I55),I55/SUM($I$43:$AI$71),0)</f>
        <v>1.8354814084017127E-4</v>
      </c>
      <c r="H156" s="160" t="s">
        <v>330</v>
      </c>
      <c r="I156" s="11">
        <f t="shared" si="14"/>
        <v>26.756836025793103</v>
      </c>
      <c r="J156" s="11">
        <f t="shared" si="14"/>
        <v>168.661454479301</v>
      </c>
      <c r="K156" s="6">
        <f t="shared" si="14"/>
        <v>472.89146534628304</v>
      </c>
      <c r="L156" s="6">
        <f t="shared" si="14"/>
        <v>637.60405849026506</v>
      </c>
      <c r="M156" s="6">
        <f t="shared" si="14"/>
        <v>453.83643037716701</v>
      </c>
      <c r="N156" s="6">
        <f t="shared" si="14"/>
        <v>243.420717404312</v>
      </c>
      <c r="O156" s="6">
        <f t="shared" si="14"/>
        <v>88.390247004611993</v>
      </c>
      <c r="P156" s="6">
        <f t="shared" si="14"/>
        <v>20.0841427308102</v>
      </c>
      <c r="Q156" s="6">
        <f t="shared" si="14"/>
        <v>0.96909526098829502</v>
      </c>
      <c r="R156" s="11">
        <f t="shared" si="14"/>
        <v>0.161697530753903</v>
      </c>
      <c r="S156" s="11">
        <f t="shared" si="14"/>
        <v>0</v>
      </c>
      <c r="T156" s="11">
        <f t="shared" si="14"/>
        <v>8.8222011351566806E-2</v>
      </c>
      <c r="U156" s="11">
        <f t="shared" si="14"/>
        <v>0</v>
      </c>
      <c r="V156" s="11">
        <f t="shared" si="14"/>
        <v>0</v>
      </c>
      <c r="W156" s="11">
        <f t="shared" si="14"/>
        <v>0.67372374813282498</v>
      </c>
      <c r="X156" s="6">
        <f t="shared" si="14"/>
        <v>16.627191724242198</v>
      </c>
      <c r="Y156" s="6">
        <f t="shared" si="13"/>
        <v>84.201585025062599</v>
      </c>
      <c r="Z156" s="6">
        <f t="shared" si="13"/>
        <v>244.20017606793201</v>
      </c>
      <c r="AA156" s="6">
        <f t="shared" si="13"/>
        <v>442.95675596346996</v>
      </c>
      <c r="AB156" s="6">
        <f t="shared" si="13"/>
        <v>486.42808975625599</v>
      </c>
      <c r="AC156" s="6">
        <f t="shared" si="13"/>
        <v>335.41042223214697</v>
      </c>
      <c r="AD156" s="6">
        <f t="shared" si="13"/>
        <v>146.141591384842</v>
      </c>
      <c r="AE156" s="12">
        <f t="shared" si="13"/>
        <v>40.120228559234597</v>
      </c>
      <c r="AF156" s="6">
        <f t="shared" si="13"/>
        <v>3.57643841858411</v>
      </c>
      <c r="AG156" s="140">
        <f t="shared" si="13"/>
        <v>5.2197565388672096E-2</v>
      </c>
      <c r="AH156" s="6"/>
      <c r="AI156" s="6"/>
    </row>
    <row r="157" spans="1:35" ht="15.75" x14ac:dyDescent="0.3">
      <c r="A157" s="150">
        <v>152</v>
      </c>
      <c r="B157" s="10" t="s">
        <v>118</v>
      </c>
      <c r="C157">
        <v>152937189.991386</v>
      </c>
      <c r="E157" s="10" t="s">
        <v>427</v>
      </c>
      <c r="F157" s="151">
        <f>IF(ISNUMBER(J55),J55/SUM($I$43:$AI$71),0)</f>
        <v>6.5456654197299663E-4</v>
      </c>
      <c r="H157" s="160" t="s">
        <v>331</v>
      </c>
      <c r="I157" s="11">
        <f t="shared" si="14"/>
        <v>19.270345811178199</v>
      </c>
      <c r="J157" s="11">
        <f t="shared" si="14"/>
        <v>129.204669719002</v>
      </c>
      <c r="K157" s="6">
        <f t="shared" si="14"/>
        <v>382.22412206796298</v>
      </c>
      <c r="L157" s="6">
        <f t="shared" si="14"/>
        <v>525.13075167608599</v>
      </c>
      <c r="M157" s="6">
        <f t="shared" si="14"/>
        <v>401.32440458770799</v>
      </c>
      <c r="N157" s="6">
        <f t="shared" si="14"/>
        <v>237.73573343031299</v>
      </c>
      <c r="O157" s="6">
        <f t="shared" si="14"/>
        <v>95.724346149360699</v>
      </c>
      <c r="P157" s="6">
        <f t="shared" si="14"/>
        <v>24.618426013278999</v>
      </c>
      <c r="Q157" s="6">
        <f t="shared" si="14"/>
        <v>2.67044002942181</v>
      </c>
      <c r="R157" s="11">
        <f t="shared" si="14"/>
        <v>0.181794864696287</v>
      </c>
      <c r="S157" s="11">
        <f t="shared" si="14"/>
        <v>0</v>
      </c>
      <c r="T157" s="11">
        <f t="shared" si="14"/>
        <v>4.8879858065918103E-2</v>
      </c>
      <c r="U157" s="11">
        <f t="shared" si="14"/>
        <v>0</v>
      </c>
      <c r="V157" s="11">
        <f t="shared" si="14"/>
        <v>0</v>
      </c>
      <c r="W157" s="11">
        <f t="shared" si="14"/>
        <v>0</v>
      </c>
      <c r="X157" s="6">
        <f t="shared" si="14"/>
        <v>0.44125052653124902</v>
      </c>
      <c r="Y157" s="6">
        <f t="shared" si="13"/>
        <v>13.097101912478401</v>
      </c>
      <c r="Z157" s="6">
        <f t="shared" si="13"/>
        <v>59.734978904960606</v>
      </c>
      <c r="AA157" s="6">
        <f t="shared" si="13"/>
        <v>159.575558162308</v>
      </c>
      <c r="AB157" s="6">
        <f t="shared" si="13"/>
        <v>258.18465319744899</v>
      </c>
      <c r="AC157" s="6">
        <f t="shared" si="13"/>
        <v>255.563167962021</v>
      </c>
      <c r="AD157" s="6">
        <f t="shared" si="13"/>
        <v>169.00676319616699</v>
      </c>
      <c r="AE157" s="6">
        <f t="shared" si="13"/>
        <v>72.825631086792001</v>
      </c>
      <c r="AF157" s="12">
        <f t="shared" si="13"/>
        <v>91.71240064505389</v>
      </c>
      <c r="AG157" s="6">
        <f t="shared" si="13"/>
        <v>0.89249167607617397</v>
      </c>
      <c r="AH157" s="140">
        <f t="shared" si="13"/>
        <v>5.2967852695316099E-2</v>
      </c>
      <c r="AI157" s="6"/>
    </row>
    <row r="158" spans="1:35" ht="15.75" x14ac:dyDescent="0.3">
      <c r="A158" s="150">
        <v>153</v>
      </c>
      <c r="B158" s="10" t="s">
        <v>119</v>
      </c>
      <c r="C158">
        <v>74465978.514003798</v>
      </c>
      <c r="E158" s="10" t="s">
        <v>428</v>
      </c>
      <c r="F158" s="151">
        <f>IF(ISNUMBER(K55),K55/SUM($I$43:$AI$71),0)</f>
        <v>7.6267943640956056E-4</v>
      </c>
      <c r="H158" s="160" t="s">
        <v>332</v>
      </c>
      <c r="I158" s="11">
        <f t="shared" si="14"/>
        <v>11.6828415531988</v>
      </c>
      <c r="J158" s="11">
        <f t="shared" si="14"/>
        <v>90.769056733421294</v>
      </c>
      <c r="K158" s="6">
        <f t="shared" si="14"/>
        <v>283.18541869220002</v>
      </c>
      <c r="L158" s="6">
        <f t="shared" si="14"/>
        <v>408.42998570123302</v>
      </c>
      <c r="M158" s="6">
        <f t="shared" si="14"/>
        <v>331.066569158417</v>
      </c>
      <c r="N158" s="6">
        <f t="shared" si="14"/>
        <v>210.63456706246902</v>
      </c>
      <c r="O158" s="6">
        <f t="shared" si="14"/>
        <v>96.7864992391968</v>
      </c>
      <c r="P158" s="6">
        <f t="shared" si="14"/>
        <v>27.698854543624901</v>
      </c>
      <c r="Q158" s="6">
        <f t="shared" si="14"/>
        <v>3.5877649389805799</v>
      </c>
      <c r="R158" s="11">
        <f t="shared" si="14"/>
        <v>0.108944906597167</v>
      </c>
      <c r="S158" s="11">
        <f t="shared" si="14"/>
        <v>0</v>
      </c>
      <c r="T158" s="11">
        <f t="shared" si="14"/>
        <v>8.6779425304688504E-2</v>
      </c>
      <c r="U158" s="11">
        <f t="shared" si="14"/>
        <v>5.21802592148446E-2</v>
      </c>
      <c r="V158" s="11">
        <f t="shared" si="14"/>
        <v>4.9405108081055794E-3</v>
      </c>
      <c r="W158" s="11">
        <f t="shared" si="14"/>
        <v>3.3472344609376002E-2</v>
      </c>
      <c r="X158" s="6">
        <f t="shared" si="14"/>
        <v>0</v>
      </c>
      <c r="Y158" s="6">
        <f t="shared" si="13"/>
        <v>1.3657888792539801</v>
      </c>
      <c r="Z158" s="6">
        <f t="shared" si="13"/>
        <v>19.311850848350499</v>
      </c>
      <c r="AA158" s="6">
        <f t="shared" si="13"/>
        <v>84.111527394271889</v>
      </c>
      <c r="AB158" s="6">
        <f t="shared" si="13"/>
        <v>209.49335610322601</v>
      </c>
      <c r="AC158" s="6">
        <f t="shared" si="13"/>
        <v>323.69654359255998</v>
      </c>
      <c r="AD158" s="6">
        <f t="shared" si="13"/>
        <v>326.25337460375999</v>
      </c>
      <c r="AE158" s="6">
        <f t="shared" si="13"/>
        <v>217.46478679274</v>
      </c>
      <c r="AF158" s="6">
        <f t="shared" si="13"/>
        <v>84.944943416755706</v>
      </c>
      <c r="AG158" s="12">
        <f t="shared" si="13"/>
        <v>19.589419993938403</v>
      </c>
      <c r="AH158" s="6">
        <f t="shared" si="13"/>
        <v>1.33773823091209</v>
      </c>
      <c r="AI158" s="140">
        <f t="shared" si="13"/>
        <v>3.5088074191406401E-2</v>
      </c>
    </row>
    <row r="159" spans="1:35" ht="15.75" x14ac:dyDescent="0.3">
      <c r="A159" s="150">
        <v>154</v>
      </c>
      <c r="B159" s="10" t="s">
        <v>120</v>
      </c>
      <c r="C159">
        <v>70577722.165288895</v>
      </c>
      <c r="E159" s="10" t="s">
        <v>429</v>
      </c>
      <c r="F159" s="151">
        <f>IF(ISNUMBER(L55),L55/SUM($I$43:$AI$71),0)</f>
        <v>6.1954506335080322E-4</v>
      </c>
      <c r="H159" s="160" t="s">
        <v>333</v>
      </c>
      <c r="I159" s="11">
        <f t="shared" si="14"/>
        <v>7.21520554576969</v>
      </c>
      <c r="J159" s="11">
        <f t="shared" si="14"/>
        <v>65.012602563976301</v>
      </c>
      <c r="K159" s="6">
        <f t="shared" si="14"/>
        <v>204.362376602859</v>
      </c>
      <c r="L159" s="6">
        <f t="shared" si="14"/>
        <v>305.99409867648296</v>
      </c>
      <c r="M159" s="6">
        <f t="shared" si="14"/>
        <v>266.43472978021197</v>
      </c>
      <c r="N159" s="6">
        <f t="shared" si="14"/>
        <v>182.54847671206701</v>
      </c>
      <c r="O159" s="6">
        <f t="shared" si="14"/>
        <v>91.820134425514212</v>
      </c>
      <c r="P159" s="6">
        <f t="shared" si="14"/>
        <v>29.500668725946401</v>
      </c>
      <c r="Q159" s="6">
        <f t="shared" si="14"/>
        <v>3.8350953416347497</v>
      </c>
      <c r="R159" s="11">
        <f t="shared" si="14"/>
        <v>0</v>
      </c>
      <c r="S159" s="11">
        <f t="shared" si="14"/>
        <v>0</v>
      </c>
      <c r="T159" s="11">
        <f t="shared" si="14"/>
        <v>4.5491475175783003E-2</v>
      </c>
      <c r="U159" s="11">
        <f t="shared" si="14"/>
        <v>0</v>
      </c>
      <c r="V159" s="11">
        <f t="shared" si="14"/>
        <v>0</v>
      </c>
      <c r="W159" s="11">
        <f t="shared" si="14"/>
        <v>6.6442153757814301E-2</v>
      </c>
      <c r="X159" s="6">
        <f t="shared" si="14"/>
        <v>0</v>
      </c>
      <c r="Y159" s="6">
        <f t="shared" si="13"/>
        <v>6.8454602273436305E-2</v>
      </c>
      <c r="Z159" s="6">
        <f t="shared" si="13"/>
        <v>0.848931627832055</v>
      </c>
      <c r="AA159" s="6">
        <f t="shared" si="13"/>
        <v>13.9531717687168</v>
      </c>
      <c r="AB159" s="6">
        <f t="shared" si="13"/>
        <v>59.295785502075205</v>
      </c>
      <c r="AC159" s="6">
        <f t="shared" si="13"/>
        <v>129.935403651428</v>
      </c>
      <c r="AD159" s="6">
        <f t="shared" si="13"/>
        <v>178.27076035783401</v>
      </c>
      <c r="AE159" s="6">
        <f t="shared" si="13"/>
        <v>171.51192985936001</v>
      </c>
      <c r="AF159" s="6">
        <f t="shared" si="13"/>
        <v>102.39901780515299</v>
      </c>
      <c r="AG159" s="6">
        <f t="shared" si="13"/>
        <v>34.830852058723394</v>
      </c>
      <c r="AH159" s="12">
        <f t="shared" si="13"/>
        <v>7.6743691363820998</v>
      </c>
      <c r="AI159" s="141">
        <f t="shared" si="13"/>
        <v>6.2523888155274099E-2</v>
      </c>
    </row>
    <row r="160" spans="1:35" ht="15.75" x14ac:dyDescent="0.3">
      <c r="A160" s="150">
        <v>155</v>
      </c>
      <c r="B160" s="10" t="s">
        <v>121</v>
      </c>
      <c r="C160">
        <v>25283774.864374202</v>
      </c>
      <c r="E160" s="10" t="s">
        <v>430</v>
      </c>
      <c r="F160" s="151">
        <f>IF(ISNUMBER(M55),M55/SUM($I$43:$AI$71),0)</f>
        <v>2.665659000025398E-4</v>
      </c>
      <c r="H160" s="160" t="s">
        <v>334</v>
      </c>
      <c r="I160" s="11">
        <f t="shared" si="14"/>
        <v>4.0731782152070997</v>
      </c>
      <c r="J160" s="11">
        <f t="shared" si="14"/>
        <v>42.589363215465504</v>
      </c>
      <c r="K160" s="6">
        <f t="shared" si="14"/>
        <v>131.292883430687</v>
      </c>
      <c r="L160" s="6">
        <f t="shared" si="14"/>
        <v>201.88962288462801</v>
      </c>
      <c r="M160" s="6">
        <f t="shared" si="14"/>
        <v>184.95605935571302</v>
      </c>
      <c r="N160" s="6">
        <f t="shared" si="14"/>
        <v>135.00243236170201</v>
      </c>
      <c r="O160" s="6">
        <f t="shared" si="14"/>
        <v>73.024172302925095</v>
      </c>
      <c r="P160" s="6">
        <f t="shared" si="14"/>
        <v>26.344181094055202</v>
      </c>
      <c r="Q160" s="6">
        <f t="shared" si="14"/>
        <v>4.9272629166016602</v>
      </c>
      <c r="R160" s="11">
        <f t="shared" si="14"/>
        <v>0.28047118378517005</v>
      </c>
      <c r="S160" s="11">
        <f t="shared" si="14"/>
        <v>0</v>
      </c>
      <c r="T160" s="11">
        <f t="shared" si="14"/>
        <v>1.64698677922357E-2</v>
      </c>
      <c r="U160" s="11">
        <f t="shared" si="14"/>
        <v>0</v>
      </c>
      <c r="V160" s="11">
        <f t="shared" si="14"/>
        <v>0</v>
      </c>
      <c r="W160" s="11">
        <f t="shared" si="14"/>
        <v>0</v>
      </c>
      <c r="X160" s="6">
        <f t="shared" si="14"/>
        <v>7.95852664306574E-3</v>
      </c>
      <c r="Y160" s="6">
        <f t="shared" si="13"/>
        <v>0</v>
      </c>
      <c r="Z160" s="6">
        <f t="shared" si="13"/>
        <v>4.0871525556640696E-3</v>
      </c>
      <c r="AA160" s="6">
        <f t="shared" si="13"/>
        <v>0.35668378849217303</v>
      </c>
      <c r="AB160" s="6">
        <f t="shared" si="13"/>
        <v>17.4506128350239</v>
      </c>
      <c r="AC160" s="6">
        <f t="shared" si="13"/>
        <v>56.735787774459801</v>
      </c>
      <c r="AD160" s="6">
        <f t="shared" si="13"/>
        <v>115.36949766946401</v>
      </c>
      <c r="AE160" s="6">
        <f t="shared" si="13"/>
        <v>152.883819482788</v>
      </c>
      <c r="AF160" s="6">
        <f t="shared" si="13"/>
        <v>133.416681231018</v>
      </c>
      <c r="AG160" s="6">
        <f t="shared" si="13"/>
        <v>70.726710719444299</v>
      </c>
      <c r="AH160" s="6">
        <f t="shared" si="13"/>
        <v>24.684737260818501</v>
      </c>
      <c r="AI160" s="12">
        <f t="shared" si="13"/>
        <v>4.1727774896697998</v>
      </c>
    </row>
    <row r="161" spans="1:35" ht="15.75" x14ac:dyDescent="0.3">
      <c r="A161" s="150">
        <v>156</v>
      </c>
      <c r="B161" s="10" t="s">
        <v>122</v>
      </c>
      <c r="C161">
        <v>24441911.110361099</v>
      </c>
      <c r="E161" s="10" t="s">
        <v>431</v>
      </c>
      <c r="F161" s="151">
        <f>IF(ISNUMBER(N55),N55/SUM($I$43:$AI$71),0)</f>
        <v>4.802857453177126E-5</v>
      </c>
      <c r="H161" s="160" t="s">
        <v>335</v>
      </c>
      <c r="I161" s="11">
        <f t="shared" si="14"/>
        <v>2.6319542394785898</v>
      </c>
      <c r="J161" s="11">
        <f t="shared" si="14"/>
        <v>30.566149191877397</v>
      </c>
      <c r="K161" s="6">
        <f t="shared" si="14"/>
        <v>89.676981344375591</v>
      </c>
      <c r="L161" s="6">
        <f t="shared" si="14"/>
        <v>137.90312319255099</v>
      </c>
      <c r="M161" s="6">
        <f t="shared" si="14"/>
        <v>131.37330412737299</v>
      </c>
      <c r="N161" s="6">
        <f t="shared" si="14"/>
        <v>104.129852973282</v>
      </c>
      <c r="O161" s="6">
        <f t="shared" si="14"/>
        <v>60.003228444087995</v>
      </c>
      <c r="P161" s="6">
        <f t="shared" si="14"/>
        <v>22.806393994310401</v>
      </c>
      <c r="Q161" s="6">
        <f t="shared" si="14"/>
        <v>4.7484835183711098</v>
      </c>
      <c r="R161" s="11">
        <f t="shared" si="14"/>
        <v>0.26612080181641901</v>
      </c>
      <c r="S161" s="11">
        <f t="shared" si="14"/>
        <v>0</v>
      </c>
      <c r="T161" s="11">
        <f t="shared" si="14"/>
        <v>0</v>
      </c>
      <c r="U161" s="11">
        <f t="shared" si="14"/>
        <v>0</v>
      </c>
      <c r="V161" s="11">
        <f t="shared" si="14"/>
        <v>3.2651334038088097E-3</v>
      </c>
      <c r="W161" s="11">
        <f t="shared" si="14"/>
        <v>4.3330221785154201E-2</v>
      </c>
      <c r="X161" s="11">
        <f t="shared" si="14"/>
        <v>0</v>
      </c>
      <c r="Y161" s="11">
        <f t="shared" si="13"/>
        <v>0</v>
      </c>
      <c r="Z161" s="11">
        <f t="shared" si="13"/>
        <v>4.0476991882324202E-3</v>
      </c>
      <c r="AA161" s="11">
        <f t="shared" si="13"/>
        <v>0</v>
      </c>
      <c r="AB161" s="11">
        <f t="shared" si="13"/>
        <v>1.4621538031758101</v>
      </c>
      <c r="AC161" s="11">
        <f t="shared" si="13"/>
        <v>14.415122133871101</v>
      </c>
      <c r="AD161" s="11">
        <f t="shared" si="13"/>
        <v>43.572927875122097</v>
      </c>
      <c r="AE161" s="11">
        <f t="shared" si="13"/>
        <v>86.823737517158492</v>
      </c>
      <c r="AF161" s="11">
        <f t="shared" si="13"/>
        <v>106.996825569672</v>
      </c>
      <c r="AG161" s="11">
        <f t="shared" si="13"/>
        <v>82.521552810592695</v>
      </c>
      <c r="AH161" s="11">
        <f t="shared" si="13"/>
        <v>42.782746426086405</v>
      </c>
      <c r="AI161" s="14">
        <f t="shared" si="13"/>
        <v>0</v>
      </c>
    </row>
    <row r="162" spans="1:35" ht="15.75" x14ac:dyDescent="0.3">
      <c r="A162" s="150">
        <v>157</v>
      </c>
      <c r="B162" s="10" t="s">
        <v>123</v>
      </c>
      <c r="C162">
        <v>38120342.060556397</v>
      </c>
      <c r="E162" s="10" t="s">
        <v>432</v>
      </c>
      <c r="F162" s="151">
        <f>IF(ISNUMBER(O55),O55/SUM($I$43:$AI$71),0)</f>
        <v>0</v>
      </c>
      <c r="H162" s="160" t="s">
        <v>336</v>
      </c>
      <c r="I162" s="11">
        <f t="shared" si="14"/>
        <v>1.9300401966465699</v>
      </c>
      <c r="J162" s="11">
        <f t="shared" si="14"/>
        <v>21.070370821813597</v>
      </c>
      <c r="K162" s="6">
        <f t="shared" si="14"/>
        <v>57.8840973802834</v>
      </c>
      <c r="L162" s="6">
        <f t="shared" si="14"/>
        <v>87.093252355125401</v>
      </c>
      <c r="M162" s="6">
        <f t="shared" si="14"/>
        <v>84.155580361396801</v>
      </c>
      <c r="N162" s="6">
        <f t="shared" si="14"/>
        <v>70.210306158119195</v>
      </c>
      <c r="O162" s="6">
        <f t="shared" si="14"/>
        <v>45.913122401973702</v>
      </c>
      <c r="P162" s="6">
        <f t="shared" si="14"/>
        <v>17.576419947792999</v>
      </c>
      <c r="Q162" s="6">
        <f t="shared" si="14"/>
        <v>3.7982534111678601</v>
      </c>
      <c r="R162" s="11">
        <f t="shared" si="14"/>
        <v>9.6539428429689308E-2</v>
      </c>
      <c r="S162" s="11">
        <f t="shared" si="14"/>
        <v>0</v>
      </c>
      <c r="T162" s="11">
        <f t="shared" si="14"/>
        <v>0</v>
      </c>
      <c r="U162" s="11">
        <f t="shared" si="14"/>
        <v>0</v>
      </c>
      <c r="V162" s="11">
        <f t="shared" si="14"/>
        <v>4.4585027768556003E-3</v>
      </c>
      <c r="W162" s="11">
        <f t="shared" si="14"/>
        <v>2.8410449291016899E-2</v>
      </c>
      <c r="X162" s="11">
        <f t="shared" si="14"/>
        <v>0.116227068221681</v>
      </c>
      <c r="Y162" s="11">
        <f t="shared" si="13"/>
        <v>1.5680627598632101E-2</v>
      </c>
      <c r="Z162" s="11">
        <f t="shared" si="13"/>
        <v>4.31708927197289E-3</v>
      </c>
      <c r="AA162" s="11">
        <f t="shared" si="13"/>
        <v>0</v>
      </c>
      <c r="AB162" s="11">
        <f t="shared" si="13"/>
        <v>4.4664493432622406E-3</v>
      </c>
      <c r="AC162" s="11">
        <f t="shared" si="13"/>
        <v>1.63208844500387</v>
      </c>
      <c r="AD162" s="11">
        <f t="shared" si="13"/>
        <v>11.4328392913961</v>
      </c>
      <c r="AE162" s="11">
        <f t="shared" si="13"/>
        <v>34.376220620834403</v>
      </c>
      <c r="AF162" s="11">
        <f t="shared" si="13"/>
        <v>61.761212795387301</v>
      </c>
      <c r="AG162" s="11">
        <f t="shared" si="13"/>
        <v>66.236266262962303</v>
      </c>
      <c r="AH162" s="11">
        <f t="shared" si="13"/>
        <v>49.694002808525099</v>
      </c>
      <c r="AI162" s="14">
        <f t="shared" si="13"/>
        <v>0</v>
      </c>
    </row>
    <row r="163" spans="1:35" ht="15.75" x14ac:dyDescent="0.3">
      <c r="A163" s="150">
        <v>158</v>
      </c>
      <c r="B163" s="10" t="s">
        <v>124</v>
      </c>
      <c r="C163">
        <v>32760567.7425308</v>
      </c>
      <c r="E163" s="10" t="s">
        <v>433</v>
      </c>
      <c r="F163" s="151">
        <f>IF(ISNUMBER(P55),P55/SUM($I$43:$AI$71),0)</f>
        <v>0</v>
      </c>
      <c r="H163" s="160" t="s">
        <v>337</v>
      </c>
      <c r="I163" s="11">
        <f t="shared" si="14"/>
        <v>0.95443084228122199</v>
      </c>
      <c r="J163" s="11">
        <f t="shared" si="14"/>
        <v>15.1930917430162</v>
      </c>
      <c r="K163" s="6">
        <f t="shared" si="14"/>
        <v>38.702293254619597</v>
      </c>
      <c r="L163" s="6">
        <f t="shared" si="14"/>
        <v>55.936576762947098</v>
      </c>
      <c r="M163" s="6">
        <f t="shared" si="14"/>
        <v>54.986451711910206</v>
      </c>
      <c r="N163" s="6">
        <f t="shared" si="14"/>
        <v>47.407056491581002</v>
      </c>
      <c r="O163" s="6">
        <f t="shared" si="14"/>
        <v>31.219043606121101</v>
      </c>
      <c r="P163" s="6">
        <f t="shared" si="14"/>
        <v>14.213793345390298</v>
      </c>
      <c r="Q163" s="6">
        <f t="shared" si="14"/>
        <v>1.75090129730856</v>
      </c>
      <c r="R163" s="11">
        <f t="shared" si="14"/>
        <v>0.24357408028906602</v>
      </c>
      <c r="S163" s="11">
        <f t="shared" si="14"/>
        <v>0</v>
      </c>
      <c r="T163" s="11">
        <f t="shared" si="14"/>
        <v>0</v>
      </c>
      <c r="U163" s="11">
        <f t="shared" si="14"/>
        <v>5.2646975824221995E-2</v>
      </c>
      <c r="V163" s="11">
        <f t="shared" si="14"/>
        <v>0</v>
      </c>
      <c r="W163" s="11">
        <f t="shared" si="14"/>
        <v>3.6636061135255698E-3</v>
      </c>
      <c r="X163" s="11">
        <f t="shared" si="14"/>
        <v>4.8413038699217099E-2</v>
      </c>
      <c r="Y163" s="11">
        <f t="shared" si="13"/>
        <v>4.5145869064453996E-2</v>
      </c>
      <c r="Z163" s="11">
        <f t="shared" si="13"/>
        <v>0</v>
      </c>
      <c r="AA163" s="11">
        <f t="shared" si="13"/>
        <v>0</v>
      </c>
      <c r="AB163" s="11">
        <f t="shared" si="13"/>
        <v>3.1642253535646904E-2</v>
      </c>
      <c r="AC163" s="11">
        <f t="shared" si="13"/>
        <v>6.8297405039064604E-2</v>
      </c>
      <c r="AD163" s="11">
        <f t="shared" si="13"/>
        <v>0.78420067047899999</v>
      </c>
      <c r="AE163" s="11">
        <f t="shared" si="13"/>
        <v>7.5529252435588798</v>
      </c>
      <c r="AF163" s="11">
        <f t="shared" si="13"/>
        <v>25.322845038494098</v>
      </c>
      <c r="AG163" s="11">
        <f t="shared" si="13"/>
        <v>36.386651434368098</v>
      </c>
      <c r="AH163" s="11">
        <f t="shared" si="13"/>
        <v>0</v>
      </c>
      <c r="AI163" s="14">
        <f t="shared" si="13"/>
        <v>0</v>
      </c>
    </row>
    <row r="164" spans="1:35" ht="15.75" x14ac:dyDescent="0.3">
      <c r="A164" s="150">
        <v>159</v>
      </c>
      <c r="B164" s="10" t="s">
        <v>693</v>
      </c>
      <c r="C164">
        <v>76532025.5977173</v>
      </c>
      <c r="E164" s="10" t="s">
        <v>434</v>
      </c>
      <c r="F164" s="151">
        <f>IF(ISNUMBER(Q55),Q55/SUM($I$43:$AI$71),0)</f>
        <v>0</v>
      </c>
      <c r="H164" s="160" t="s">
        <v>338</v>
      </c>
      <c r="I164" s="11">
        <f t="shared" si="14"/>
        <v>0.471667516097665</v>
      </c>
      <c r="J164" s="11">
        <f t="shared" si="14"/>
        <v>9.7328998577566086</v>
      </c>
      <c r="K164" s="6">
        <f t="shared" si="14"/>
        <v>26.1171448017387</v>
      </c>
      <c r="L164" s="6">
        <f t="shared" si="14"/>
        <v>35.721073351703602</v>
      </c>
      <c r="M164" s="6">
        <f t="shared" si="14"/>
        <v>32.545032719285999</v>
      </c>
      <c r="N164" s="6">
        <f t="shared" si="14"/>
        <v>28.269187336664199</v>
      </c>
      <c r="O164" s="6">
        <f t="shared" si="14"/>
        <v>19.966252071683897</v>
      </c>
      <c r="P164" s="6">
        <f t="shared" si="14"/>
        <v>8.3281402414064392</v>
      </c>
      <c r="Q164" s="6">
        <f t="shared" si="14"/>
        <v>1.3774468560937601</v>
      </c>
      <c r="R164" s="11">
        <f t="shared" si="14"/>
        <v>0.15297971571875402</v>
      </c>
      <c r="S164" s="11">
        <f t="shared" si="14"/>
        <v>5.6651775363281399E-2</v>
      </c>
      <c r="T164" s="11">
        <f t="shared" si="14"/>
        <v>5.1653217410158402E-2</v>
      </c>
      <c r="U164" s="11">
        <f t="shared" si="14"/>
        <v>0</v>
      </c>
      <c r="V164" s="11">
        <f t="shared" si="14"/>
        <v>0</v>
      </c>
      <c r="W164" s="11">
        <f t="shared" si="14"/>
        <v>4.0913786683596701E-2</v>
      </c>
      <c r="X164" s="11">
        <f t="shared" si="14"/>
        <v>0</v>
      </c>
      <c r="Y164" s="11">
        <f t="shared" si="13"/>
        <v>0</v>
      </c>
      <c r="Z164" s="11">
        <f t="shared" si="13"/>
        <v>0</v>
      </c>
      <c r="AA164" s="11">
        <f t="shared" si="13"/>
        <v>0</v>
      </c>
      <c r="AB164" s="11">
        <f t="shared" si="13"/>
        <v>0</v>
      </c>
      <c r="AC164" s="11">
        <f t="shared" si="13"/>
        <v>0.10961983723290999</v>
      </c>
      <c r="AD164" s="11">
        <f t="shared" si="13"/>
        <v>9.9913309519536794E-2</v>
      </c>
      <c r="AE164" s="11">
        <f t="shared" si="13"/>
        <v>0.49584313241502603</v>
      </c>
      <c r="AF164" s="11">
        <f t="shared" si="13"/>
        <v>5.4633578144059198</v>
      </c>
      <c r="AG164" s="11">
        <f t="shared" si="13"/>
        <v>13.225373176040598</v>
      </c>
      <c r="AH164" s="11">
        <f t="shared" si="13"/>
        <v>0</v>
      </c>
      <c r="AI164" s="14">
        <f t="shared" si="13"/>
        <v>0</v>
      </c>
    </row>
    <row r="165" spans="1:35" ht="15.75" x14ac:dyDescent="0.3">
      <c r="A165" s="150">
        <v>160</v>
      </c>
      <c r="B165" s="10" t="s">
        <v>694</v>
      </c>
      <c r="C165">
        <v>67981484.611019105</v>
      </c>
      <c r="E165" s="10" t="s">
        <v>435</v>
      </c>
      <c r="F165" s="151">
        <f>IF(ISNUMBER(R55),R55/SUM($I$43:$AI$71),0)</f>
        <v>0</v>
      </c>
      <c r="H165" s="160" t="s">
        <v>339</v>
      </c>
      <c r="I165" s="11">
        <f t="shared" si="14"/>
        <v>0.21729792589452901</v>
      </c>
      <c r="J165" s="11">
        <f t="shared" si="14"/>
        <v>6.0067346923923504</v>
      </c>
      <c r="K165" s="6">
        <f t="shared" si="14"/>
        <v>16.471569591598499</v>
      </c>
      <c r="L165" s="6">
        <f t="shared" si="14"/>
        <v>22.858133719669301</v>
      </c>
      <c r="M165" s="6">
        <f t="shared" si="14"/>
        <v>20.939795879478499</v>
      </c>
      <c r="N165" s="6">
        <f t="shared" si="14"/>
        <v>17.698051322791098</v>
      </c>
      <c r="O165" s="6">
        <f t="shared" si="14"/>
        <v>11.6470558378477</v>
      </c>
      <c r="P165" s="6">
        <f t="shared" si="14"/>
        <v>4.9711768121366502</v>
      </c>
      <c r="Q165" s="6">
        <f t="shared" si="14"/>
        <v>0.91367783146578097</v>
      </c>
      <c r="R165" s="11">
        <f t="shared" si="14"/>
        <v>6.6471415455076802E-2</v>
      </c>
      <c r="S165" s="11">
        <f t="shared" si="14"/>
        <v>0</v>
      </c>
      <c r="T165" s="11">
        <f t="shared" si="14"/>
        <v>0</v>
      </c>
      <c r="U165" s="11">
        <f t="shared" si="14"/>
        <v>0</v>
      </c>
      <c r="V165" s="11">
        <f t="shared" si="14"/>
        <v>0</v>
      </c>
      <c r="W165" s="11">
        <f t="shared" si="14"/>
        <v>1.6373420545898399E-2</v>
      </c>
      <c r="X165" s="11">
        <f t="shared" si="14"/>
        <v>0</v>
      </c>
      <c r="Y165" s="11">
        <f t="shared" si="13"/>
        <v>0</v>
      </c>
      <c r="Z165" s="11">
        <f t="shared" si="13"/>
        <v>0</v>
      </c>
      <c r="AA165" s="11">
        <f t="shared" si="13"/>
        <v>0.16784642781151798</v>
      </c>
      <c r="AB165" s="11">
        <f t="shared" si="13"/>
        <v>0</v>
      </c>
      <c r="AC165" s="11">
        <f t="shared" si="13"/>
        <v>3.6772358301754994E-2</v>
      </c>
      <c r="AD165" s="11">
        <f t="shared" si="13"/>
        <v>0</v>
      </c>
      <c r="AE165" s="11">
        <f t="shared" si="13"/>
        <v>8.7254606937497897E-2</v>
      </c>
      <c r="AF165" s="11">
        <f t="shared" si="13"/>
        <v>0.30306224789062103</v>
      </c>
      <c r="AG165" s="11">
        <f t="shared" si="13"/>
        <v>2.0050788385118201</v>
      </c>
      <c r="AH165" s="11">
        <f t="shared" si="13"/>
        <v>0</v>
      </c>
      <c r="AI165" s="14">
        <f t="shared" si="13"/>
        <v>0</v>
      </c>
    </row>
    <row r="166" spans="1:35" ht="15.75" x14ac:dyDescent="0.3">
      <c r="A166" s="150">
        <v>161</v>
      </c>
      <c r="B166" s="10" t="s">
        <v>695</v>
      </c>
      <c r="C166">
        <v>67649485.174205795</v>
      </c>
      <c r="E166" s="10" t="s">
        <v>436</v>
      </c>
      <c r="F166" s="151">
        <f>IF(ISNUMBER(S55),S55/SUM($I$43:$AI$71),0)</f>
        <v>0</v>
      </c>
      <c r="H166" s="161" t="s">
        <v>340</v>
      </c>
      <c r="I166" s="47">
        <f t="shared" si="14"/>
        <v>0.17332079000683101</v>
      </c>
      <c r="J166" s="47">
        <f t="shared" si="14"/>
        <v>2.5163936340000603</v>
      </c>
      <c r="K166" s="47">
        <f t="shared" si="14"/>
        <v>9.5006440634489095</v>
      </c>
      <c r="L166" s="47">
        <f t="shared" si="14"/>
        <v>14.1957636476355</v>
      </c>
      <c r="M166" s="47">
        <f t="shared" si="14"/>
        <v>12.311326067679399</v>
      </c>
      <c r="N166" s="47">
        <f t="shared" si="14"/>
        <v>10.847077070838001</v>
      </c>
      <c r="O166" s="47">
        <f t="shared" si="14"/>
        <v>6.7951478997392698</v>
      </c>
      <c r="P166" s="47">
        <f t="shared" si="14"/>
        <v>2.6898676541485802</v>
      </c>
      <c r="Q166" s="47">
        <f t="shared" si="14"/>
        <v>0.14142293197265299</v>
      </c>
      <c r="R166" s="47">
        <f t="shared" si="14"/>
        <v>0</v>
      </c>
      <c r="S166" s="47">
        <f t="shared" si="14"/>
        <v>0</v>
      </c>
      <c r="T166" s="47">
        <f t="shared" si="14"/>
        <v>5.1848822367187596E-2</v>
      </c>
      <c r="U166" s="47">
        <f t="shared" si="14"/>
        <v>0.11317047948046</v>
      </c>
      <c r="V166" s="47">
        <f t="shared" si="14"/>
        <v>5.6381461230468E-2</v>
      </c>
      <c r="W166" s="47">
        <f t="shared" si="14"/>
        <v>0</v>
      </c>
      <c r="X166" s="47">
        <f t="shared" si="14"/>
        <v>0</v>
      </c>
      <c r="Y166" s="47">
        <f t="shared" si="13"/>
        <v>0</v>
      </c>
      <c r="Z166" s="47">
        <f t="shared" si="13"/>
        <v>3.5184718732913004E-3</v>
      </c>
      <c r="AA166" s="47">
        <f t="shared" si="13"/>
        <v>0</v>
      </c>
      <c r="AB166" s="47">
        <f t="shared" si="13"/>
        <v>0</v>
      </c>
      <c r="AC166" s="47">
        <f t="shared" si="13"/>
        <v>8.0794720136718803E-3</v>
      </c>
      <c r="AD166" s="47">
        <f t="shared" si="13"/>
        <v>7.1975948540037495E-3</v>
      </c>
      <c r="AE166" s="47">
        <f t="shared" si="13"/>
        <v>0</v>
      </c>
      <c r="AF166" s="47">
        <f t="shared" si="13"/>
        <v>0</v>
      </c>
      <c r="AG166" s="47">
        <f t="shared" si="13"/>
        <v>0</v>
      </c>
      <c r="AH166" s="47">
        <f t="shared" si="13"/>
        <v>0</v>
      </c>
      <c r="AI166" s="46">
        <f t="shared" si="13"/>
        <v>0</v>
      </c>
    </row>
    <row r="167" spans="1:35" ht="15.75" x14ac:dyDescent="0.3">
      <c r="A167" s="150">
        <v>162</v>
      </c>
      <c r="B167" s="10" t="s">
        <v>696</v>
      </c>
      <c r="C167">
        <v>64573307.7837791</v>
      </c>
      <c r="E167" s="10" t="s">
        <v>523</v>
      </c>
      <c r="F167" s="151">
        <f>IF(ISNUMBER(T55),T55/SUM($I$43:$AI$71),0)</f>
        <v>3.4695655324260699E-4</v>
      </c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</row>
    <row r="168" spans="1:35" ht="15.75" x14ac:dyDescent="0.3">
      <c r="A168" s="150">
        <v>163</v>
      </c>
      <c r="B168" s="10" t="s">
        <v>697</v>
      </c>
      <c r="C168">
        <v>23928361.066981301</v>
      </c>
      <c r="E168" s="10" t="s">
        <v>524</v>
      </c>
      <c r="F168" s="151">
        <f>IF(ISNUMBER(U55),U55/SUM($I$43:$AI$71),0)</f>
        <v>1.4209528817866067E-3</v>
      </c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</row>
    <row r="169" spans="1:35" x14ac:dyDescent="0.25">
      <c r="A169" s="150">
        <v>164</v>
      </c>
      <c r="B169" s="10" t="s">
        <v>698</v>
      </c>
      <c r="C169">
        <v>23572636.7999315</v>
      </c>
      <c r="E169" s="10" t="s">
        <v>1060</v>
      </c>
      <c r="F169" s="151">
        <f>IF(ISNUMBER(V55),V55/SUM($I$43:$AI$71),0)</f>
        <v>2.7428779441173918E-3</v>
      </c>
    </row>
    <row r="170" spans="1:35" x14ac:dyDescent="0.25">
      <c r="A170" s="150">
        <v>165</v>
      </c>
      <c r="B170" s="10" t="s">
        <v>1117</v>
      </c>
      <c r="C170">
        <v>1719705.54221094</v>
      </c>
      <c r="E170" s="10" t="s">
        <v>1061</v>
      </c>
      <c r="F170" s="151">
        <f>IF(ISNUMBER(W55),W55/SUM($I$43:$AI$71),0)</f>
        <v>2.70302339832494E-3</v>
      </c>
    </row>
    <row r="171" spans="1:35" x14ac:dyDescent="0.25">
      <c r="A171" s="150">
        <v>166</v>
      </c>
      <c r="B171" s="10" t="s">
        <v>1118</v>
      </c>
      <c r="C171">
        <v>1740816.9347149101</v>
      </c>
      <c r="E171" s="10" t="s">
        <v>1062</v>
      </c>
      <c r="F171" s="151">
        <f>IF(ISNUMBER(X55),X55/SUM($I$43:$AI$71),0)</f>
        <v>1.3722499016080856E-3</v>
      </c>
    </row>
    <row r="172" spans="1:35" x14ac:dyDescent="0.25">
      <c r="A172" s="150">
        <v>167</v>
      </c>
      <c r="B172" s="10" t="s">
        <v>1119</v>
      </c>
      <c r="C172">
        <v>0</v>
      </c>
      <c r="E172" s="10" t="s">
        <v>1582</v>
      </c>
      <c r="F172" s="151">
        <f>IF(ISNUMBER(Y55),Y55/SUM($I$43:$AI$71),0)</f>
        <v>3.4170429134938886E-4</v>
      </c>
    </row>
    <row r="173" spans="1:35" x14ac:dyDescent="0.25">
      <c r="A173" s="150">
        <v>168</v>
      </c>
      <c r="B173" s="10" t="s">
        <v>1120</v>
      </c>
      <c r="C173">
        <v>0</v>
      </c>
      <c r="E173" s="10" t="s">
        <v>1583</v>
      </c>
      <c r="F173" s="151">
        <f>IF(ISNUMBER(Z55),Z55/SUM($I$43:$AI$71),0)</f>
        <v>0</v>
      </c>
    </row>
    <row r="174" spans="1:35" x14ac:dyDescent="0.25">
      <c r="A174" s="150">
        <v>169</v>
      </c>
      <c r="B174" s="10" t="s">
        <v>699</v>
      </c>
      <c r="C174">
        <v>22507433.125555001</v>
      </c>
      <c r="E174" s="10" t="s">
        <v>1584</v>
      </c>
      <c r="F174" s="151">
        <f>IF(ISNUMBER(AA55),AA55/SUM($I$43:$AI$71),0)</f>
        <v>0</v>
      </c>
    </row>
    <row r="175" spans="1:35" x14ac:dyDescent="0.25">
      <c r="A175" s="150">
        <v>170</v>
      </c>
      <c r="B175" s="10" t="s">
        <v>700</v>
      </c>
      <c r="C175">
        <v>15042541.9607182</v>
      </c>
      <c r="E175" s="10" t="s">
        <v>525</v>
      </c>
      <c r="F175" s="151">
        <f>IF(ISNUMBER(I56),I56/SUM($I$43:$AI$71),0)</f>
        <v>6.0969621441306072E-4</v>
      </c>
    </row>
    <row r="176" spans="1:35" x14ac:dyDescent="0.25">
      <c r="A176" s="150">
        <v>171</v>
      </c>
      <c r="B176" s="10" t="s">
        <v>125</v>
      </c>
      <c r="C176">
        <v>325895058.56079102</v>
      </c>
      <c r="E176" s="10" t="s">
        <v>437</v>
      </c>
      <c r="F176" s="151">
        <f>IF(ISNUMBER(J56),J56/SUM($I$43:$AI$71),0)</f>
        <v>2.3762250644928495E-3</v>
      </c>
    </row>
    <row r="177" spans="1:6" x14ac:dyDescent="0.25">
      <c r="A177" s="150">
        <v>172</v>
      </c>
      <c r="B177" s="10" t="s">
        <v>126</v>
      </c>
      <c r="C177">
        <v>262136658.56589499</v>
      </c>
      <c r="E177" s="10" t="s">
        <v>438</v>
      </c>
      <c r="F177" s="151">
        <f>IF(ISNUMBER(K56),K56/SUM($I$43:$AI$71),0)</f>
        <v>3.3152251560820108E-3</v>
      </c>
    </row>
    <row r="178" spans="1:6" x14ac:dyDescent="0.25">
      <c r="A178" s="150">
        <v>173</v>
      </c>
      <c r="B178" s="10" t="s">
        <v>127</v>
      </c>
      <c r="C178">
        <v>731493083.456146</v>
      </c>
      <c r="E178" s="10" t="s">
        <v>439</v>
      </c>
      <c r="F178" s="151">
        <f>IF(ISNUMBER(L56),L56/SUM($I$43:$AI$71),0)</f>
        <v>2.9554413245737286E-3</v>
      </c>
    </row>
    <row r="179" spans="1:6" x14ac:dyDescent="0.25">
      <c r="A179" s="150">
        <v>174</v>
      </c>
      <c r="B179" s="10" t="s">
        <v>128</v>
      </c>
      <c r="C179">
        <v>701169084.87429798</v>
      </c>
      <c r="E179" s="10" t="s">
        <v>440</v>
      </c>
      <c r="F179" s="151">
        <f>IF(ISNUMBER(M56),M56/SUM($I$43:$AI$71),0)</f>
        <v>1.4345489557146078E-3</v>
      </c>
    </row>
    <row r="180" spans="1:6" x14ac:dyDescent="0.25">
      <c r="A180" s="150">
        <v>175</v>
      </c>
      <c r="B180" s="10" t="s">
        <v>129</v>
      </c>
      <c r="C180">
        <v>756931882.55755603</v>
      </c>
      <c r="E180" s="10" t="s">
        <v>441</v>
      </c>
      <c r="F180" s="151">
        <f>IF(ISNUMBER(N56),N56/SUM($I$43:$AI$71),0)</f>
        <v>3.8749918680089558E-4</v>
      </c>
    </row>
    <row r="181" spans="1:6" x14ac:dyDescent="0.25">
      <c r="A181" s="150">
        <v>176</v>
      </c>
      <c r="B181" s="10" t="s">
        <v>130</v>
      </c>
      <c r="C181">
        <v>673117094.98980701</v>
      </c>
      <c r="E181" s="10" t="s">
        <v>442</v>
      </c>
      <c r="F181" s="151">
        <f>IF(ISNUMBER(O56),O56/SUM($I$43:$AI$71),0)</f>
        <v>4.0816110907181087E-5</v>
      </c>
    </row>
    <row r="182" spans="1:6" x14ac:dyDescent="0.25">
      <c r="A182" s="150">
        <v>177</v>
      </c>
      <c r="B182" s="10" t="s">
        <v>131</v>
      </c>
      <c r="C182">
        <v>489309478.12992901</v>
      </c>
      <c r="E182" s="10" t="s">
        <v>443</v>
      </c>
      <c r="F182" s="151">
        <f>IF(ISNUMBER(P56),P56/SUM($I$43:$AI$71),0)</f>
        <v>0</v>
      </c>
    </row>
    <row r="183" spans="1:6" x14ac:dyDescent="0.25">
      <c r="A183" s="150">
        <v>178</v>
      </c>
      <c r="B183" s="10" t="s">
        <v>132</v>
      </c>
      <c r="C183">
        <v>383270034.72728002</v>
      </c>
      <c r="E183" s="10" t="s">
        <v>444</v>
      </c>
      <c r="F183" s="151">
        <f>IF(ISNUMBER(Q56),Q56/SUM($I$43:$AI$71),0)</f>
        <v>0</v>
      </c>
    </row>
    <row r="184" spans="1:6" x14ac:dyDescent="0.25">
      <c r="A184" s="150">
        <v>179</v>
      </c>
      <c r="B184" s="10" t="s">
        <v>133</v>
      </c>
      <c r="C184">
        <v>277642723.54865998</v>
      </c>
      <c r="E184" s="10" t="s">
        <v>445</v>
      </c>
      <c r="F184" s="151">
        <f>IF(ISNUMBER(R56),R56/SUM($I$43:$AI$71),0)</f>
        <v>0</v>
      </c>
    </row>
    <row r="185" spans="1:6" x14ac:dyDescent="0.25">
      <c r="A185" s="150">
        <v>180</v>
      </c>
      <c r="B185" s="10" t="s">
        <v>134</v>
      </c>
      <c r="C185">
        <v>229533965.27555799</v>
      </c>
      <c r="E185" s="10" t="s">
        <v>446</v>
      </c>
      <c r="F185" s="151">
        <f>IF(ISNUMBER(S56),S56/SUM($I$43:$AI$71),0)</f>
        <v>0</v>
      </c>
    </row>
    <row r="186" spans="1:6" x14ac:dyDescent="0.25">
      <c r="A186" s="150">
        <v>181</v>
      </c>
      <c r="B186" s="10" t="s">
        <v>135</v>
      </c>
      <c r="C186">
        <v>134951379.37747201</v>
      </c>
      <c r="E186" s="10" t="s">
        <v>526</v>
      </c>
      <c r="F186" s="151">
        <f>IF(ISNUMBER(T56),T56/SUM($I$43:$AI$71),0)</f>
        <v>6.153799461948995E-5</v>
      </c>
    </row>
    <row r="187" spans="1:6" x14ac:dyDescent="0.25">
      <c r="A187" s="150">
        <v>182</v>
      </c>
      <c r="B187" s="10" t="s">
        <v>136</v>
      </c>
      <c r="C187">
        <v>131719832.33662</v>
      </c>
      <c r="E187" s="10" t="s">
        <v>527</v>
      </c>
      <c r="F187" s="151">
        <f>IF(ISNUMBER(U56),U56/SUM($I$43:$AI$71),0)</f>
        <v>6.3373190949174202E-4</v>
      </c>
    </row>
    <row r="188" spans="1:6" x14ac:dyDescent="0.25">
      <c r="A188" s="150">
        <v>183</v>
      </c>
      <c r="B188" s="10" t="s">
        <v>137</v>
      </c>
      <c r="C188">
        <v>46448142.017025001</v>
      </c>
      <c r="E188" s="10" t="s">
        <v>1063</v>
      </c>
      <c r="F188" s="151">
        <f>IF(ISNUMBER(V56),V56/SUM($I$43:$AI$71),0)</f>
        <v>2.0642763932777817E-3</v>
      </c>
    </row>
    <row r="189" spans="1:6" x14ac:dyDescent="0.25">
      <c r="A189" s="150">
        <v>184</v>
      </c>
      <c r="B189" s="10" t="s">
        <v>138</v>
      </c>
      <c r="C189">
        <v>42959546.720682099</v>
      </c>
      <c r="E189" s="10" t="s">
        <v>1064</v>
      </c>
      <c r="F189" s="151">
        <f>IF(ISNUMBER(W56),W56/SUM($I$43:$AI$71),0)</f>
        <v>3.2805522935553007E-3</v>
      </c>
    </row>
    <row r="190" spans="1:6" x14ac:dyDescent="0.25">
      <c r="A190" s="150">
        <v>185</v>
      </c>
      <c r="B190" s="10" t="s">
        <v>139</v>
      </c>
      <c r="C190">
        <v>8051084.0239863396</v>
      </c>
      <c r="E190" s="10" t="s">
        <v>1585</v>
      </c>
      <c r="F190" s="151">
        <f>IF(ISNUMBER(X56),X56/SUM($I$43:$AI$71),0)</f>
        <v>2.8086688957201463E-3</v>
      </c>
    </row>
    <row r="191" spans="1:6" x14ac:dyDescent="0.25">
      <c r="A191" s="150">
        <v>186</v>
      </c>
      <c r="B191" s="10" t="s">
        <v>140</v>
      </c>
      <c r="C191">
        <v>7130673.1695547104</v>
      </c>
      <c r="E191" s="10" t="s">
        <v>1586</v>
      </c>
      <c r="F191" s="151">
        <f>IF(ISNUMBER(Y56),Y56/SUM($I$43:$AI$71),0)</f>
        <v>1.2719655262488016E-3</v>
      </c>
    </row>
    <row r="192" spans="1:6" x14ac:dyDescent="0.25">
      <c r="A192" s="150">
        <v>187</v>
      </c>
      <c r="B192" s="10" t="s">
        <v>701</v>
      </c>
      <c r="C192">
        <v>2298361.8692969098</v>
      </c>
      <c r="E192" s="10" t="s">
        <v>1587</v>
      </c>
      <c r="F192" s="151">
        <f>IF(ISNUMBER(Z56),Z56/SUM($I$43:$AI$71),0)</f>
        <v>3.0894143272954065E-4</v>
      </c>
    </row>
    <row r="193" spans="1:6" x14ac:dyDescent="0.25">
      <c r="A193" s="150">
        <v>188</v>
      </c>
      <c r="B193" s="10" t="s">
        <v>702</v>
      </c>
      <c r="C193">
        <v>2042041.90936124</v>
      </c>
      <c r="E193" s="10" t="s">
        <v>1588</v>
      </c>
      <c r="F193" s="151">
        <f>IF(ISNUMBER(AA56),AA56/SUM($I$43:$AI$71),0)</f>
        <v>0</v>
      </c>
    </row>
    <row r="194" spans="1:6" x14ac:dyDescent="0.25">
      <c r="A194" s="150">
        <v>189</v>
      </c>
      <c r="B194" s="10" t="s">
        <v>703</v>
      </c>
      <c r="C194">
        <v>3557649.2082077302</v>
      </c>
      <c r="E194" s="10" t="s">
        <v>1589</v>
      </c>
      <c r="F194" s="151">
        <f>IF(ISNUMBER(AB56),AB56/SUM($I$43:$AI$71),0)</f>
        <v>0</v>
      </c>
    </row>
    <row r="195" spans="1:6" x14ac:dyDescent="0.25">
      <c r="A195" s="150">
        <v>190</v>
      </c>
      <c r="B195" s="10" t="s">
        <v>704</v>
      </c>
      <c r="C195">
        <v>3222049.4462666502</v>
      </c>
      <c r="E195" s="10" t="s">
        <v>528</v>
      </c>
      <c r="F195" s="151">
        <f>IF(ISNUMBER(I57),I57/SUM($I$43:$AI$71),0)</f>
        <v>9.9287896269856647E-4</v>
      </c>
    </row>
    <row r="196" spans="1:6" x14ac:dyDescent="0.25">
      <c r="A196" s="150">
        <v>191</v>
      </c>
      <c r="B196" s="10" t="s">
        <v>705</v>
      </c>
      <c r="C196">
        <v>2441140.8161171698</v>
      </c>
      <c r="E196" s="10" t="s">
        <v>447</v>
      </c>
      <c r="F196" s="151">
        <f>IF(ISNUMBER(J57),J57/SUM($I$43:$AI$71),0)</f>
        <v>3.9096309283726833E-3</v>
      </c>
    </row>
    <row r="197" spans="1:6" x14ac:dyDescent="0.25">
      <c r="A197" s="150">
        <v>192</v>
      </c>
      <c r="B197" s="10" t="s">
        <v>706</v>
      </c>
      <c r="C197">
        <v>2136799.5242729201</v>
      </c>
      <c r="E197" s="10" t="s">
        <v>448</v>
      </c>
      <c r="F197" s="151">
        <f>IF(ISNUMBER(K57),K57/SUM($I$43:$AI$71),0)</f>
        <v>6.4050281664640076E-3</v>
      </c>
    </row>
    <row r="198" spans="1:6" x14ac:dyDescent="0.25">
      <c r="A198" s="150">
        <v>193</v>
      </c>
      <c r="B198" s="10" t="s">
        <v>707</v>
      </c>
      <c r="C198">
        <v>417585.26332421601</v>
      </c>
      <c r="E198" s="10" t="s">
        <v>449</v>
      </c>
      <c r="F198" s="151">
        <f>IF(ISNUMBER(L57),L57/SUM($I$43:$AI$71),0)</f>
        <v>6.5875202821636843E-3</v>
      </c>
    </row>
    <row r="199" spans="1:6" x14ac:dyDescent="0.25">
      <c r="A199" s="150">
        <v>194</v>
      </c>
      <c r="B199" s="10" t="s">
        <v>708</v>
      </c>
      <c r="C199">
        <v>153828.83318335601</v>
      </c>
      <c r="E199" s="10" t="s">
        <v>450</v>
      </c>
      <c r="F199" s="151">
        <f>IF(ISNUMBER(M57),M57/SUM($I$43:$AI$71),0)</f>
        <v>3.6224836282131123E-3</v>
      </c>
    </row>
    <row r="200" spans="1:6" x14ac:dyDescent="0.25">
      <c r="A200" s="150">
        <v>195</v>
      </c>
      <c r="B200" s="10" t="s">
        <v>1019</v>
      </c>
      <c r="C200">
        <v>74665.6308320276</v>
      </c>
      <c r="E200" s="10" t="s">
        <v>451</v>
      </c>
      <c r="F200" s="151">
        <f>IF(ISNUMBER(N57),N57/SUM($I$43:$AI$71),0)</f>
        <v>1.1214857787915876E-3</v>
      </c>
    </row>
    <row r="201" spans="1:6" x14ac:dyDescent="0.25">
      <c r="A201" s="150">
        <v>196</v>
      </c>
      <c r="B201" s="10" t="s">
        <v>1020</v>
      </c>
      <c r="C201">
        <v>64482.077631350599</v>
      </c>
      <c r="E201" s="10" t="s">
        <v>452</v>
      </c>
      <c r="F201" s="151">
        <f>IF(ISNUMBER(O57),O57/SUM($I$43:$AI$71),0)</f>
        <v>2.1131985068429356E-4</v>
      </c>
    </row>
    <row r="202" spans="1:6" x14ac:dyDescent="0.25">
      <c r="A202" s="150">
        <v>197</v>
      </c>
      <c r="B202" s="10" t="s">
        <v>1121</v>
      </c>
      <c r="C202">
        <v>0</v>
      </c>
      <c r="E202" s="10" t="s">
        <v>453</v>
      </c>
      <c r="F202" s="151">
        <f>IF(ISNUMBER(P57),P57/SUM($I$43:$AI$71),0)</f>
        <v>0</v>
      </c>
    </row>
    <row r="203" spans="1:6" x14ac:dyDescent="0.25">
      <c r="A203" s="150">
        <v>198</v>
      </c>
      <c r="B203" s="10" t="s">
        <v>1122</v>
      </c>
      <c r="C203">
        <v>6484.4556684568497</v>
      </c>
      <c r="E203" s="10" t="s">
        <v>454</v>
      </c>
      <c r="F203" s="151">
        <f>IF(ISNUMBER(Q57),Q57/SUM($I$43:$AI$71),0)</f>
        <v>0</v>
      </c>
    </row>
    <row r="204" spans="1:6" x14ac:dyDescent="0.25">
      <c r="A204" s="150">
        <v>199</v>
      </c>
      <c r="B204" s="10" t="s">
        <v>709</v>
      </c>
      <c r="C204">
        <v>10319834.972183701</v>
      </c>
      <c r="E204" s="10" t="s">
        <v>455</v>
      </c>
      <c r="F204" s="151">
        <f>IF(ISNUMBER(R57),R57/SUM($I$43:$AI$71),0)</f>
        <v>0</v>
      </c>
    </row>
    <row r="205" spans="1:6" x14ac:dyDescent="0.25">
      <c r="A205" s="150">
        <v>200</v>
      </c>
      <c r="B205" s="10" t="s">
        <v>710</v>
      </c>
      <c r="C205">
        <v>5393274.2883124398</v>
      </c>
      <c r="E205" s="10" t="s">
        <v>456</v>
      </c>
      <c r="F205" s="151">
        <f>IF(ISNUMBER(S57),S57/SUM($I$43:$AI$71),0)</f>
        <v>0</v>
      </c>
    </row>
    <row r="206" spans="1:6" x14ac:dyDescent="0.25">
      <c r="A206" s="150">
        <v>201</v>
      </c>
      <c r="B206" s="10" t="s">
        <v>141</v>
      </c>
      <c r="C206">
        <v>143188065.58215699</v>
      </c>
      <c r="E206" s="10" t="s">
        <v>457</v>
      </c>
      <c r="F206" s="151">
        <f>IF(ISNUMBER(T57),T57/SUM($I$43:$AI$71),0)</f>
        <v>0</v>
      </c>
    </row>
    <row r="207" spans="1:6" x14ac:dyDescent="0.25">
      <c r="A207" s="150">
        <v>202</v>
      </c>
      <c r="B207" s="10" t="s">
        <v>142</v>
      </c>
      <c r="C207">
        <v>117004055.52512001</v>
      </c>
      <c r="E207" s="10" t="s">
        <v>529</v>
      </c>
      <c r="F207" s="151">
        <f>IF(ISNUMBER(U57),U57/SUM($I$43:$AI$71),0)</f>
        <v>2.2598723104078289E-4</v>
      </c>
    </row>
    <row r="208" spans="1:6" x14ac:dyDescent="0.25">
      <c r="A208" s="150">
        <v>203</v>
      </c>
      <c r="B208" s="10" t="s">
        <v>143</v>
      </c>
      <c r="C208">
        <v>389866880.93684399</v>
      </c>
      <c r="E208" s="10" t="s">
        <v>1065</v>
      </c>
      <c r="F208" s="151">
        <f>IF(ISNUMBER(V57),V57/SUM($I$43:$AI$71),0)</f>
        <v>1.3717090247462602E-3</v>
      </c>
    </row>
    <row r="209" spans="1:6" x14ac:dyDescent="0.25">
      <c r="A209" s="150">
        <v>204</v>
      </c>
      <c r="B209" s="10" t="s">
        <v>144</v>
      </c>
      <c r="C209">
        <v>372230776.26541102</v>
      </c>
      <c r="E209" s="10" t="s">
        <v>1066</v>
      </c>
      <c r="F209" s="151">
        <f>IF(ISNUMBER(W57),W57/SUM($I$43:$AI$71),0)</f>
        <v>3.6617874235430059E-3</v>
      </c>
    </row>
    <row r="210" spans="1:6" x14ac:dyDescent="0.25">
      <c r="A210" s="150">
        <v>205</v>
      </c>
      <c r="B210" s="10" t="s">
        <v>145</v>
      </c>
      <c r="C210">
        <v>540257828.15043604</v>
      </c>
      <c r="E210" s="10" t="s">
        <v>1590</v>
      </c>
      <c r="F210" s="151">
        <f>IF(ISNUMBER(X57),X57/SUM($I$43:$AI$71),0)</f>
        <v>5.0678701363883394E-3</v>
      </c>
    </row>
    <row r="211" spans="1:6" x14ac:dyDescent="0.25">
      <c r="A211" s="150">
        <v>206</v>
      </c>
      <c r="B211" s="10" t="s">
        <v>146</v>
      </c>
      <c r="C211">
        <v>474814088.625916</v>
      </c>
      <c r="E211" s="10" t="s">
        <v>1591</v>
      </c>
      <c r="F211" s="151">
        <f>IF(ISNUMBER(Y57),Y57/SUM($I$43:$AI$71),0)</f>
        <v>3.8070210254248457E-3</v>
      </c>
    </row>
    <row r="212" spans="1:6" x14ac:dyDescent="0.25">
      <c r="A212" s="150">
        <v>207</v>
      </c>
      <c r="B212" s="10" t="s">
        <v>147</v>
      </c>
      <c r="C212">
        <v>445846054.11425799</v>
      </c>
      <c r="E212" s="10" t="s">
        <v>1592</v>
      </c>
      <c r="F212" s="151">
        <f>IF(ISNUMBER(Z57),Z57/SUM($I$43:$AI$71),0)</f>
        <v>1.7319829975247639E-3</v>
      </c>
    </row>
    <row r="213" spans="1:6" x14ac:dyDescent="0.25">
      <c r="A213" s="150">
        <v>208</v>
      </c>
      <c r="B213" s="10" t="s">
        <v>148</v>
      </c>
      <c r="C213">
        <v>352205830.41546601</v>
      </c>
      <c r="E213" s="10" t="s">
        <v>1593</v>
      </c>
      <c r="F213" s="151">
        <f>IF(ISNUMBER(AA57),AA57/SUM($I$43:$AI$71),0)</f>
        <v>4.3061688185572536E-4</v>
      </c>
    </row>
    <row r="214" spans="1:6" x14ac:dyDescent="0.25">
      <c r="A214" s="150">
        <v>209</v>
      </c>
      <c r="B214" s="10" t="s">
        <v>149</v>
      </c>
      <c r="C214">
        <v>256048263.60462201</v>
      </c>
      <c r="E214" s="10" t="s">
        <v>1594</v>
      </c>
      <c r="F214" s="151">
        <f>IF(ISNUMBER(AB57),AB57/SUM($I$43:$AI$71),0)</f>
        <v>0</v>
      </c>
    </row>
    <row r="215" spans="1:6" x14ac:dyDescent="0.25">
      <c r="A215" s="150">
        <v>210</v>
      </c>
      <c r="B215" s="10" t="s">
        <v>150</v>
      </c>
      <c r="C215">
        <v>219631351.832436</v>
      </c>
      <c r="E215" s="10" t="s">
        <v>1595</v>
      </c>
      <c r="F215" s="151">
        <f>IF(ISNUMBER(AC57),AC57/SUM($I$43:$AI$71),0)</f>
        <v>0</v>
      </c>
    </row>
    <row r="216" spans="1:6" x14ac:dyDescent="0.25">
      <c r="A216" s="150">
        <v>211</v>
      </c>
      <c r="B216" s="10" t="s">
        <v>151</v>
      </c>
      <c r="C216">
        <v>131022942.830685</v>
      </c>
      <c r="E216" s="10" t="s">
        <v>530</v>
      </c>
      <c r="F216" s="151">
        <f>IF(ISNUMBER(I58),I58/SUM($I$43:$AI$71),0)</f>
        <v>8.5398839435522087E-4</v>
      </c>
    </row>
    <row r="217" spans="1:6" x14ac:dyDescent="0.25">
      <c r="A217" s="150">
        <v>212</v>
      </c>
      <c r="B217" s="10" t="s">
        <v>152</v>
      </c>
      <c r="C217">
        <v>127568462.87142199</v>
      </c>
      <c r="E217" s="10" t="s">
        <v>458</v>
      </c>
      <c r="F217" s="151">
        <f>IF(ISNUMBER(J58),J58/SUM($I$43:$AI$71),0)</f>
        <v>4.0851790863982241E-3</v>
      </c>
    </row>
    <row r="218" spans="1:6" x14ac:dyDescent="0.25">
      <c r="A218" s="150">
        <v>213</v>
      </c>
      <c r="B218" s="10" t="s">
        <v>153</v>
      </c>
      <c r="C218">
        <v>55616280.8787136</v>
      </c>
      <c r="E218" s="10" t="s">
        <v>459</v>
      </c>
      <c r="F218" s="151">
        <f>IF(ISNUMBER(K58),K58/SUM($I$43:$AI$71),0)</f>
        <v>8.2877741414770396E-3</v>
      </c>
    </row>
    <row r="219" spans="1:6" x14ac:dyDescent="0.25">
      <c r="A219" s="150">
        <v>214</v>
      </c>
      <c r="B219" s="10" t="s">
        <v>154</v>
      </c>
      <c r="C219">
        <v>52697931.538703904</v>
      </c>
      <c r="E219" s="10" t="s">
        <v>460</v>
      </c>
      <c r="F219" s="151">
        <f>IF(ISNUMBER(L58),L58/SUM($I$43:$AI$71),0)</f>
        <v>9.6555820781604983E-3</v>
      </c>
    </row>
    <row r="220" spans="1:6" x14ac:dyDescent="0.25">
      <c r="A220" s="150">
        <v>215</v>
      </c>
      <c r="B220" s="10" t="s">
        <v>155</v>
      </c>
      <c r="C220">
        <v>14724119.215513701</v>
      </c>
      <c r="E220" s="10" t="s">
        <v>461</v>
      </c>
      <c r="F220" s="151">
        <f>IF(ISNUMBER(M58),M58/SUM($I$43:$AI$71),0)</f>
        <v>5.9737960861830338E-3</v>
      </c>
    </row>
    <row r="221" spans="1:6" x14ac:dyDescent="0.25">
      <c r="A221" s="150">
        <v>216</v>
      </c>
      <c r="B221" s="10" t="s">
        <v>156</v>
      </c>
      <c r="C221">
        <v>12702855.045070199</v>
      </c>
      <c r="E221" s="10" t="s">
        <v>462</v>
      </c>
      <c r="F221" s="151">
        <f>IF(ISNUMBER(N58),N58/SUM($I$43:$AI$71),0)</f>
        <v>2.1346058927348538E-3</v>
      </c>
    </row>
    <row r="222" spans="1:6" x14ac:dyDescent="0.25">
      <c r="A222" s="150">
        <v>217</v>
      </c>
      <c r="B222" s="10" t="s">
        <v>157</v>
      </c>
      <c r="C222">
        <v>1638539.78391993</v>
      </c>
      <c r="E222" s="10" t="s">
        <v>463</v>
      </c>
      <c r="F222" s="151">
        <f>IF(ISNUMBER(O58),O58/SUM($I$43:$AI$71),0)</f>
        <v>4.9781768893358727E-4</v>
      </c>
    </row>
    <row r="223" spans="1:6" x14ac:dyDescent="0.25">
      <c r="A223" s="150">
        <v>218</v>
      </c>
      <c r="B223" s="10" t="s">
        <v>158</v>
      </c>
      <c r="C223">
        <v>1104336.2798593601</v>
      </c>
      <c r="E223" s="10" t="s">
        <v>464</v>
      </c>
      <c r="F223" s="151">
        <f>IF(ISNUMBER(P58),P58/SUM($I$43:$AI$71),0)</f>
        <v>5.9040762109298057E-5</v>
      </c>
    </row>
    <row r="224" spans="1:6" x14ac:dyDescent="0.25">
      <c r="A224" s="150">
        <v>219</v>
      </c>
      <c r="B224" s="10" t="s">
        <v>711</v>
      </c>
      <c r="C224">
        <v>318188.61147657002</v>
      </c>
      <c r="E224" s="10" t="s">
        <v>465</v>
      </c>
      <c r="F224" s="151">
        <f>IF(ISNUMBER(Q58),Q58/SUM($I$43:$AI$71),0)</f>
        <v>0</v>
      </c>
    </row>
    <row r="225" spans="1:6" x14ac:dyDescent="0.25">
      <c r="A225" s="150">
        <v>220</v>
      </c>
      <c r="B225" s="10" t="s">
        <v>712</v>
      </c>
      <c r="C225">
        <v>67246.246690433501</v>
      </c>
      <c r="E225" s="10" t="s">
        <v>466</v>
      </c>
      <c r="F225" s="151">
        <f>IF(ISNUMBER(R58),R58/SUM($I$43:$AI$71),0)</f>
        <v>0</v>
      </c>
    </row>
    <row r="226" spans="1:6" x14ac:dyDescent="0.25">
      <c r="A226" s="150">
        <v>221</v>
      </c>
      <c r="B226" s="10" t="s">
        <v>713</v>
      </c>
      <c r="C226">
        <v>203043.478957035</v>
      </c>
      <c r="E226" s="10" t="s">
        <v>467</v>
      </c>
      <c r="F226" s="151">
        <f>IF(ISNUMBER(S58),S58/SUM($I$43:$AI$71),0)</f>
        <v>0</v>
      </c>
    </row>
    <row r="227" spans="1:6" x14ac:dyDescent="0.25">
      <c r="A227" s="150">
        <v>222</v>
      </c>
      <c r="B227" s="10" t="s">
        <v>714</v>
      </c>
      <c r="C227">
        <v>235373.26600390699</v>
      </c>
      <c r="E227" s="10" t="s">
        <v>531</v>
      </c>
      <c r="F227" s="151">
        <f>IF(ISNUMBER(T58),T58/SUM($I$43:$AI$71),0)</f>
        <v>0</v>
      </c>
    </row>
    <row r="228" spans="1:6" x14ac:dyDescent="0.25">
      <c r="A228" s="150">
        <v>223</v>
      </c>
      <c r="B228" s="10" t="s">
        <v>715</v>
      </c>
      <c r="C228">
        <v>156056.50742577799</v>
      </c>
      <c r="E228" s="10" t="s">
        <v>532</v>
      </c>
      <c r="F228" s="151">
        <f>IF(ISNUMBER(U58),U58/SUM($I$43:$AI$71),0)</f>
        <v>0</v>
      </c>
    </row>
    <row r="229" spans="1:6" x14ac:dyDescent="0.25">
      <c r="A229" s="150">
        <v>224</v>
      </c>
      <c r="B229" s="10" t="s">
        <v>716</v>
      </c>
      <c r="C229">
        <v>49295.712304688997</v>
      </c>
      <c r="E229" s="10" t="s">
        <v>1067</v>
      </c>
      <c r="F229" s="151">
        <f>IF(ISNUMBER(V58),V58/SUM($I$43:$AI$71),0)</f>
        <v>5.3291302179768029E-4</v>
      </c>
    </row>
    <row r="230" spans="1:6" x14ac:dyDescent="0.25">
      <c r="A230" s="150">
        <v>225</v>
      </c>
      <c r="B230" s="10" t="s">
        <v>1021</v>
      </c>
      <c r="C230">
        <v>4134.7285070801199</v>
      </c>
      <c r="E230" s="10" t="s">
        <v>1596</v>
      </c>
      <c r="F230" s="151">
        <f>IF(ISNUMBER(W58),W58/SUM($I$43:$AI$71),0)</f>
        <v>2.3458943091103782E-3</v>
      </c>
    </row>
    <row r="231" spans="1:6" x14ac:dyDescent="0.25">
      <c r="A231" s="150">
        <v>226</v>
      </c>
      <c r="B231" s="10" t="s">
        <v>1022</v>
      </c>
      <c r="C231">
        <v>3743.5732946773101</v>
      </c>
      <c r="E231" s="10" t="s">
        <v>1597</v>
      </c>
      <c r="F231" s="151">
        <f>IF(ISNUMBER(X58),X58/SUM($I$43:$AI$71),0)</f>
        <v>5.2697445121474571E-3</v>
      </c>
    </row>
    <row r="232" spans="1:6" x14ac:dyDescent="0.25">
      <c r="A232" s="150">
        <v>227</v>
      </c>
      <c r="B232" s="10" t="s">
        <v>1123</v>
      </c>
      <c r="C232">
        <v>0</v>
      </c>
      <c r="E232" s="10" t="s">
        <v>1598</v>
      </c>
      <c r="F232" s="151">
        <f>IF(ISNUMBER(Y58),Y58/SUM($I$43:$AI$71),0)</f>
        <v>6.393117832373757E-3</v>
      </c>
    </row>
    <row r="233" spans="1:6" x14ac:dyDescent="0.25">
      <c r="A233" s="150">
        <v>228</v>
      </c>
      <c r="B233" s="10" t="s">
        <v>1124</v>
      </c>
      <c r="C233">
        <v>0</v>
      </c>
      <c r="E233" s="10" t="s">
        <v>1599</v>
      </c>
      <c r="F233" s="151">
        <f>IF(ISNUMBER(Z58),Z58/SUM($I$43:$AI$71),0)</f>
        <v>4.7350020659373505E-3</v>
      </c>
    </row>
    <row r="234" spans="1:6" x14ac:dyDescent="0.25">
      <c r="A234" s="150">
        <v>229</v>
      </c>
      <c r="B234" s="10" t="s">
        <v>1125</v>
      </c>
      <c r="C234">
        <v>61605.5521132797</v>
      </c>
      <c r="E234" s="10" t="s">
        <v>1600</v>
      </c>
      <c r="F234" s="151">
        <f>IF(ISNUMBER(AA58),AA58/SUM($I$43:$AI$71),0)</f>
        <v>2.0879984314081455E-3</v>
      </c>
    </row>
    <row r="235" spans="1:6" x14ac:dyDescent="0.25">
      <c r="A235" s="150">
        <v>230</v>
      </c>
      <c r="B235" s="10" t="s">
        <v>1126</v>
      </c>
      <c r="C235">
        <v>50670.444316405803</v>
      </c>
      <c r="E235" s="10" t="s">
        <v>1601</v>
      </c>
      <c r="F235" s="151">
        <f>IF(ISNUMBER(AB58),AB58/SUM($I$43:$AI$71),0)</f>
        <v>5.2114132128146923E-4</v>
      </c>
    </row>
    <row r="236" spans="1:6" x14ac:dyDescent="0.25">
      <c r="A236" s="150">
        <v>231</v>
      </c>
      <c r="B236" s="10" t="s">
        <v>717</v>
      </c>
      <c r="C236">
        <v>371446.39641407097</v>
      </c>
      <c r="E236" s="10" t="s">
        <v>1602</v>
      </c>
      <c r="F236" s="151">
        <f>IF(ISNUMBER(AC58),AC58/SUM($I$43:$AI$71),0)</f>
        <v>0</v>
      </c>
    </row>
    <row r="237" spans="1:6" x14ac:dyDescent="0.25">
      <c r="A237" s="150">
        <v>232</v>
      </c>
      <c r="B237" s="10" t="s">
        <v>718</v>
      </c>
      <c r="C237">
        <v>111135.94768749901</v>
      </c>
      <c r="E237" s="10" t="s">
        <v>1603</v>
      </c>
      <c r="F237" s="151">
        <f>IF(ISNUMBER(AD58),AD58/SUM($I$43:$AI$71),0)</f>
        <v>0</v>
      </c>
    </row>
    <row r="238" spans="1:6" x14ac:dyDescent="0.25">
      <c r="A238" s="150">
        <v>233</v>
      </c>
      <c r="B238" s="10" t="s">
        <v>159</v>
      </c>
      <c r="C238">
        <v>16912827.265395202</v>
      </c>
      <c r="E238" s="10" t="s">
        <v>533</v>
      </c>
      <c r="F238" s="151">
        <f>IF(ISNUMBER(I59),I59/SUM($I$43:$AI$71),0)</f>
        <v>7.2224902401133427E-4</v>
      </c>
    </row>
    <row r="239" spans="1:6" x14ac:dyDescent="0.25">
      <c r="A239" s="150">
        <v>234</v>
      </c>
      <c r="B239" s="10" t="s">
        <v>160</v>
      </c>
      <c r="C239">
        <v>12797544.832070399</v>
      </c>
      <c r="E239" s="10" t="s">
        <v>468</v>
      </c>
      <c r="F239" s="151">
        <f>IF(ISNUMBER(J59),J59/SUM($I$43:$AI$71),0)</f>
        <v>3.3463775750322057E-3</v>
      </c>
    </row>
    <row r="240" spans="1:6" x14ac:dyDescent="0.25">
      <c r="A240" s="150">
        <v>235</v>
      </c>
      <c r="B240" s="10" t="s">
        <v>161</v>
      </c>
      <c r="C240">
        <v>54349768.6994991</v>
      </c>
      <c r="E240" s="10" t="s">
        <v>469</v>
      </c>
      <c r="F240" s="151">
        <f>IF(ISNUMBER(K59),K59/SUM($I$43:$AI$71),0)</f>
        <v>7.9527397779322086E-3</v>
      </c>
    </row>
    <row r="241" spans="1:6" x14ac:dyDescent="0.25">
      <c r="A241" s="150">
        <v>236</v>
      </c>
      <c r="B241" s="10" t="s">
        <v>162</v>
      </c>
      <c r="C241">
        <v>50387511.940475501</v>
      </c>
      <c r="E241" s="10" t="s">
        <v>470</v>
      </c>
      <c r="F241" s="151">
        <f>IF(ISNUMBER(L59),L59/SUM($I$43:$AI$71),0)</f>
        <v>1.0581504647046826E-2</v>
      </c>
    </row>
    <row r="242" spans="1:6" x14ac:dyDescent="0.25">
      <c r="A242" s="150">
        <v>237</v>
      </c>
      <c r="B242" s="10" t="s">
        <v>163</v>
      </c>
      <c r="C242">
        <v>89779594.226005599</v>
      </c>
      <c r="E242" s="10" t="s">
        <v>471</v>
      </c>
      <c r="F242" s="151">
        <f>IF(ISNUMBER(M59),M59/SUM($I$43:$AI$71),0)</f>
        <v>7.3182653525632989E-3</v>
      </c>
    </row>
    <row r="243" spans="1:6" x14ac:dyDescent="0.25">
      <c r="A243" s="150">
        <v>238</v>
      </c>
      <c r="B243" s="10" t="s">
        <v>164</v>
      </c>
      <c r="C243">
        <v>80963148.846939102</v>
      </c>
      <c r="E243" s="10" t="s">
        <v>472</v>
      </c>
      <c r="F243" s="151">
        <f>IF(ISNUMBER(N59),N59/SUM($I$43:$AI$71),0)</f>
        <v>3.0546136072572578E-3</v>
      </c>
    </row>
    <row r="244" spans="1:6" x14ac:dyDescent="0.25">
      <c r="A244" s="150">
        <v>239</v>
      </c>
      <c r="B244" s="10" t="s">
        <v>165</v>
      </c>
      <c r="C244">
        <v>87088118.081554398</v>
      </c>
      <c r="E244" s="10" t="s">
        <v>473</v>
      </c>
      <c r="F244" s="151">
        <f>IF(ISNUMBER(O59),O59/SUM($I$43:$AI$71),0)</f>
        <v>7.9768317936543644E-4</v>
      </c>
    </row>
    <row r="245" spans="1:6" x14ac:dyDescent="0.25">
      <c r="A245" s="150">
        <v>240</v>
      </c>
      <c r="B245" s="10" t="s">
        <v>166</v>
      </c>
      <c r="C245">
        <v>69325525.398765594</v>
      </c>
      <c r="E245" s="10" t="s">
        <v>474</v>
      </c>
      <c r="F245" s="151">
        <f>IF(ISNUMBER(P59),P59/SUM($I$43:$AI$71),0)</f>
        <v>1.2018223436599996E-4</v>
      </c>
    </row>
    <row r="246" spans="1:6" x14ac:dyDescent="0.25">
      <c r="A246" s="150">
        <v>241</v>
      </c>
      <c r="B246" s="10" t="s">
        <v>167</v>
      </c>
      <c r="C246">
        <v>50543032.6555214</v>
      </c>
      <c r="E246" s="10" t="s">
        <v>475</v>
      </c>
      <c r="F246" s="151">
        <f>IF(ISNUMBER(Q59),Q59/SUM($I$43:$AI$71),0)</f>
        <v>0</v>
      </c>
    </row>
    <row r="247" spans="1:6" x14ac:dyDescent="0.25">
      <c r="A247" s="150">
        <v>242</v>
      </c>
      <c r="B247" s="10" t="s">
        <v>168</v>
      </c>
      <c r="C247">
        <v>44101453.997613899</v>
      </c>
      <c r="E247" s="10" t="s">
        <v>476</v>
      </c>
      <c r="F247" s="151">
        <f>IF(ISNUMBER(R59),R59/SUM($I$43:$AI$71),0)</f>
        <v>0</v>
      </c>
    </row>
    <row r="248" spans="1:6" x14ac:dyDescent="0.25">
      <c r="A248" s="150">
        <v>243</v>
      </c>
      <c r="B248" s="10" t="s">
        <v>169</v>
      </c>
      <c r="C248">
        <v>24142449.072519299</v>
      </c>
      <c r="E248" s="10" t="s">
        <v>477</v>
      </c>
      <c r="F248" s="151">
        <f>IF(ISNUMBER(S59),S59/SUM($I$43:$AI$71),0)</f>
        <v>0</v>
      </c>
    </row>
    <row r="249" spans="1:6" x14ac:dyDescent="0.25">
      <c r="A249" s="150">
        <v>244</v>
      </c>
      <c r="B249" s="10" t="s">
        <v>170</v>
      </c>
      <c r="C249">
        <v>23809042.732488599</v>
      </c>
      <c r="E249" s="10" t="s">
        <v>534</v>
      </c>
      <c r="F249" s="151">
        <f>IF(ISNUMBER(T59),T59/SUM($I$43:$AI$71),0)</f>
        <v>0</v>
      </c>
    </row>
    <row r="250" spans="1:6" x14ac:dyDescent="0.25">
      <c r="A250" s="150">
        <v>245</v>
      </c>
      <c r="B250" s="10" t="s">
        <v>171</v>
      </c>
      <c r="C250">
        <v>11582787.727064099</v>
      </c>
      <c r="E250" s="10" t="s">
        <v>535</v>
      </c>
      <c r="F250" s="151">
        <f>IF(ISNUMBER(U59),U59/SUM($I$43:$AI$71),0)</f>
        <v>0</v>
      </c>
    </row>
    <row r="251" spans="1:6" x14ac:dyDescent="0.25">
      <c r="A251" s="150">
        <v>246</v>
      </c>
      <c r="B251" s="10" t="s">
        <v>172</v>
      </c>
      <c r="C251">
        <v>10086477.3983359</v>
      </c>
      <c r="E251" s="10" t="s">
        <v>1068</v>
      </c>
      <c r="F251" s="151">
        <f>IF(ISNUMBER(V59),V59/SUM($I$43:$AI$71),0)</f>
        <v>0</v>
      </c>
    </row>
    <row r="252" spans="1:6" x14ac:dyDescent="0.25">
      <c r="A252" s="150">
        <v>247</v>
      </c>
      <c r="B252" s="10" t="s">
        <v>173</v>
      </c>
      <c r="C252">
        <v>2933721.4901660699</v>
      </c>
      <c r="E252" s="10" t="s">
        <v>1604</v>
      </c>
      <c r="F252" s="151">
        <f>IF(ISNUMBER(W59),W59/SUM($I$43:$AI$71),0)</f>
        <v>8.7321353367724982E-4</v>
      </c>
    </row>
    <row r="253" spans="1:6" x14ac:dyDescent="0.25">
      <c r="A253" s="150">
        <v>248</v>
      </c>
      <c r="B253" s="10" t="s">
        <v>174</v>
      </c>
      <c r="C253">
        <v>2418532.7934805201</v>
      </c>
      <c r="E253" s="10" t="s">
        <v>1605</v>
      </c>
      <c r="F253" s="151">
        <f>IF(ISNUMBER(X59),X59/SUM($I$43:$AI$71),0)</f>
        <v>3.1073653411371085E-3</v>
      </c>
    </row>
    <row r="254" spans="1:6" x14ac:dyDescent="0.25">
      <c r="A254" s="150">
        <v>249</v>
      </c>
      <c r="B254" s="10" t="s">
        <v>175</v>
      </c>
      <c r="C254">
        <v>731506.19380858506</v>
      </c>
      <c r="E254" s="10" t="s">
        <v>1606</v>
      </c>
      <c r="F254" s="151">
        <f>IF(ISNUMBER(Y59),Y59/SUM($I$43:$AI$71),0)</f>
        <v>6.1237320514668176E-3</v>
      </c>
    </row>
    <row r="255" spans="1:6" x14ac:dyDescent="0.25">
      <c r="A255" s="150">
        <v>250</v>
      </c>
      <c r="B255" s="10" t="s">
        <v>176</v>
      </c>
      <c r="C255">
        <v>412764.52162694902</v>
      </c>
      <c r="E255" s="10" t="s">
        <v>1607</v>
      </c>
      <c r="F255" s="151">
        <f>IF(ISNUMBER(Z59),Z59/SUM($I$43:$AI$71),0)</f>
        <v>7.1307988705595184E-3</v>
      </c>
    </row>
    <row r="256" spans="1:6" x14ac:dyDescent="0.25">
      <c r="A256" s="150">
        <v>251</v>
      </c>
      <c r="B256" s="10" t="s">
        <v>719</v>
      </c>
      <c r="C256">
        <v>7411697.4873395003</v>
      </c>
      <c r="E256" s="10" t="s">
        <v>1608</v>
      </c>
      <c r="F256" s="151">
        <f>IF(ISNUMBER(AA59),AA59/SUM($I$43:$AI$71),0)</f>
        <v>5.1728240172930293E-3</v>
      </c>
    </row>
    <row r="257" spans="1:6" x14ac:dyDescent="0.25">
      <c r="A257" s="150">
        <v>252</v>
      </c>
      <c r="B257" s="10" t="s">
        <v>720</v>
      </c>
      <c r="C257">
        <v>6923056.2319564801</v>
      </c>
      <c r="E257" s="10" t="s">
        <v>1609</v>
      </c>
      <c r="F257" s="151">
        <f>IF(ISNUMBER(AB59),AB59/SUM($I$43:$AI$71),0)</f>
        <v>2.3006616439026758E-3</v>
      </c>
    </row>
    <row r="258" spans="1:6" x14ac:dyDescent="0.25">
      <c r="A258" s="150">
        <v>253</v>
      </c>
      <c r="B258" s="10" t="s">
        <v>721</v>
      </c>
      <c r="C258">
        <v>22332621.8392382</v>
      </c>
      <c r="E258" s="10" t="s">
        <v>1610</v>
      </c>
      <c r="F258" s="151">
        <f>IF(ISNUMBER(AC59),AC59/SUM($I$43:$AI$71),0)</f>
        <v>5.9988910764578274E-4</v>
      </c>
    </row>
    <row r="259" spans="1:6" x14ac:dyDescent="0.25">
      <c r="A259" s="150">
        <v>254</v>
      </c>
      <c r="B259" s="10" t="s">
        <v>722</v>
      </c>
      <c r="C259">
        <v>21963931.258988399</v>
      </c>
      <c r="E259" s="10" t="s">
        <v>1611</v>
      </c>
      <c r="F259" s="151">
        <f>IF(ISNUMBER(AD59),AD59/SUM($I$43:$AI$71),0)</f>
        <v>0</v>
      </c>
    </row>
    <row r="260" spans="1:6" x14ac:dyDescent="0.25">
      <c r="A260" s="150">
        <v>255</v>
      </c>
      <c r="B260" s="10" t="s">
        <v>723</v>
      </c>
      <c r="C260">
        <v>28240160.348035801</v>
      </c>
      <c r="E260" s="10" t="s">
        <v>1612</v>
      </c>
      <c r="F260" s="151">
        <f>IF(ISNUMBER(AE59),AE59/SUM($I$43:$AI$71),0)</f>
        <v>0</v>
      </c>
    </row>
    <row r="261" spans="1:6" x14ac:dyDescent="0.25">
      <c r="A261" s="150">
        <v>256</v>
      </c>
      <c r="B261" s="10" t="s">
        <v>724</v>
      </c>
      <c r="C261">
        <v>26517216.277578399</v>
      </c>
      <c r="E261" s="10" t="s">
        <v>536</v>
      </c>
      <c r="F261" s="151">
        <f>IF(ISNUMBER(I60),I60/SUM($I$43:$AI$71),0)</f>
        <v>6.0268472031401756E-4</v>
      </c>
    </row>
    <row r="262" spans="1:6" x14ac:dyDescent="0.25">
      <c r="A262" s="150">
        <v>257</v>
      </c>
      <c r="B262" s="10" t="s">
        <v>1023</v>
      </c>
      <c r="C262">
        <v>17360923.4365463</v>
      </c>
      <c r="E262" s="10" t="s">
        <v>478</v>
      </c>
      <c r="F262" s="151">
        <f>IF(ISNUMBER(J60),J60/SUM($I$43:$AI$71),0)</f>
        <v>2.7426748292139328E-3</v>
      </c>
    </row>
    <row r="263" spans="1:6" x14ac:dyDescent="0.25">
      <c r="A263" s="150">
        <v>258</v>
      </c>
      <c r="B263" s="10" t="s">
        <v>1024</v>
      </c>
      <c r="C263">
        <v>16169229.4902496</v>
      </c>
      <c r="E263" s="10" t="s">
        <v>479</v>
      </c>
      <c r="F263" s="151">
        <f>IF(ISNUMBER(K60),K60/SUM($I$43:$AI$71),0)</f>
        <v>7.0828279081945975E-3</v>
      </c>
    </row>
    <row r="264" spans="1:6" x14ac:dyDescent="0.25">
      <c r="A264" s="150">
        <v>259</v>
      </c>
      <c r="B264" s="10" t="s">
        <v>1025</v>
      </c>
      <c r="C264">
        <v>3356916.1663594199</v>
      </c>
      <c r="E264" s="10" t="s">
        <v>480</v>
      </c>
      <c r="F264" s="151">
        <f>IF(ISNUMBER(L60),L60/SUM($I$43:$AI$71),0)</f>
        <v>1.0041745992358932E-2</v>
      </c>
    </row>
    <row r="265" spans="1:6" x14ac:dyDescent="0.25">
      <c r="A265" s="150">
        <v>260</v>
      </c>
      <c r="B265" s="10" t="s">
        <v>1026</v>
      </c>
      <c r="C265">
        <v>3033222.3082578201</v>
      </c>
      <c r="E265" s="10" t="s">
        <v>481</v>
      </c>
      <c r="F265" s="151">
        <f>IF(ISNUMBER(M60),M60/SUM($I$43:$AI$71),0)</f>
        <v>7.7485326908032044E-3</v>
      </c>
    </row>
    <row r="266" spans="1:6" x14ac:dyDescent="0.25">
      <c r="A266" s="150">
        <v>261</v>
      </c>
      <c r="B266" s="10" t="s">
        <v>1127</v>
      </c>
      <c r="C266">
        <v>0</v>
      </c>
      <c r="E266" s="10" t="s">
        <v>482</v>
      </c>
      <c r="F266" s="151">
        <f>IF(ISNUMBER(N60),N60/SUM($I$43:$AI$71),0)</f>
        <v>3.6351234872034417E-3</v>
      </c>
    </row>
    <row r="267" spans="1:6" x14ac:dyDescent="0.25">
      <c r="A267" s="150">
        <v>262</v>
      </c>
      <c r="B267" s="10" t="s">
        <v>1128</v>
      </c>
      <c r="C267">
        <v>16857.2920048833</v>
      </c>
      <c r="E267" s="10" t="s">
        <v>483</v>
      </c>
      <c r="F267" s="151">
        <f>IF(ISNUMBER(O60),O60/SUM($I$43:$AI$71),0)</f>
        <v>1.1246504263756354E-3</v>
      </c>
    </row>
    <row r="268" spans="1:6" x14ac:dyDescent="0.25">
      <c r="A268" s="150">
        <v>263</v>
      </c>
      <c r="B268" s="10" t="s">
        <v>1129</v>
      </c>
      <c r="C268">
        <v>26063.5517578125</v>
      </c>
      <c r="E268" s="10" t="s">
        <v>484</v>
      </c>
      <c r="F268" s="151">
        <f>IF(ISNUMBER(P60),P60/SUM($I$43:$AI$71),0)</f>
        <v>2.294153795843909E-4</v>
      </c>
    </row>
    <row r="269" spans="1:6" x14ac:dyDescent="0.25">
      <c r="A269" s="150">
        <v>264</v>
      </c>
      <c r="B269" s="10" t="s">
        <v>1130</v>
      </c>
      <c r="C269">
        <v>0</v>
      </c>
      <c r="E269" s="10" t="s">
        <v>485</v>
      </c>
      <c r="F269" s="151">
        <f>IF(ISNUMBER(Q60),Q60/SUM($I$43:$AI$71),0)</f>
        <v>0</v>
      </c>
    </row>
    <row r="270" spans="1:6" x14ac:dyDescent="0.25">
      <c r="A270" s="150">
        <v>265</v>
      </c>
      <c r="B270" s="10" t="s">
        <v>725</v>
      </c>
      <c r="C270">
        <v>951451.93317675602</v>
      </c>
      <c r="E270" s="10" t="s">
        <v>486</v>
      </c>
      <c r="F270" s="151">
        <f>IF(ISNUMBER(R60),R60/SUM($I$43:$AI$71),0)</f>
        <v>0</v>
      </c>
    </row>
    <row r="271" spans="1:6" x14ac:dyDescent="0.25">
      <c r="A271" s="150">
        <v>266</v>
      </c>
      <c r="B271" s="10" t="s">
        <v>726</v>
      </c>
      <c r="C271">
        <v>403943.00047266501</v>
      </c>
      <c r="E271" s="10" t="s">
        <v>487</v>
      </c>
      <c r="F271" s="151">
        <f>IF(ISNUMBER(S60),S60/SUM($I$43:$AI$71),0)</f>
        <v>0</v>
      </c>
    </row>
    <row r="272" spans="1:6" x14ac:dyDescent="0.25">
      <c r="A272" s="150">
        <v>267</v>
      </c>
      <c r="B272" s="10" t="s">
        <v>177</v>
      </c>
      <c r="C272">
        <v>4648459.8201367902</v>
      </c>
      <c r="E272" s="10" t="s">
        <v>537</v>
      </c>
      <c r="F272" s="151">
        <f>IF(ISNUMBER(T60),T60/SUM($I$43:$AI$71),0)</f>
        <v>0</v>
      </c>
    </row>
    <row r="273" spans="1:6" x14ac:dyDescent="0.25">
      <c r="A273" s="150">
        <v>268</v>
      </c>
      <c r="B273" s="10" t="s">
        <v>178</v>
      </c>
      <c r="C273">
        <v>3659825.0072520999</v>
      </c>
      <c r="E273" s="10" t="s">
        <v>538</v>
      </c>
      <c r="F273" s="151">
        <f>IF(ISNUMBER(U60),U60/SUM($I$43:$AI$71),0)</f>
        <v>0</v>
      </c>
    </row>
    <row r="274" spans="1:6" x14ac:dyDescent="0.25">
      <c r="A274" s="150">
        <v>269</v>
      </c>
      <c r="B274" s="10" t="s">
        <v>179</v>
      </c>
      <c r="C274">
        <v>4176617.7452480802</v>
      </c>
      <c r="E274" s="10" t="s">
        <v>1069</v>
      </c>
      <c r="F274" s="151">
        <f>IF(ISNUMBER(V60),V60/SUM($I$43:$AI$71),0)</f>
        <v>0</v>
      </c>
    </row>
    <row r="275" spans="1:6" x14ac:dyDescent="0.25">
      <c r="A275" s="150">
        <v>270</v>
      </c>
      <c r="B275" s="10" t="s">
        <v>180</v>
      </c>
      <c r="C275">
        <v>3949626.7916426701</v>
      </c>
      <c r="E275" s="10" t="s">
        <v>1613</v>
      </c>
      <c r="F275" s="151">
        <f>IF(ISNUMBER(W60),W60/SUM($I$43:$AI$71),0)</f>
        <v>1.771989732907814E-4</v>
      </c>
    </row>
    <row r="276" spans="1:6" x14ac:dyDescent="0.25">
      <c r="A276" s="150">
        <v>271</v>
      </c>
      <c r="B276" s="10" t="s">
        <v>181</v>
      </c>
      <c r="C276">
        <v>3130007.7218681602</v>
      </c>
      <c r="E276" s="10" t="s">
        <v>1614</v>
      </c>
      <c r="F276" s="151">
        <f>IF(ISNUMBER(X60),X60/SUM($I$43:$AI$71),0)</f>
        <v>1.0837938149460978E-3</v>
      </c>
    </row>
    <row r="277" spans="1:6" x14ac:dyDescent="0.25">
      <c r="A277" s="150">
        <v>272</v>
      </c>
      <c r="B277" s="10" t="s">
        <v>182</v>
      </c>
      <c r="C277">
        <v>3563121.9670456601</v>
      </c>
      <c r="E277" s="10" t="s">
        <v>1615</v>
      </c>
      <c r="F277" s="151">
        <f>IF(ISNUMBER(Y60),Y60/SUM($I$43:$AI$71),0)</f>
        <v>3.3250219837702936E-3</v>
      </c>
    </row>
    <row r="278" spans="1:6" x14ac:dyDescent="0.25">
      <c r="A278" s="150">
        <v>273</v>
      </c>
      <c r="B278" s="10" t="s">
        <v>183</v>
      </c>
      <c r="C278">
        <v>929131.17637890601</v>
      </c>
      <c r="E278" s="10" t="s">
        <v>1616</v>
      </c>
      <c r="F278" s="151">
        <f>IF(ISNUMBER(Z60),Z60/SUM($I$43:$AI$71),0)</f>
        <v>6.0954121895609205E-3</v>
      </c>
    </row>
    <row r="279" spans="1:6" x14ac:dyDescent="0.25">
      <c r="A279" s="150">
        <v>274</v>
      </c>
      <c r="B279" s="10" t="s">
        <v>184</v>
      </c>
      <c r="C279">
        <v>445671.49118751299</v>
      </c>
      <c r="E279" s="10" t="s">
        <v>1617</v>
      </c>
      <c r="F279" s="151">
        <f>IF(ISNUMBER(AA60),AA60/SUM($I$43:$AI$71),0)</f>
        <v>6.7819539395208017E-3</v>
      </c>
    </row>
    <row r="280" spans="1:6" x14ac:dyDescent="0.25">
      <c r="A280" s="150">
        <v>275</v>
      </c>
      <c r="B280" s="10" t="s">
        <v>185</v>
      </c>
      <c r="C280">
        <v>291150.44790038501</v>
      </c>
      <c r="E280" s="10" t="s">
        <v>1618</v>
      </c>
      <c r="F280" s="151">
        <f>IF(ISNUMBER(AB60),AB60/SUM($I$43:$AI$71),0)</f>
        <v>4.8729437875335907E-3</v>
      </c>
    </row>
    <row r="281" spans="1:6" x14ac:dyDescent="0.25">
      <c r="A281" s="150">
        <v>276</v>
      </c>
      <c r="B281" s="10" t="s">
        <v>186</v>
      </c>
      <c r="C281">
        <v>102278.963226564</v>
      </c>
      <c r="E281" s="10" t="s">
        <v>1619</v>
      </c>
      <c r="F281" s="151">
        <f>IF(ISNUMBER(AC60),AC60/SUM($I$43:$AI$71),0)</f>
        <v>2.2283299975995479E-3</v>
      </c>
    </row>
    <row r="282" spans="1:6" x14ac:dyDescent="0.25">
      <c r="A282" s="150">
        <v>277</v>
      </c>
      <c r="B282" s="10" t="s">
        <v>187</v>
      </c>
      <c r="C282">
        <v>29434.513546874699</v>
      </c>
      <c r="E282" s="10" t="s">
        <v>1620</v>
      </c>
      <c r="F282" s="151">
        <f>IF(ISNUMBER(AD60),AD60/SUM($I$43:$AI$71),0)</f>
        <v>5.2969985051196111E-4</v>
      </c>
    </row>
    <row r="283" spans="1:6" x14ac:dyDescent="0.25">
      <c r="A283" s="150">
        <v>278</v>
      </c>
      <c r="B283" s="10" t="s">
        <v>188</v>
      </c>
      <c r="C283">
        <v>0</v>
      </c>
      <c r="E283" s="10" t="s">
        <v>1621</v>
      </c>
      <c r="F283" s="151">
        <f>IF(ISNUMBER(AE60),AE60/SUM($I$43:$AI$71),0)</f>
        <v>0</v>
      </c>
    </row>
    <row r="284" spans="1:6" x14ac:dyDescent="0.25">
      <c r="A284" s="150">
        <v>279</v>
      </c>
      <c r="B284" s="10" t="s">
        <v>189</v>
      </c>
      <c r="C284">
        <v>0</v>
      </c>
      <c r="E284" s="10" t="s">
        <v>1622</v>
      </c>
      <c r="F284" s="151">
        <f>IF(ISNUMBER(AF60),AF60/SUM($I$43:$AI$71),0)</f>
        <v>0</v>
      </c>
    </row>
    <row r="285" spans="1:6" x14ac:dyDescent="0.25">
      <c r="A285" s="150">
        <v>280</v>
      </c>
      <c r="B285" s="10" t="s">
        <v>190</v>
      </c>
      <c r="C285">
        <v>11909.3039472653</v>
      </c>
      <c r="E285" s="10" t="s">
        <v>539</v>
      </c>
      <c r="F285" s="151">
        <f>IF(ISNUMBER(I61),I61/SUM($I$43:$AI$71),0)</f>
        <v>4.7646891633731415E-4</v>
      </c>
    </row>
    <row r="286" spans="1:6" x14ac:dyDescent="0.25">
      <c r="A286" s="150">
        <v>281</v>
      </c>
      <c r="B286" s="10" t="s">
        <v>191</v>
      </c>
      <c r="C286">
        <v>31328.062025388699</v>
      </c>
      <c r="E286" s="10" t="s">
        <v>540</v>
      </c>
      <c r="F286" s="151">
        <f>IF(ISNUMBER(J61),J61/SUM($I$43:$AI$71),0)</f>
        <v>2.0043512875119944E-3</v>
      </c>
    </row>
    <row r="287" spans="1:6" x14ac:dyDescent="0.25">
      <c r="A287" s="150">
        <v>282</v>
      </c>
      <c r="B287" s="10" t="s">
        <v>192</v>
      </c>
      <c r="C287">
        <v>0</v>
      </c>
      <c r="E287" s="10" t="s">
        <v>541</v>
      </c>
      <c r="F287" s="151">
        <f>IF(ISNUMBER(K61),K61/SUM($I$43:$AI$71),0)</f>
        <v>6.1683787823167959E-3</v>
      </c>
    </row>
    <row r="288" spans="1:6" x14ac:dyDescent="0.25">
      <c r="A288" s="150">
        <v>283</v>
      </c>
      <c r="B288" s="10" t="s">
        <v>193</v>
      </c>
      <c r="C288">
        <v>0</v>
      </c>
      <c r="E288" s="10" t="s">
        <v>542</v>
      </c>
      <c r="F288" s="151">
        <f>IF(ISNUMBER(L61),L61/SUM($I$43:$AI$71),0)</f>
        <v>8.9307231984848776E-3</v>
      </c>
    </row>
    <row r="289" spans="1:6" x14ac:dyDescent="0.25">
      <c r="A289" s="150">
        <v>284</v>
      </c>
      <c r="B289" s="10" t="s">
        <v>194</v>
      </c>
      <c r="C289">
        <v>75096.816144533499</v>
      </c>
      <c r="E289" s="10" t="s">
        <v>543</v>
      </c>
      <c r="F289" s="151">
        <f>IF(ISNUMBER(M61),M61/SUM($I$43:$AI$71),0)</f>
        <v>7.5093740136415151E-3</v>
      </c>
    </row>
    <row r="290" spans="1:6" x14ac:dyDescent="0.25">
      <c r="A290" s="150">
        <v>285</v>
      </c>
      <c r="B290" s="10" t="s">
        <v>195</v>
      </c>
      <c r="C290">
        <v>7361759.7035741797</v>
      </c>
      <c r="E290" s="10" t="s">
        <v>544</v>
      </c>
      <c r="F290" s="151">
        <f>IF(ISNUMBER(N61),N61/SUM($I$43:$AI$71),0)</f>
        <v>4.0002493251477707E-3</v>
      </c>
    </row>
    <row r="291" spans="1:6" x14ac:dyDescent="0.25">
      <c r="A291" s="150">
        <v>286</v>
      </c>
      <c r="B291" s="10" t="s">
        <v>196</v>
      </c>
      <c r="C291">
        <v>7022332.5337925004</v>
      </c>
      <c r="E291" s="10" t="s">
        <v>545</v>
      </c>
      <c r="F291" s="151">
        <f>IF(ISNUMBER(O61),O61/SUM($I$43:$AI$71),0)</f>
        <v>1.4070443638303958E-3</v>
      </c>
    </row>
    <row r="292" spans="1:6" x14ac:dyDescent="0.25">
      <c r="A292" s="150">
        <v>287</v>
      </c>
      <c r="B292" s="10" t="s">
        <v>727</v>
      </c>
      <c r="C292">
        <v>42796283.533113502</v>
      </c>
      <c r="E292" s="10" t="s">
        <v>546</v>
      </c>
      <c r="F292" s="151">
        <f>IF(ISNUMBER(P61),P61/SUM($I$43:$AI$71),0)</f>
        <v>2.9808904780926373E-4</v>
      </c>
    </row>
    <row r="293" spans="1:6" x14ac:dyDescent="0.25">
      <c r="A293" s="150">
        <v>288</v>
      </c>
      <c r="B293" s="10" t="s">
        <v>728</v>
      </c>
      <c r="C293">
        <v>42169286.453948997</v>
      </c>
      <c r="E293" s="10" t="s">
        <v>547</v>
      </c>
      <c r="F293" s="151">
        <f>IF(ISNUMBER(Q61),Q61/SUM($I$43:$AI$71),0)</f>
        <v>0</v>
      </c>
    </row>
    <row r="294" spans="1:6" x14ac:dyDescent="0.25">
      <c r="A294" s="150">
        <v>289</v>
      </c>
      <c r="B294" s="10" t="s">
        <v>729</v>
      </c>
      <c r="C294">
        <v>94372802.381134003</v>
      </c>
      <c r="E294" s="10" t="s">
        <v>548</v>
      </c>
      <c r="F294" s="151">
        <f>IF(ISNUMBER(R61),R61/SUM($I$43:$AI$71),0)</f>
        <v>0</v>
      </c>
    </row>
    <row r="295" spans="1:6" x14ac:dyDescent="0.25">
      <c r="A295" s="150">
        <v>290</v>
      </c>
      <c r="B295" s="10" t="s">
        <v>730</v>
      </c>
      <c r="C295">
        <v>82673461.200298294</v>
      </c>
      <c r="E295" s="10" t="s">
        <v>549</v>
      </c>
      <c r="F295" s="151">
        <f>IF(ISNUMBER(S61),S61/SUM($I$43:$AI$71),0)</f>
        <v>0</v>
      </c>
    </row>
    <row r="296" spans="1:6" x14ac:dyDescent="0.25">
      <c r="A296" s="150">
        <v>291</v>
      </c>
      <c r="B296" s="10" t="s">
        <v>1027</v>
      </c>
      <c r="C296">
        <v>102136901.10210399</v>
      </c>
      <c r="E296" s="10" t="s">
        <v>550</v>
      </c>
      <c r="F296" s="151">
        <f>IF(ISNUMBER(T61),T61/SUM($I$43:$AI$71),0)</f>
        <v>0</v>
      </c>
    </row>
    <row r="297" spans="1:6" x14ac:dyDescent="0.25">
      <c r="A297" s="150">
        <v>292</v>
      </c>
      <c r="B297" s="10" t="s">
        <v>1028</v>
      </c>
      <c r="C297">
        <v>91487168.675701097</v>
      </c>
      <c r="E297" s="10" t="s">
        <v>551</v>
      </c>
      <c r="F297" s="151">
        <f>IF(ISNUMBER(U61),U61/SUM($I$43:$AI$71),0)</f>
        <v>0</v>
      </c>
    </row>
    <row r="298" spans="1:6" x14ac:dyDescent="0.25">
      <c r="A298" s="150">
        <v>293</v>
      </c>
      <c r="B298" s="10" t="s">
        <v>1029</v>
      </c>
      <c r="C298">
        <v>56168077.645049997</v>
      </c>
      <c r="E298" s="10" t="s">
        <v>1623</v>
      </c>
      <c r="F298" s="151">
        <f>IF(ISNUMBER(V61),V61/SUM($I$43:$AI$71),0)</f>
        <v>0</v>
      </c>
    </row>
    <row r="299" spans="1:6" x14ac:dyDescent="0.25">
      <c r="A299" s="150">
        <v>294</v>
      </c>
      <c r="B299" s="10" t="s">
        <v>1030</v>
      </c>
      <c r="C299">
        <v>53936083.020774797</v>
      </c>
      <c r="E299" s="10" t="s">
        <v>1624</v>
      </c>
      <c r="F299" s="151">
        <f>IF(ISNUMBER(W61),W61/SUM($I$43:$AI$71),0)</f>
        <v>0</v>
      </c>
    </row>
    <row r="300" spans="1:6" x14ac:dyDescent="0.25">
      <c r="A300" s="150">
        <v>295</v>
      </c>
      <c r="B300" s="10" t="s">
        <v>1031</v>
      </c>
      <c r="C300">
        <v>14955981.2956228</v>
      </c>
      <c r="E300" s="10" t="s">
        <v>1625</v>
      </c>
      <c r="F300" s="151">
        <f>IF(ISNUMBER(X61),X61/SUM($I$43:$AI$71),0)</f>
        <v>3.2847882153479592E-4</v>
      </c>
    </row>
    <row r="301" spans="1:6" x14ac:dyDescent="0.25">
      <c r="A301" s="150">
        <v>296</v>
      </c>
      <c r="B301" s="10" t="s">
        <v>1032</v>
      </c>
      <c r="C301">
        <v>13540990.5737352</v>
      </c>
      <c r="E301" s="10" t="s">
        <v>1626</v>
      </c>
      <c r="F301" s="151">
        <f>IF(ISNUMBER(Y61),Y61/SUM($I$43:$AI$71),0)</f>
        <v>1.797894517057793E-3</v>
      </c>
    </row>
    <row r="302" spans="1:6" x14ac:dyDescent="0.25">
      <c r="A302" s="150">
        <v>297</v>
      </c>
      <c r="B302" s="10" t="s">
        <v>1131</v>
      </c>
      <c r="C302">
        <v>267313.65166406299</v>
      </c>
      <c r="E302" s="10" t="s">
        <v>1627</v>
      </c>
      <c r="F302" s="151">
        <f>IF(ISNUMBER(Z61),Z61/SUM($I$43:$AI$71),0)</f>
        <v>5.1869023354294804E-3</v>
      </c>
    </row>
    <row r="303" spans="1:6" x14ac:dyDescent="0.25">
      <c r="A303" s="150">
        <v>298</v>
      </c>
      <c r="B303" s="10" t="s">
        <v>1132</v>
      </c>
      <c r="C303">
        <v>443553.312325418</v>
      </c>
      <c r="E303" s="10" t="s">
        <v>1628</v>
      </c>
      <c r="F303" s="151">
        <f>IF(ISNUMBER(AA61),AA61/SUM($I$43:$AI$71),0)</f>
        <v>9.1938803073974996E-3</v>
      </c>
    </row>
    <row r="304" spans="1:6" x14ac:dyDescent="0.25">
      <c r="A304" s="150">
        <v>299</v>
      </c>
      <c r="B304" s="10" t="s">
        <v>1133</v>
      </c>
      <c r="C304">
        <v>0</v>
      </c>
      <c r="E304" s="10" t="s">
        <v>1629</v>
      </c>
      <c r="F304" s="151">
        <f>IF(ISNUMBER(AB61),AB61/SUM($I$43:$AI$71),0)</f>
        <v>1.0434042705123761E-2</v>
      </c>
    </row>
    <row r="305" spans="1:6" x14ac:dyDescent="0.25">
      <c r="A305" s="150">
        <v>300</v>
      </c>
      <c r="B305" s="10" t="s">
        <v>1134</v>
      </c>
      <c r="C305">
        <v>7533.59954589885</v>
      </c>
      <c r="E305" s="10" t="s">
        <v>1630</v>
      </c>
      <c r="F305" s="151">
        <f>IF(ISNUMBER(AC61),AC61/SUM($I$43:$AI$71),0)</f>
        <v>7.5383875506194352E-3</v>
      </c>
    </row>
    <row r="306" spans="1:6" x14ac:dyDescent="0.25">
      <c r="A306" s="150">
        <v>301</v>
      </c>
      <c r="B306" s="10" t="s">
        <v>731</v>
      </c>
      <c r="C306">
        <v>19725783.004648201</v>
      </c>
      <c r="E306" s="10" t="s">
        <v>1631</v>
      </c>
      <c r="F306" s="151">
        <f>IF(ISNUMBER(AD61),AD61/SUM($I$43:$AI$71),0)</f>
        <v>3.4293328954972434E-3</v>
      </c>
    </row>
    <row r="307" spans="1:6" x14ac:dyDescent="0.25">
      <c r="A307" s="150">
        <v>302</v>
      </c>
      <c r="B307" s="10" t="s">
        <v>732</v>
      </c>
      <c r="C307">
        <v>11939945.617115</v>
      </c>
      <c r="E307" s="10" t="s">
        <v>1632</v>
      </c>
      <c r="F307" s="151">
        <f>IF(ISNUMBER(AE61),AE61/SUM($I$43:$AI$71),0)</f>
        <v>9.1509303080657177E-4</v>
      </c>
    </row>
    <row r="308" spans="1:6" x14ac:dyDescent="0.25">
      <c r="A308" s="150">
        <v>303</v>
      </c>
      <c r="B308" s="10" t="s">
        <v>197</v>
      </c>
      <c r="C308">
        <v>63904017.055694602</v>
      </c>
      <c r="E308" s="10" t="s">
        <v>1633</v>
      </c>
      <c r="F308" s="151">
        <f>IF(ISNUMBER(AF61),AF61/SUM($I$43:$AI$71),0)</f>
        <v>9.8048312796588511E-5</v>
      </c>
    </row>
    <row r="309" spans="1:6" x14ac:dyDescent="0.25">
      <c r="A309" s="150">
        <v>304</v>
      </c>
      <c r="B309" s="10" t="s">
        <v>198</v>
      </c>
      <c r="C309">
        <v>49824702.416433297</v>
      </c>
      <c r="E309" s="10" t="s">
        <v>1634</v>
      </c>
      <c r="F309" s="151">
        <f>IF(ISNUMBER(AG61),AG61/SUM($I$43:$AI$71),0)</f>
        <v>0</v>
      </c>
    </row>
    <row r="310" spans="1:6" x14ac:dyDescent="0.25">
      <c r="A310" s="150">
        <v>305</v>
      </c>
      <c r="B310" s="10" t="s">
        <v>199</v>
      </c>
      <c r="C310">
        <v>65772904.498333</v>
      </c>
      <c r="E310" s="10" t="s">
        <v>552</v>
      </c>
      <c r="F310" s="151">
        <f>IF(ISNUMBER(I62),I62/SUM($I$43:$AI$71),0)</f>
        <v>3.2565363877146982E-4</v>
      </c>
    </row>
    <row r="311" spans="1:6" x14ac:dyDescent="0.25">
      <c r="A311" s="150">
        <v>306</v>
      </c>
      <c r="B311" s="10" t="s">
        <v>200</v>
      </c>
      <c r="C311">
        <v>63492386.480865501</v>
      </c>
      <c r="E311" s="10" t="s">
        <v>553</v>
      </c>
      <c r="F311" s="151">
        <f>IF(ISNUMBER(J62),J62/SUM($I$43:$AI$71),0)</f>
        <v>1.8086211457467873E-3</v>
      </c>
    </row>
    <row r="312" spans="1:6" x14ac:dyDescent="0.25">
      <c r="A312" s="150">
        <v>307</v>
      </c>
      <c r="B312" s="10" t="s">
        <v>201</v>
      </c>
      <c r="C312">
        <v>51972327.617210403</v>
      </c>
      <c r="E312" s="10" t="s">
        <v>554</v>
      </c>
      <c r="F312" s="151">
        <f>IF(ISNUMBER(K62),K62/SUM($I$43:$AI$71),0)</f>
        <v>5.0239195363553958E-3</v>
      </c>
    </row>
    <row r="313" spans="1:6" x14ac:dyDescent="0.25">
      <c r="A313" s="150">
        <v>308</v>
      </c>
      <c r="B313" s="10" t="s">
        <v>202</v>
      </c>
      <c r="C313">
        <v>45595527.763809197</v>
      </c>
      <c r="E313" s="10" t="s">
        <v>555</v>
      </c>
      <c r="F313" s="151">
        <f>IF(ISNUMBER(L62),L62/SUM($I$43:$AI$71),0)</f>
        <v>7.5419250020016607E-3</v>
      </c>
    </row>
    <row r="314" spans="1:6" x14ac:dyDescent="0.25">
      <c r="A314" s="150">
        <v>309</v>
      </c>
      <c r="B314" s="10" t="s">
        <v>203</v>
      </c>
      <c r="C314">
        <v>21763406.2990532</v>
      </c>
      <c r="E314" s="10" t="s">
        <v>556</v>
      </c>
      <c r="F314" s="151">
        <f>IF(ISNUMBER(M62),M62/SUM($I$43:$AI$71),0)</f>
        <v>6.6807650496698793E-3</v>
      </c>
    </row>
    <row r="315" spans="1:6" x14ac:dyDescent="0.25">
      <c r="A315" s="150">
        <v>310</v>
      </c>
      <c r="B315" s="10" t="s">
        <v>204</v>
      </c>
      <c r="C315">
        <v>16567494.9239979</v>
      </c>
      <c r="E315" s="10" t="s">
        <v>557</v>
      </c>
      <c r="F315" s="151">
        <f>IF(ISNUMBER(N62),N62/SUM($I$43:$AI$71),0)</f>
        <v>3.9182776019970091E-3</v>
      </c>
    </row>
    <row r="316" spans="1:6" x14ac:dyDescent="0.25">
      <c r="A316" s="150">
        <v>311</v>
      </c>
      <c r="B316" s="10" t="s">
        <v>205</v>
      </c>
      <c r="C316">
        <v>3714123.7882187399</v>
      </c>
      <c r="E316" s="10" t="s">
        <v>558</v>
      </c>
      <c r="F316" s="151">
        <f>IF(ISNUMBER(O62),O62/SUM($I$43:$AI$71),0)</f>
        <v>1.5670916014318861E-3</v>
      </c>
    </row>
    <row r="317" spans="1:6" x14ac:dyDescent="0.25">
      <c r="A317" s="150">
        <v>312</v>
      </c>
      <c r="B317" s="10" t="s">
        <v>206</v>
      </c>
      <c r="C317">
        <v>3484544.3321093302</v>
      </c>
      <c r="E317" s="10" t="s">
        <v>559</v>
      </c>
      <c r="F317" s="151">
        <f>IF(ISNUMBER(P62),P62/SUM($I$43:$AI$71),0)</f>
        <v>4.0837269585392759E-4</v>
      </c>
    </row>
    <row r="318" spans="1:6" x14ac:dyDescent="0.25">
      <c r="A318" s="150">
        <v>313</v>
      </c>
      <c r="B318" s="10" t="s">
        <v>207</v>
      </c>
      <c r="C318">
        <v>63989.484685551397</v>
      </c>
      <c r="E318" s="10" t="s">
        <v>560</v>
      </c>
      <c r="F318" s="151">
        <f>IF(ISNUMBER(Q62),Q62/SUM($I$43:$AI$71),0)</f>
        <v>5.3468479535753239E-5</v>
      </c>
    </row>
    <row r="319" spans="1:6" x14ac:dyDescent="0.25">
      <c r="A319" s="150">
        <v>314</v>
      </c>
      <c r="B319" s="10" t="s">
        <v>208</v>
      </c>
      <c r="C319">
        <v>41104.663802247502</v>
      </c>
      <c r="E319" s="10" t="s">
        <v>561</v>
      </c>
      <c r="F319" s="151">
        <f>IF(ISNUMBER(R62),R62/SUM($I$43:$AI$71),0)</f>
        <v>0</v>
      </c>
    </row>
    <row r="320" spans="1:6" x14ac:dyDescent="0.25">
      <c r="A320" s="150">
        <v>315</v>
      </c>
      <c r="B320" s="10" t="s">
        <v>209</v>
      </c>
      <c r="C320">
        <v>40689.520101560302</v>
      </c>
      <c r="E320" s="10" t="s">
        <v>562</v>
      </c>
      <c r="F320" s="151">
        <f>IF(ISNUMBER(S62),S62/SUM($I$43:$AI$71),0)</f>
        <v>0</v>
      </c>
    </row>
    <row r="321" spans="1:6" x14ac:dyDescent="0.25">
      <c r="A321" s="150">
        <v>316</v>
      </c>
      <c r="B321" s="10" t="s">
        <v>210</v>
      </c>
      <c r="C321">
        <v>38880.291832029798</v>
      </c>
      <c r="E321" s="10" t="s">
        <v>563</v>
      </c>
      <c r="F321" s="151">
        <f>IF(ISNUMBER(T62),T62/SUM($I$43:$AI$71),0)</f>
        <v>0</v>
      </c>
    </row>
    <row r="322" spans="1:6" x14ac:dyDescent="0.25">
      <c r="A322" s="150">
        <v>317</v>
      </c>
      <c r="B322" s="10" t="s">
        <v>211</v>
      </c>
      <c r="C322">
        <v>80964.069171873896</v>
      </c>
      <c r="E322" s="10" t="s">
        <v>564</v>
      </c>
      <c r="F322" s="151">
        <f>IF(ISNUMBER(U62),U62/SUM($I$43:$AI$71),0)</f>
        <v>0</v>
      </c>
    </row>
    <row r="323" spans="1:6" x14ac:dyDescent="0.25">
      <c r="A323" s="150">
        <v>318</v>
      </c>
      <c r="B323" s="10" t="s">
        <v>212</v>
      </c>
      <c r="C323">
        <v>0</v>
      </c>
      <c r="E323" s="10" t="s">
        <v>1635</v>
      </c>
      <c r="F323" s="151">
        <f>IF(ISNUMBER(V62),V62/SUM($I$43:$AI$71),0)</f>
        <v>0</v>
      </c>
    </row>
    <row r="324" spans="1:6" x14ac:dyDescent="0.25">
      <c r="A324" s="150">
        <v>319</v>
      </c>
      <c r="B324" s="10" t="s">
        <v>213</v>
      </c>
      <c r="C324">
        <v>0</v>
      </c>
      <c r="E324" s="10" t="s">
        <v>1636</v>
      </c>
      <c r="F324" s="151">
        <f>IF(ISNUMBER(W62),W62/SUM($I$43:$AI$71),0)</f>
        <v>0</v>
      </c>
    </row>
    <row r="325" spans="1:6" x14ac:dyDescent="0.25">
      <c r="A325" s="150">
        <v>320</v>
      </c>
      <c r="B325" s="10" t="s">
        <v>214</v>
      </c>
      <c r="C325">
        <v>0</v>
      </c>
      <c r="E325" s="10" t="s">
        <v>1637</v>
      </c>
      <c r="F325" s="151">
        <f>IF(ISNUMBER(X62),X62/SUM($I$43:$AI$71),0)</f>
        <v>0</v>
      </c>
    </row>
    <row r="326" spans="1:6" x14ac:dyDescent="0.25">
      <c r="A326" s="150">
        <v>321</v>
      </c>
      <c r="B326" s="10" t="s">
        <v>215</v>
      </c>
      <c r="C326">
        <v>1196563.83701169</v>
      </c>
      <c r="E326" s="10" t="s">
        <v>1638</v>
      </c>
      <c r="F326" s="151">
        <f>IF(ISNUMBER(Y62),Y62/SUM($I$43:$AI$71),0)</f>
        <v>2.709291223296019E-4</v>
      </c>
    </row>
    <row r="327" spans="1:6" x14ac:dyDescent="0.25">
      <c r="A327" s="150">
        <v>322</v>
      </c>
      <c r="B327" s="10" t="s">
        <v>216</v>
      </c>
      <c r="C327">
        <v>971909.59544920898</v>
      </c>
      <c r="E327" s="10" t="s">
        <v>1639</v>
      </c>
      <c r="F327" s="151">
        <f>IF(ISNUMBER(Z62),Z62/SUM($I$43:$AI$71),0)</f>
        <v>1.2396969090250193E-3</v>
      </c>
    </row>
    <row r="328" spans="1:6" x14ac:dyDescent="0.25">
      <c r="A328" s="150">
        <v>323</v>
      </c>
      <c r="B328" s="10" t="s">
        <v>733</v>
      </c>
      <c r="C328">
        <v>21498067.9624338</v>
      </c>
      <c r="E328" s="10" t="s">
        <v>1640</v>
      </c>
      <c r="F328" s="151">
        <f>IF(ISNUMBER(AA62),AA62/SUM($I$43:$AI$71),0)</f>
        <v>3.273952258191513E-3</v>
      </c>
    </row>
    <row r="329" spans="1:6" x14ac:dyDescent="0.25">
      <c r="A329" s="150">
        <v>324</v>
      </c>
      <c r="B329" s="10" t="s">
        <v>734</v>
      </c>
      <c r="C329">
        <v>19482932.057417899</v>
      </c>
      <c r="E329" s="10" t="s">
        <v>1641</v>
      </c>
      <c r="F329" s="151">
        <f>IF(ISNUMBER(AB62),AB62/SUM($I$43:$AI$71),0)</f>
        <v>5.5585698859188489E-3</v>
      </c>
    </row>
    <row r="330" spans="1:6" x14ac:dyDescent="0.25">
      <c r="A330" s="150">
        <v>325</v>
      </c>
      <c r="B330" s="10" t="s">
        <v>735</v>
      </c>
      <c r="C330">
        <v>87051772.812385604</v>
      </c>
      <c r="E330" s="10" t="s">
        <v>1642</v>
      </c>
      <c r="F330" s="151">
        <f>IF(ISNUMBER(AC62),AC62/SUM($I$43:$AI$71),0)</f>
        <v>5.9414385762526179E-3</v>
      </c>
    </row>
    <row r="331" spans="1:6" x14ac:dyDescent="0.25">
      <c r="A331" s="150">
        <v>326</v>
      </c>
      <c r="B331" s="10" t="s">
        <v>736</v>
      </c>
      <c r="C331">
        <v>76430972.237075806</v>
      </c>
      <c r="E331" s="10" t="s">
        <v>1643</v>
      </c>
      <c r="F331" s="151">
        <f>IF(ISNUMBER(AD62),AD62/SUM($I$43:$AI$71),0)</f>
        <v>3.8849728475952488E-3</v>
      </c>
    </row>
    <row r="332" spans="1:6" x14ac:dyDescent="0.25">
      <c r="A332" s="150">
        <v>327</v>
      </c>
      <c r="B332" s="10" t="s">
        <v>1033</v>
      </c>
      <c r="C332">
        <v>163389309.054443</v>
      </c>
      <c r="E332" s="10" t="s">
        <v>1644</v>
      </c>
      <c r="F332" s="151">
        <f>IF(ISNUMBER(AE62),AE62/SUM($I$43:$AI$71),0)</f>
        <v>1.6044501652507427E-3</v>
      </c>
    </row>
    <row r="333" spans="1:6" x14ac:dyDescent="0.25">
      <c r="A333" s="150">
        <v>328</v>
      </c>
      <c r="B333" s="10" t="s">
        <v>1034</v>
      </c>
      <c r="C333">
        <v>145631159.62638101</v>
      </c>
      <c r="E333" s="10" t="s">
        <v>1645</v>
      </c>
      <c r="F333" s="151">
        <f>IF(ISNUMBER(AF62),AF62/SUM($I$43:$AI$71),0)</f>
        <v>0</v>
      </c>
    </row>
    <row r="334" spans="1:6" x14ac:dyDescent="0.25">
      <c r="A334" s="150">
        <v>329</v>
      </c>
      <c r="B334" s="10" t="s">
        <v>1035</v>
      </c>
      <c r="C334">
        <v>154274781.29214501</v>
      </c>
      <c r="E334" s="10" t="s">
        <v>1646</v>
      </c>
      <c r="F334" s="151">
        <f>IF(ISNUMBER(AG62),AG62/SUM($I$43:$AI$71),0)</f>
        <v>0</v>
      </c>
    </row>
    <row r="335" spans="1:6" x14ac:dyDescent="0.25">
      <c r="A335" s="150">
        <v>330</v>
      </c>
      <c r="B335" s="10" t="s">
        <v>1036</v>
      </c>
      <c r="C335">
        <v>148349913.66204101</v>
      </c>
      <c r="E335" s="10" t="s">
        <v>1647</v>
      </c>
      <c r="F335" s="151">
        <f>IF(ISNUMBER(AH62),AH62/SUM($I$43:$AI$71),0)</f>
        <v>0</v>
      </c>
    </row>
    <row r="336" spans="1:6" x14ac:dyDescent="0.25">
      <c r="A336" s="150">
        <v>331</v>
      </c>
      <c r="B336" s="10" t="s">
        <v>1037</v>
      </c>
      <c r="C336">
        <v>76403869.594394699</v>
      </c>
      <c r="E336" s="10" t="s">
        <v>565</v>
      </c>
      <c r="F336" s="151">
        <f>IF(ISNUMBER(I63),I63/SUM($I$43:$AI$71),0)</f>
        <v>2.2043357537021422E-4</v>
      </c>
    </row>
    <row r="337" spans="1:6" x14ac:dyDescent="0.25">
      <c r="A337" s="150">
        <v>332</v>
      </c>
      <c r="B337" s="10" t="s">
        <v>1038</v>
      </c>
      <c r="C337">
        <v>77641132.964283004</v>
      </c>
      <c r="E337" s="10" t="s">
        <v>566</v>
      </c>
      <c r="F337" s="151">
        <f>IF(ISNUMBER(J63),J63/SUM($I$43:$AI$71),0)</f>
        <v>1.2838289020786191E-3</v>
      </c>
    </row>
    <row r="338" spans="1:6" x14ac:dyDescent="0.25">
      <c r="A338" s="150">
        <v>333</v>
      </c>
      <c r="B338" s="10" t="s">
        <v>1135</v>
      </c>
      <c r="C338">
        <v>18886135.057744</v>
      </c>
      <c r="E338" s="10" t="s">
        <v>567</v>
      </c>
      <c r="F338" s="151">
        <f>IF(ISNUMBER(K63),K63/SUM($I$43:$AI$71),0)</f>
        <v>3.7460641710672922E-3</v>
      </c>
    </row>
    <row r="339" spans="1:6" x14ac:dyDescent="0.25">
      <c r="A339" s="150">
        <v>334</v>
      </c>
      <c r="B339" s="10" t="s">
        <v>1136</v>
      </c>
      <c r="C339">
        <v>17551845.035081901</v>
      </c>
      <c r="E339" s="10" t="s">
        <v>568</v>
      </c>
      <c r="F339" s="151">
        <f>IF(ISNUMBER(L63),L63/SUM($I$43:$AI$71),0)</f>
        <v>5.8678171990299063E-3</v>
      </c>
    </row>
    <row r="340" spans="1:6" x14ac:dyDescent="0.25">
      <c r="A340" s="150">
        <v>335</v>
      </c>
      <c r="B340" s="10" t="s">
        <v>1137</v>
      </c>
      <c r="C340">
        <v>744064.11607861496</v>
      </c>
      <c r="E340" s="10" t="s">
        <v>569</v>
      </c>
      <c r="F340" s="151">
        <f>IF(ISNUMBER(M63),M63/SUM($I$43:$AI$71),0)</f>
        <v>5.6327143387358567E-3</v>
      </c>
    </row>
    <row r="341" spans="1:6" x14ac:dyDescent="0.25">
      <c r="A341" s="150">
        <v>336</v>
      </c>
      <c r="B341" s="10" t="s">
        <v>1138</v>
      </c>
      <c r="C341">
        <v>374665.46572655399</v>
      </c>
      <c r="E341" s="10" t="s">
        <v>570</v>
      </c>
      <c r="F341" s="151">
        <f>IF(ISNUMBER(N63),N63/SUM($I$43:$AI$71),0)</f>
        <v>3.5439447401090524E-3</v>
      </c>
    </row>
    <row r="342" spans="1:6" x14ac:dyDescent="0.25">
      <c r="A342" s="150">
        <v>337</v>
      </c>
      <c r="B342" s="10" t="s">
        <v>1139</v>
      </c>
      <c r="C342">
        <v>0</v>
      </c>
      <c r="E342" s="10" t="s">
        <v>571</v>
      </c>
      <c r="F342" s="151">
        <f>IF(ISNUMBER(O63),O63/SUM($I$43:$AI$71),0)</f>
        <v>1.5124413332195576E-3</v>
      </c>
    </row>
    <row r="343" spans="1:6" x14ac:dyDescent="0.25">
      <c r="A343" s="150">
        <v>338</v>
      </c>
      <c r="B343" s="10" t="s">
        <v>1140</v>
      </c>
      <c r="C343">
        <v>10966.3751337882</v>
      </c>
      <c r="E343" s="164" t="s">
        <v>572</v>
      </c>
      <c r="F343" s="151">
        <f>IF(ISNUMBER(P63),P63/SUM($I$43:$AI$71),0)</f>
        <v>4.7502721696743679E-4</v>
      </c>
    </row>
    <row r="344" spans="1:6" x14ac:dyDescent="0.25">
      <c r="A344" s="150">
        <v>339</v>
      </c>
      <c r="B344" s="10" t="s">
        <v>737</v>
      </c>
      <c r="C344">
        <v>64811311.061542504</v>
      </c>
      <c r="E344" s="164" t="s">
        <v>573</v>
      </c>
      <c r="F344" s="151">
        <f>IF(ISNUMBER(Q63),Q63/SUM($I$43:$AI$71),0)</f>
        <v>6.9613585421779967E-5</v>
      </c>
    </row>
    <row r="345" spans="1:6" x14ac:dyDescent="0.25">
      <c r="A345" s="150">
        <v>340</v>
      </c>
      <c r="B345" s="10" t="s">
        <v>738</v>
      </c>
      <c r="C345">
        <v>42882769.344163902</v>
      </c>
      <c r="E345" s="164" t="s">
        <v>574</v>
      </c>
      <c r="F345" s="151">
        <f>IF(ISNUMBER(R63),R63/SUM($I$43:$AI$71),0)</f>
        <v>0</v>
      </c>
    </row>
    <row r="346" spans="1:6" x14ac:dyDescent="0.25">
      <c r="A346" s="150">
        <v>341</v>
      </c>
      <c r="B346" s="10" t="s">
        <v>217</v>
      </c>
      <c r="C346">
        <v>229438502.36104599</v>
      </c>
      <c r="E346" s="164" t="s">
        <v>575</v>
      </c>
      <c r="F346" s="151">
        <f>IF(ISNUMBER(S63),S63/SUM($I$43:$AI$71),0)</f>
        <v>0</v>
      </c>
    </row>
    <row r="347" spans="1:6" x14ac:dyDescent="0.25">
      <c r="A347" s="150">
        <v>342</v>
      </c>
      <c r="B347" s="10" t="s">
        <v>218</v>
      </c>
      <c r="C347">
        <v>182940652.18304399</v>
      </c>
      <c r="E347" s="164" t="s">
        <v>576</v>
      </c>
      <c r="F347" s="151">
        <f>IF(ISNUMBER(T63),T63/SUM($I$43:$AI$71),0)</f>
        <v>0</v>
      </c>
    </row>
    <row r="348" spans="1:6" x14ac:dyDescent="0.25">
      <c r="A348" s="150">
        <v>343</v>
      </c>
      <c r="B348" s="10" t="s">
        <v>219</v>
      </c>
      <c r="C348">
        <v>282833133.91174299</v>
      </c>
      <c r="E348" s="164" t="s">
        <v>577</v>
      </c>
      <c r="F348" s="151">
        <f>IF(ISNUMBER(U63),U63/SUM($I$43:$AI$71),0)</f>
        <v>0</v>
      </c>
    </row>
    <row r="349" spans="1:6" x14ac:dyDescent="0.25">
      <c r="A349" s="150">
        <v>344</v>
      </c>
      <c r="B349" s="10" t="s">
        <v>220</v>
      </c>
      <c r="C349">
        <v>269342582.69067401</v>
      </c>
      <c r="E349" s="10" t="s">
        <v>1648</v>
      </c>
      <c r="F349" s="151">
        <f>IF(ISNUMBER(V63),V63/SUM($I$43:$AI$71),0)</f>
        <v>0</v>
      </c>
    </row>
    <row r="350" spans="1:6" x14ac:dyDescent="0.25">
      <c r="A350" s="150">
        <v>345</v>
      </c>
      <c r="B350" s="10" t="s">
        <v>221</v>
      </c>
      <c r="C350">
        <v>245138835.55865499</v>
      </c>
      <c r="E350" s="10" t="s">
        <v>1649</v>
      </c>
      <c r="F350" s="151">
        <f>IF(ISNUMBER(W63),W63/SUM($I$43:$AI$71),0)</f>
        <v>0</v>
      </c>
    </row>
    <row r="351" spans="1:6" x14ac:dyDescent="0.25">
      <c r="A351" s="150">
        <v>346</v>
      </c>
      <c r="B351" s="10" t="s">
        <v>222</v>
      </c>
      <c r="C351">
        <v>217480589.88043201</v>
      </c>
      <c r="E351" s="10" t="s">
        <v>1650</v>
      </c>
      <c r="F351" s="151">
        <f>IF(ISNUMBER(X63),X63/SUM($I$43:$AI$71),0)</f>
        <v>0</v>
      </c>
    </row>
    <row r="352" spans="1:6" x14ac:dyDescent="0.25">
      <c r="A352" s="150">
        <v>347</v>
      </c>
      <c r="B352" s="10" t="s">
        <v>223</v>
      </c>
      <c r="C352">
        <v>115858746.324894</v>
      </c>
      <c r="E352" s="10" t="s">
        <v>1651</v>
      </c>
      <c r="F352" s="151">
        <f>IF(ISNUMBER(Y63),Y63/SUM($I$43:$AI$71),0)</f>
        <v>2.581262029683597E-5</v>
      </c>
    </row>
    <row r="353" spans="1:6" x14ac:dyDescent="0.25">
      <c r="A353" s="150">
        <v>348</v>
      </c>
      <c r="B353" s="10" t="s">
        <v>224</v>
      </c>
      <c r="C353">
        <v>91308755.1602135</v>
      </c>
      <c r="E353" s="10" t="s">
        <v>1652</v>
      </c>
      <c r="F353" s="151">
        <f>IF(ISNUMBER(Z63),Z63/SUM($I$43:$AI$71),0)</f>
        <v>4.3733198368858941E-4</v>
      </c>
    </row>
    <row r="354" spans="1:6" x14ac:dyDescent="0.25">
      <c r="A354" s="150">
        <v>349</v>
      </c>
      <c r="B354" s="10" t="s">
        <v>225</v>
      </c>
      <c r="C354">
        <v>29651245.2339058</v>
      </c>
      <c r="E354" s="10" t="s">
        <v>1653</v>
      </c>
      <c r="F354" s="151">
        <f>IF(ISNUMBER(AA63),AA63/SUM($I$43:$AI$71),0)</f>
        <v>1.8399445512401686E-3</v>
      </c>
    </row>
    <row r="355" spans="1:6" x14ac:dyDescent="0.25">
      <c r="A355" s="150">
        <v>350</v>
      </c>
      <c r="B355" s="10" t="s">
        <v>226</v>
      </c>
      <c r="C355">
        <v>24566409.192451499</v>
      </c>
      <c r="E355" s="10" t="s">
        <v>1654</v>
      </c>
      <c r="F355" s="151">
        <f>IF(ISNUMBER(AB63),AB63/SUM($I$43:$AI$71),0)</f>
        <v>4.6986776832045581E-3</v>
      </c>
    </row>
    <row r="356" spans="1:6" x14ac:dyDescent="0.25">
      <c r="A356" s="150">
        <v>351</v>
      </c>
      <c r="B356" s="10" t="s">
        <v>227</v>
      </c>
      <c r="C356">
        <v>2888636.88840628</v>
      </c>
      <c r="E356" s="10" t="s">
        <v>1655</v>
      </c>
      <c r="F356" s="151">
        <f>IF(ISNUMBER(AC63),AC63/SUM($I$43:$AI$71),0)</f>
        <v>7.4438821974620014E-3</v>
      </c>
    </row>
    <row r="357" spans="1:6" x14ac:dyDescent="0.25">
      <c r="A357" s="150">
        <v>352</v>
      </c>
      <c r="B357" s="10" t="s">
        <v>228</v>
      </c>
      <c r="C357">
        <v>2981207.44485843</v>
      </c>
      <c r="E357" s="10" t="s">
        <v>1656</v>
      </c>
      <c r="F357" s="151">
        <f>IF(ISNUMBER(AD63),AD63/SUM($I$43:$AI$71),0)</f>
        <v>7.5678228815441086E-3</v>
      </c>
    </row>
    <row r="358" spans="1:6" x14ac:dyDescent="0.25">
      <c r="A358" s="150">
        <v>353</v>
      </c>
      <c r="B358" s="10" t="s">
        <v>229</v>
      </c>
      <c r="C358">
        <v>41715.788683593302</v>
      </c>
      <c r="E358" s="10" t="s">
        <v>1657</v>
      </c>
      <c r="F358" s="151">
        <f>IF(ISNUMBER(AE63),AE63/SUM($I$43:$AI$71),0)</f>
        <v>4.8563596383723595E-3</v>
      </c>
    </row>
    <row r="359" spans="1:6" x14ac:dyDescent="0.25">
      <c r="A359" s="150">
        <v>354</v>
      </c>
      <c r="B359" s="10" t="s">
        <v>230</v>
      </c>
      <c r="C359">
        <v>153712.36440234599</v>
      </c>
      <c r="E359" s="10" t="s">
        <v>1658</v>
      </c>
      <c r="F359" s="151">
        <f>IF(ISNUMBER(AF63),AF63/SUM($I$43:$AI$71),0)</f>
        <v>2.009988979230163E-3</v>
      </c>
    </row>
    <row r="360" spans="1:6" x14ac:dyDescent="0.25">
      <c r="A360" s="150">
        <v>355</v>
      </c>
      <c r="B360" s="10" t="s">
        <v>231</v>
      </c>
      <c r="C360">
        <v>0</v>
      </c>
      <c r="E360" s="10" t="s">
        <v>1659</v>
      </c>
      <c r="F360" s="151">
        <f>IF(ISNUMBER(AG63),AG63/SUM($I$43:$AI$71),0)</f>
        <v>4.6587549027295378E-4</v>
      </c>
    </row>
    <row r="361" spans="1:6" x14ac:dyDescent="0.25">
      <c r="A361" s="150">
        <v>356</v>
      </c>
      <c r="B361" s="10" t="s">
        <v>232</v>
      </c>
      <c r="C361">
        <v>0</v>
      </c>
      <c r="E361" s="10" t="s">
        <v>1660</v>
      </c>
      <c r="F361" s="151">
        <f>IF(ISNUMBER(AH63),AH63/SUM($I$43:$AI$71),0)</f>
        <v>4.0154293839251706E-5</v>
      </c>
    </row>
    <row r="362" spans="1:6" x14ac:dyDescent="0.25">
      <c r="A362" s="150">
        <v>357</v>
      </c>
      <c r="B362" s="10" t="s">
        <v>233</v>
      </c>
      <c r="C362">
        <v>0</v>
      </c>
      <c r="E362" s="10" t="s">
        <v>1661</v>
      </c>
      <c r="F362" s="151">
        <f>IF(ISNUMBER(AI63),AI63/SUM($I$43:$AI$71),0)</f>
        <v>0</v>
      </c>
    </row>
    <row r="363" spans="1:6" x14ac:dyDescent="0.25">
      <c r="A363" s="150">
        <v>358</v>
      </c>
      <c r="B363" s="10" t="s">
        <v>234</v>
      </c>
      <c r="C363">
        <v>0</v>
      </c>
      <c r="E363" s="10" t="s">
        <v>578</v>
      </c>
      <c r="F363" s="151">
        <f>IF(ISNUMBER(I64),I64/SUM($I$43:$AI$71),0)</f>
        <v>0</v>
      </c>
    </row>
    <row r="364" spans="1:6" x14ac:dyDescent="0.25">
      <c r="A364" s="150">
        <v>359</v>
      </c>
      <c r="B364" s="10" t="s">
        <v>235</v>
      </c>
      <c r="C364">
        <v>80120.071781249702</v>
      </c>
      <c r="E364" s="10" t="s">
        <v>579</v>
      </c>
      <c r="F364" s="151">
        <f>IF(ISNUMBER(J64),J64/SUM($I$43:$AI$71),0)</f>
        <v>9.306913586966094E-4</v>
      </c>
    </row>
    <row r="365" spans="1:6" x14ac:dyDescent="0.25">
      <c r="A365" s="150">
        <v>360</v>
      </c>
      <c r="B365" s="10" t="s">
        <v>236</v>
      </c>
      <c r="C365">
        <v>0</v>
      </c>
      <c r="E365" s="10" t="s">
        <v>580</v>
      </c>
      <c r="F365" s="151">
        <f>IF(ISNUMBER(K64),K64/SUM($I$43:$AI$71),0)</f>
        <v>2.7442277907661467E-3</v>
      </c>
    </row>
    <row r="366" spans="1:6" x14ac:dyDescent="0.25">
      <c r="A366" s="150">
        <v>361</v>
      </c>
      <c r="B366" s="10" t="s">
        <v>739</v>
      </c>
      <c r="C366">
        <v>3779946.68440247</v>
      </c>
      <c r="E366" s="10" t="s">
        <v>581</v>
      </c>
      <c r="F366" s="151">
        <f>IF(ISNUMBER(L64),L64/SUM($I$43:$AI$71),0)</f>
        <v>4.460023805418334E-3</v>
      </c>
    </row>
    <row r="367" spans="1:6" x14ac:dyDescent="0.25">
      <c r="A367" s="150">
        <v>362</v>
      </c>
      <c r="B367" s="10" t="s">
        <v>740</v>
      </c>
      <c r="C367">
        <v>3684472.6995077101</v>
      </c>
      <c r="E367" s="10" t="s">
        <v>582</v>
      </c>
      <c r="F367" s="151">
        <f>IF(ISNUMBER(M64),M64/SUM($I$43:$AI$71),0)</f>
        <v>4.5487978711878018E-3</v>
      </c>
    </row>
    <row r="368" spans="1:6" x14ac:dyDescent="0.25">
      <c r="A368" s="150">
        <v>363</v>
      </c>
      <c r="B368" s="10" t="s">
        <v>741</v>
      </c>
      <c r="C368">
        <v>38481806.185342804</v>
      </c>
      <c r="E368" s="10" t="s">
        <v>583</v>
      </c>
      <c r="F368" s="151">
        <f>IF(ISNUMBER(N64),N64/SUM($I$43:$AI$71),0)</f>
        <v>3.1266612334838141E-3</v>
      </c>
    </row>
    <row r="369" spans="1:6" x14ac:dyDescent="0.25">
      <c r="A369" s="150">
        <v>364</v>
      </c>
      <c r="B369" s="10" t="s">
        <v>742</v>
      </c>
      <c r="C369">
        <v>33118987.742021602</v>
      </c>
      <c r="E369" s="10" t="s">
        <v>584</v>
      </c>
      <c r="F369" s="151">
        <f>IF(ISNUMBER(O64),O64/SUM($I$43:$AI$71),0)</f>
        <v>1.4993584437952797E-3</v>
      </c>
    </row>
    <row r="370" spans="1:6" x14ac:dyDescent="0.25">
      <c r="A370" s="150">
        <v>365</v>
      </c>
      <c r="B370" s="10" t="s">
        <v>1039</v>
      </c>
      <c r="C370">
        <v>121864407.93049601</v>
      </c>
      <c r="E370" s="10" t="s">
        <v>585</v>
      </c>
      <c r="F370" s="151">
        <f>IF(ISNUMBER(P64),P64/SUM($I$43:$AI$71),0)</f>
        <v>5.0474198083270158E-4</v>
      </c>
    </row>
    <row r="371" spans="1:6" x14ac:dyDescent="0.25">
      <c r="A371" s="150">
        <v>366</v>
      </c>
      <c r="B371" s="10" t="s">
        <v>1040</v>
      </c>
      <c r="C371">
        <v>109160931.33612099</v>
      </c>
      <c r="E371" s="10" t="s">
        <v>586</v>
      </c>
      <c r="F371" s="151">
        <f>IF(ISNUMBER(Q64),Q64/SUM($I$43:$AI$71),0)</f>
        <v>0</v>
      </c>
    </row>
    <row r="372" spans="1:6" x14ac:dyDescent="0.25">
      <c r="A372" s="150">
        <v>367</v>
      </c>
      <c r="B372" s="10" t="s">
        <v>1041</v>
      </c>
      <c r="C372">
        <v>185538336.24964899</v>
      </c>
      <c r="E372" s="10" t="s">
        <v>587</v>
      </c>
      <c r="F372" s="151">
        <f>IF(ISNUMBER(R64),R64/SUM($I$43:$AI$71),0)</f>
        <v>0</v>
      </c>
    </row>
    <row r="373" spans="1:6" x14ac:dyDescent="0.25">
      <c r="A373" s="150">
        <v>368</v>
      </c>
      <c r="B373" s="10" t="s">
        <v>1042</v>
      </c>
      <c r="C373">
        <v>182250401.450775</v>
      </c>
      <c r="E373" s="10" t="s">
        <v>588</v>
      </c>
      <c r="F373" s="151">
        <f>IF(ISNUMBER(S64),S64/SUM($I$43:$AI$71),0)</f>
        <v>0</v>
      </c>
    </row>
    <row r="374" spans="1:6" x14ac:dyDescent="0.25">
      <c r="A374" s="150">
        <v>369</v>
      </c>
      <c r="B374" s="10" t="s">
        <v>1141</v>
      </c>
      <c r="C374">
        <v>155029468.97543299</v>
      </c>
      <c r="E374" s="10" t="s">
        <v>589</v>
      </c>
      <c r="F374" s="151">
        <f>IF(ISNUMBER(T64),T64/SUM($I$43:$AI$71),0)</f>
        <v>0</v>
      </c>
    </row>
    <row r="375" spans="1:6" x14ac:dyDescent="0.25">
      <c r="A375" s="150">
        <v>370</v>
      </c>
      <c r="B375" s="10" t="s">
        <v>1142</v>
      </c>
      <c r="C375">
        <v>150205290.26382399</v>
      </c>
      <c r="E375" s="10" t="s">
        <v>1662</v>
      </c>
      <c r="F375" s="151">
        <f>IF(ISNUMBER(U64),U64/SUM($I$43:$AI$71),0)</f>
        <v>0</v>
      </c>
    </row>
    <row r="376" spans="1:6" x14ac:dyDescent="0.25">
      <c r="A376" s="150">
        <v>371</v>
      </c>
      <c r="B376" s="10" t="s">
        <v>1143</v>
      </c>
      <c r="C376">
        <v>69685729.714736894</v>
      </c>
      <c r="E376" s="10" t="s">
        <v>1663</v>
      </c>
      <c r="F376" s="151">
        <f>IF(ISNUMBER(V64),V64/SUM($I$43:$AI$71),0)</f>
        <v>0</v>
      </c>
    </row>
    <row r="377" spans="1:6" x14ac:dyDescent="0.25">
      <c r="A377" s="150">
        <v>372</v>
      </c>
      <c r="B377" s="10" t="s">
        <v>1144</v>
      </c>
      <c r="C377">
        <v>65506041.675353996</v>
      </c>
      <c r="E377" s="10" t="s">
        <v>1664</v>
      </c>
      <c r="F377" s="151">
        <f>IF(ISNUMBER(W64),W64/SUM($I$43:$AI$71),0)</f>
        <v>0</v>
      </c>
    </row>
    <row r="378" spans="1:6" x14ac:dyDescent="0.25">
      <c r="A378" s="150">
        <v>373</v>
      </c>
      <c r="B378" s="10" t="s">
        <v>1145</v>
      </c>
      <c r="C378">
        <v>16567431.4158535</v>
      </c>
      <c r="E378" s="10" t="s">
        <v>1665</v>
      </c>
      <c r="F378" s="151">
        <f>IF(ISNUMBER(X64),X64/SUM($I$43:$AI$71),0)</f>
        <v>0</v>
      </c>
    </row>
    <row r="379" spans="1:6" x14ac:dyDescent="0.25">
      <c r="A379" s="150">
        <v>374</v>
      </c>
      <c r="B379" s="10" t="s">
        <v>1146</v>
      </c>
      <c r="C379">
        <v>15009183.411929101</v>
      </c>
      <c r="E379" s="10" t="s">
        <v>1666</v>
      </c>
      <c r="F379" s="151">
        <f>IF(ISNUMBER(Y64),Y64/SUM($I$43:$AI$71),0)</f>
        <v>0</v>
      </c>
    </row>
    <row r="380" spans="1:6" x14ac:dyDescent="0.25">
      <c r="A380" s="150">
        <v>375</v>
      </c>
      <c r="B380" s="10" t="s">
        <v>1147</v>
      </c>
      <c r="C380">
        <v>405435.13293162</v>
      </c>
      <c r="E380" s="10" t="s">
        <v>1667</v>
      </c>
      <c r="F380" s="151">
        <f>IF(ISNUMBER(Z64),Z64/SUM($I$43:$AI$71),0)</f>
        <v>0</v>
      </c>
    </row>
    <row r="381" spans="1:6" x14ac:dyDescent="0.25">
      <c r="A381" s="150">
        <v>376</v>
      </c>
      <c r="B381" s="10" t="s">
        <v>1148</v>
      </c>
      <c r="C381">
        <v>521254.01322656899</v>
      </c>
      <c r="E381" s="10" t="s">
        <v>1668</v>
      </c>
      <c r="F381" s="151">
        <f>IF(ISNUMBER(AA64),AA64/SUM($I$43:$AI$71),0)</f>
        <v>3.3586998840608661E-4</v>
      </c>
    </row>
    <row r="382" spans="1:6" x14ac:dyDescent="0.25">
      <c r="A382" s="150">
        <v>377</v>
      </c>
      <c r="B382" s="10" t="s">
        <v>1149</v>
      </c>
      <c r="C382">
        <v>53726.578013673403</v>
      </c>
      <c r="E382" s="10" t="s">
        <v>1669</v>
      </c>
      <c r="F382" s="151">
        <f>IF(ISNUMBER(AB64),AB64/SUM($I$43:$AI$71),0)</f>
        <v>1.3026310523842021E-3</v>
      </c>
    </row>
    <row r="383" spans="1:6" x14ac:dyDescent="0.25">
      <c r="A383" s="150">
        <v>378</v>
      </c>
      <c r="B383" s="10" t="s">
        <v>1150</v>
      </c>
      <c r="C383">
        <v>52371.404197266304</v>
      </c>
      <c r="E383" s="10" t="s">
        <v>1670</v>
      </c>
      <c r="F383" s="151">
        <f>IF(ISNUMBER(AC64),AC64/SUM($I$43:$AI$71),0)</f>
        <v>3.024505501786168E-3</v>
      </c>
    </row>
    <row r="384" spans="1:6" x14ac:dyDescent="0.25">
      <c r="A384" s="150">
        <v>379</v>
      </c>
      <c r="B384" s="10" t="s">
        <v>743</v>
      </c>
      <c r="C384">
        <v>104397352.86327</v>
      </c>
      <c r="E384" s="10" t="s">
        <v>1671</v>
      </c>
      <c r="F384" s="151">
        <f>IF(ISNUMBER(AD64),AD64/SUM($I$43:$AI$71),0)</f>
        <v>4.2566121225260031E-3</v>
      </c>
    </row>
    <row r="385" spans="1:6" x14ac:dyDescent="0.25">
      <c r="A385" s="150">
        <v>380</v>
      </c>
      <c r="B385" s="10" t="s">
        <v>744</v>
      </c>
      <c r="C385">
        <v>64525600.729183197</v>
      </c>
      <c r="E385" s="10" t="s">
        <v>1672</v>
      </c>
      <c r="F385" s="151">
        <f>IF(ISNUMBER(AE64),AE64/SUM($I$43:$AI$71),0)</f>
        <v>3.9182898019436835E-3</v>
      </c>
    </row>
    <row r="386" spans="1:6" x14ac:dyDescent="0.25">
      <c r="A386" s="150">
        <v>381</v>
      </c>
      <c r="B386" s="10" t="s">
        <v>237</v>
      </c>
      <c r="C386">
        <v>373381036.631302</v>
      </c>
      <c r="E386" s="10" t="s">
        <v>1673</v>
      </c>
      <c r="F386" s="151">
        <f>IF(ISNUMBER(AF64),AF64/SUM($I$43:$AI$71),0)</f>
        <v>2.381887756587897E-3</v>
      </c>
    </row>
    <row r="387" spans="1:6" x14ac:dyDescent="0.25">
      <c r="A387" s="150">
        <v>382</v>
      </c>
      <c r="B387" s="10" t="s">
        <v>238</v>
      </c>
      <c r="C387">
        <v>292526982.85377502</v>
      </c>
      <c r="E387" s="10" t="s">
        <v>1674</v>
      </c>
      <c r="F387" s="151">
        <f>IF(ISNUMBER(AG64),AG64/SUM($I$43:$AI$71),0)</f>
        <v>8.9157063654297789E-4</v>
      </c>
    </row>
    <row r="388" spans="1:6" x14ac:dyDescent="0.25">
      <c r="A388" s="150">
        <v>383</v>
      </c>
      <c r="B388" s="10" t="s">
        <v>239</v>
      </c>
      <c r="C388">
        <v>540412801.90261805</v>
      </c>
      <c r="E388" s="10" t="s">
        <v>1675</v>
      </c>
      <c r="F388" s="151">
        <f>IF(ISNUMBER(AH64),AH64/SUM($I$43:$AI$71),0)</f>
        <v>1.7005795749182155E-4</v>
      </c>
    </row>
    <row r="389" spans="1:6" x14ac:dyDescent="0.25">
      <c r="A389" s="150">
        <v>384</v>
      </c>
      <c r="B389" s="10" t="s">
        <v>240</v>
      </c>
      <c r="C389">
        <v>516968147.22323602</v>
      </c>
      <c r="E389" s="10" t="s">
        <v>1676</v>
      </c>
      <c r="F389" s="151">
        <f>IF(ISNUMBER(AI64),AI64/SUM($I$43:$AI$71),0)</f>
        <v>0</v>
      </c>
    </row>
    <row r="390" spans="1:6" x14ac:dyDescent="0.25">
      <c r="A390" s="150">
        <v>385</v>
      </c>
      <c r="B390" s="10" t="s">
        <v>241</v>
      </c>
      <c r="C390">
        <v>540455038.07940698</v>
      </c>
      <c r="E390" s="10" t="s">
        <v>590</v>
      </c>
      <c r="F390" s="151">
        <f>IF(ISNUMBER(I65),I65/SUM($I$43:$AI$71),0)</f>
        <v>0</v>
      </c>
    </row>
    <row r="391" spans="1:6" x14ac:dyDescent="0.25">
      <c r="A391" s="150">
        <v>386</v>
      </c>
      <c r="B391" s="10" t="s">
        <v>242</v>
      </c>
      <c r="C391">
        <v>484566133.79898101</v>
      </c>
      <c r="E391" s="10" t="s">
        <v>591</v>
      </c>
      <c r="F391" s="151">
        <f>IF(ISNUMBER(J65),J65/SUM($I$43:$AI$71),0)</f>
        <v>6.1937727314772802E-4</v>
      </c>
    </row>
    <row r="392" spans="1:6" x14ac:dyDescent="0.25">
      <c r="A392" s="150">
        <v>387</v>
      </c>
      <c r="B392" s="10" t="s">
        <v>243</v>
      </c>
      <c r="C392">
        <v>289560936.96864301</v>
      </c>
      <c r="E392" s="10" t="s">
        <v>592</v>
      </c>
      <c r="F392" s="151">
        <f>IF(ISNUMBER(K65),K65/SUM($I$43:$AI$71),0)</f>
        <v>1.7713315013715913E-3</v>
      </c>
    </row>
    <row r="393" spans="1:6" x14ac:dyDescent="0.25">
      <c r="A393" s="150">
        <v>388</v>
      </c>
      <c r="B393" s="10" t="s">
        <v>244</v>
      </c>
      <c r="C393">
        <v>226588517.866539</v>
      </c>
      <c r="E393" s="10" t="s">
        <v>593</v>
      </c>
      <c r="F393" s="151">
        <f>IF(ISNUMBER(L65),L65/SUM($I$43:$AI$71),0)</f>
        <v>2.9632489059014887E-3</v>
      </c>
    </row>
    <row r="394" spans="1:6" x14ac:dyDescent="0.25">
      <c r="A394" s="150">
        <v>389</v>
      </c>
      <c r="B394" s="10" t="s">
        <v>245</v>
      </c>
      <c r="C394">
        <v>84905730.4193573</v>
      </c>
      <c r="E394" s="10" t="s">
        <v>594</v>
      </c>
      <c r="F394" s="151">
        <f>IF(ISNUMBER(M65),M65/SUM($I$43:$AI$71),0)</f>
        <v>3.1960245043670256E-3</v>
      </c>
    </row>
    <row r="395" spans="1:6" x14ac:dyDescent="0.25">
      <c r="A395" s="150">
        <v>390</v>
      </c>
      <c r="B395" s="10" t="s">
        <v>246</v>
      </c>
      <c r="C395">
        <v>72049425.241966203</v>
      </c>
      <c r="E395" s="10" t="s">
        <v>595</v>
      </c>
      <c r="F395" s="151">
        <f>IF(ISNUMBER(N65),N65/SUM($I$43:$AI$71),0)</f>
        <v>2.3302050418156405E-3</v>
      </c>
    </row>
    <row r="396" spans="1:6" x14ac:dyDescent="0.25">
      <c r="A396" s="150">
        <v>391</v>
      </c>
      <c r="B396" s="10" t="s">
        <v>247</v>
      </c>
      <c r="C396">
        <v>14796919.439863199</v>
      </c>
      <c r="E396" s="10" t="s">
        <v>596</v>
      </c>
      <c r="F396" s="151">
        <f>IF(ISNUMBER(O65),O65/SUM($I$43:$AI$71),0)</f>
        <v>1.1900322754670165E-3</v>
      </c>
    </row>
    <row r="397" spans="1:6" x14ac:dyDescent="0.25">
      <c r="A397" s="150">
        <v>392</v>
      </c>
      <c r="B397" s="10" t="s">
        <v>248</v>
      </c>
      <c r="C397">
        <v>13761624.172562599</v>
      </c>
      <c r="E397" s="10" t="s">
        <v>597</v>
      </c>
      <c r="F397" s="151">
        <f>IF(ISNUMBER(P65),P65/SUM($I$43:$AI$71),0)</f>
        <v>4.3975484833535427E-4</v>
      </c>
    </row>
    <row r="398" spans="1:6" x14ac:dyDescent="0.25">
      <c r="A398" s="150">
        <v>393</v>
      </c>
      <c r="B398" s="10" t="s">
        <v>249</v>
      </c>
      <c r="C398">
        <v>546751.00660941005</v>
      </c>
      <c r="E398" s="10" t="s">
        <v>598</v>
      </c>
      <c r="F398" s="151">
        <f>IF(ISNUMBER(Q65),Q65/SUM($I$43:$AI$71),0)</f>
        <v>1.0282021565782835E-4</v>
      </c>
    </row>
    <row r="399" spans="1:6" x14ac:dyDescent="0.25">
      <c r="A399" s="150">
        <v>394</v>
      </c>
      <c r="B399" s="10" t="s">
        <v>250</v>
      </c>
      <c r="C399">
        <v>674578.18601951003</v>
      </c>
      <c r="E399" s="10" t="s">
        <v>599</v>
      </c>
      <c r="F399" s="151">
        <f>IF(ISNUMBER(R65),R65/SUM($I$43:$AI$71),0)</f>
        <v>0</v>
      </c>
    </row>
    <row r="400" spans="1:6" x14ac:dyDescent="0.25">
      <c r="A400" s="150">
        <v>395</v>
      </c>
      <c r="B400" s="10" t="s">
        <v>251</v>
      </c>
      <c r="C400">
        <v>131087.50984863599</v>
      </c>
      <c r="E400" s="10" t="s">
        <v>600</v>
      </c>
      <c r="F400" s="151">
        <f>IF(ISNUMBER(S65),S65/SUM($I$43:$AI$71),0)</f>
        <v>0</v>
      </c>
    </row>
    <row r="401" spans="1:6" x14ac:dyDescent="0.25">
      <c r="A401" s="150">
        <v>396</v>
      </c>
      <c r="B401" s="10" t="s">
        <v>252</v>
      </c>
      <c r="C401">
        <v>40785.050671875499</v>
      </c>
      <c r="E401" s="10" t="s">
        <v>601</v>
      </c>
      <c r="F401" s="151">
        <f>IF(ISNUMBER(T65),T65/SUM($I$43:$AI$71),0)</f>
        <v>0</v>
      </c>
    </row>
    <row r="402" spans="1:6" x14ac:dyDescent="0.25">
      <c r="A402" s="150">
        <v>397</v>
      </c>
      <c r="B402" s="10" t="s">
        <v>253</v>
      </c>
      <c r="C402">
        <v>0</v>
      </c>
      <c r="E402" s="10" t="s">
        <v>1677</v>
      </c>
      <c r="F402" s="151">
        <f>IF(ISNUMBER(U65),U65/SUM($I$43:$AI$71),0)</f>
        <v>0</v>
      </c>
    </row>
    <row r="403" spans="1:6" x14ac:dyDescent="0.25">
      <c r="A403" s="150">
        <v>398</v>
      </c>
      <c r="B403" s="10" t="s">
        <v>254</v>
      </c>
      <c r="C403">
        <v>54692.907890629001</v>
      </c>
      <c r="E403" s="10" t="s">
        <v>1678</v>
      </c>
      <c r="F403" s="151">
        <f>IF(ISNUMBER(V65),V65/SUM($I$43:$AI$71),0)</f>
        <v>0</v>
      </c>
    </row>
    <row r="404" spans="1:6" x14ac:dyDescent="0.25">
      <c r="A404" s="150">
        <v>399</v>
      </c>
      <c r="B404" s="10" t="s">
        <v>255</v>
      </c>
      <c r="C404">
        <v>0</v>
      </c>
      <c r="E404" s="10" t="s">
        <v>1679</v>
      </c>
      <c r="F404" s="151">
        <f>IF(ISNUMBER(W65),W65/SUM($I$43:$AI$71),0)</f>
        <v>0</v>
      </c>
    </row>
    <row r="405" spans="1:6" x14ac:dyDescent="0.25">
      <c r="A405" s="150">
        <v>400</v>
      </c>
      <c r="B405" s="10" t="s">
        <v>256</v>
      </c>
      <c r="C405">
        <v>0</v>
      </c>
      <c r="E405" s="10" t="s">
        <v>1680</v>
      </c>
      <c r="F405" s="151">
        <f>IF(ISNUMBER(X65),X65/SUM($I$43:$AI$71),0)</f>
        <v>0</v>
      </c>
    </row>
    <row r="406" spans="1:6" x14ac:dyDescent="0.25">
      <c r="A406" s="150">
        <v>401</v>
      </c>
      <c r="B406" s="10" t="s">
        <v>257</v>
      </c>
      <c r="C406">
        <v>0</v>
      </c>
      <c r="E406" s="10" t="s">
        <v>1681</v>
      </c>
      <c r="F406" s="151">
        <f>IF(ISNUMBER(Y65),Y65/SUM($I$43:$AI$71),0)</f>
        <v>0</v>
      </c>
    </row>
    <row r="407" spans="1:6" x14ac:dyDescent="0.25">
      <c r="A407" s="150">
        <v>402</v>
      </c>
      <c r="B407" s="10" t="s">
        <v>258</v>
      </c>
      <c r="C407">
        <v>81373.368259765193</v>
      </c>
      <c r="E407" s="10" t="s">
        <v>1682</v>
      </c>
      <c r="F407" s="151">
        <f>IF(ISNUMBER(Z65),Z65/SUM($I$43:$AI$71),0)</f>
        <v>0</v>
      </c>
    </row>
    <row r="408" spans="1:6" x14ac:dyDescent="0.25">
      <c r="A408" s="150">
        <v>403</v>
      </c>
      <c r="B408" s="10" t="s">
        <v>745</v>
      </c>
      <c r="C408">
        <v>13602850.8364382</v>
      </c>
      <c r="E408" s="10" t="s">
        <v>1683</v>
      </c>
      <c r="F408" s="151">
        <f>IF(ISNUMBER(AA65),AA65/SUM($I$43:$AI$71),0)</f>
        <v>0</v>
      </c>
    </row>
    <row r="409" spans="1:6" x14ac:dyDescent="0.25">
      <c r="A409" s="150">
        <v>404</v>
      </c>
      <c r="B409" s="10" t="s">
        <v>746</v>
      </c>
      <c r="C409">
        <v>13140442.0034332</v>
      </c>
      <c r="E409" s="10" t="s">
        <v>1684</v>
      </c>
      <c r="F409" s="151">
        <f>IF(ISNUMBER(AB65),AB65/SUM($I$43:$AI$71),0)</f>
        <v>3.7449743313127282E-4</v>
      </c>
    </row>
    <row r="410" spans="1:6" x14ac:dyDescent="0.25">
      <c r="A410" s="150">
        <v>405</v>
      </c>
      <c r="B410" s="10" t="s">
        <v>1043</v>
      </c>
      <c r="C410">
        <v>80261493.728664398</v>
      </c>
      <c r="E410" s="10" t="s">
        <v>1685</v>
      </c>
      <c r="F410" s="151">
        <f>IF(ISNUMBER(AC65),AC65/SUM($I$43:$AI$71),0)</f>
        <v>1.3740534949513426E-3</v>
      </c>
    </row>
    <row r="411" spans="1:6" x14ac:dyDescent="0.25">
      <c r="A411" s="150">
        <v>406</v>
      </c>
      <c r="B411" s="10" t="s">
        <v>1044</v>
      </c>
      <c r="C411">
        <v>75417477.966850296</v>
      </c>
      <c r="E411" s="10" t="s">
        <v>1686</v>
      </c>
      <c r="F411" s="151">
        <f>IF(ISNUMBER(AD65),AD65/SUM($I$43:$AI$71),0)</f>
        <v>2.7593265562004497E-3</v>
      </c>
    </row>
    <row r="412" spans="1:6" x14ac:dyDescent="0.25">
      <c r="A412" s="150">
        <v>407</v>
      </c>
      <c r="B412" s="10" t="s">
        <v>1045</v>
      </c>
      <c r="C412">
        <v>205240466.711411</v>
      </c>
      <c r="E412" s="10" t="s">
        <v>1687</v>
      </c>
      <c r="F412" s="151">
        <f>IF(ISNUMBER(AE65),AE65/SUM($I$43:$AI$71),0)</f>
        <v>3.5963064131995632E-3</v>
      </c>
    </row>
    <row r="413" spans="1:6" x14ac:dyDescent="0.25">
      <c r="A413" s="150">
        <v>408</v>
      </c>
      <c r="B413" s="10" t="s">
        <v>1046</v>
      </c>
      <c r="C413">
        <v>195613423.24913001</v>
      </c>
      <c r="E413" s="10" t="s">
        <v>1688</v>
      </c>
      <c r="F413" s="151">
        <f>IF(ISNUMBER(AF65),AF65/SUM($I$43:$AI$71),0)</f>
        <v>3.0577710426574144E-3</v>
      </c>
    </row>
    <row r="414" spans="1:6" x14ac:dyDescent="0.25">
      <c r="A414" s="150">
        <v>409</v>
      </c>
      <c r="B414" s="10" t="s">
        <v>1151</v>
      </c>
      <c r="C414">
        <v>277344147.48796099</v>
      </c>
      <c r="E414" s="10" t="s">
        <v>1689</v>
      </c>
      <c r="F414" s="151">
        <f>IF(ISNUMBER(AG65),AG65/SUM($I$43:$AI$71),0)</f>
        <v>1.7878585172270531E-3</v>
      </c>
    </row>
    <row r="415" spans="1:6" x14ac:dyDescent="0.25">
      <c r="A415" s="150">
        <v>410</v>
      </c>
      <c r="B415" s="10" t="s">
        <v>1152</v>
      </c>
      <c r="C415">
        <v>264664094.65669301</v>
      </c>
      <c r="E415" s="10" t="s">
        <v>1690</v>
      </c>
      <c r="F415" s="151">
        <f>IF(ISNUMBER(AH65),AH65/SUM($I$43:$AI$71),0)</f>
        <v>6.2338282223535436E-4</v>
      </c>
    </row>
    <row r="416" spans="1:6" x14ac:dyDescent="0.25">
      <c r="A416" s="150">
        <v>411</v>
      </c>
      <c r="B416" s="10" t="s">
        <v>1153</v>
      </c>
      <c r="C416">
        <v>206764466.63549799</v>
      </c>
      <c r="E416" s="10" t="s">
        <v>1691</v>
      </c>
      <c r="F416" s="151">
        <f>IF(ISNUMBER(AI65),AI65/SUM($I$43:$AI$71),0)</f>
        <v>9.9755240188333452E-5</v>
      </c>
    </row>
    <row r="417" spans="1:6" x14ac:dyDescent="0.25">
      <c r="A417" s="150">
        <v>412</v>
      </c>
      <c r="B417" s="10" t="s">
        <v>1154</v>
      </c>
      <c r="C417">
        <v>192003444.378387</v>
      </c>
      <c r="E417" s="10" t="s">
        <v>602</v>
      </c>
      <c r="F417" s="151">
        <f>IF(ISNUMBER(I66),I66/SUM($I$43:$AI$71),0)</f>
        <v>0</v>
      </c>
    </row>
    <row r="418" spans="1:6" x14ac:dyDescent="0.25">
      <c r="A418" s="150">
        <v>413</v>
      </c>
      <c r="B418" s="10" t="s">
        <v>1155</v>
      </c>
      <c r="C418">
        <v>92064730.096336395</v>
      </c>
      <c r="E418" s="10" t="s">
        <v>603</v>
      </c>
      <c r="F418" s="151">
        <f>IF(ISNUMBER(J66),J66/SUM($I$43:$AI$71),0)</f>
        <v>4.5138520405338324E-4</v>
      </c>
    </row>
    <row r="419" spans="1:6" x14ac:dyDescent="0.25">
      <c r="A419" s="150">
        <v>414</v>
      </c>
      <c r="B419" s="10" t="s">
        <v>1156</v>
      </c>
      <c r="C419">
        <v>84526724.613365203</v>
      </c>
      <c r="E419" s="10" t="s">
        <v>604</v>
      </c>
      <c r="F419" s="151">
        <f>IF(ISNUMBER(K66),K66/SUM($I$43:$AI$71),0)</f>
        <v>1.2404764044747585E-3</v>
      </c>
    </row>
    <row r="420" spans="1:6" x14ac:dyDescent="0.25">
      <c r="A420" s="150">
        <v>415</v>
      </c>
      <c r="B420" s="10" t="s">
        <v>1157</v>
      </c>
      <c r="C420">
        <v>22123696.562644999</v>
      </c>
      <c r="E420" s="10" t="s">
        <v>605</v>
      </c>
      <c r="F420" s="151">
        <f>IF(ISNUMBER(L66),L66/SUM($I$43:$AI$71),0)</f>
        <v>2.0405611032606364E-3</v>
      </c>
    </row>
    <row r="421" spans="1:6" x14ac:dyDescent="0.25">
      <c r="A421" s="150">
        <v>416</v>
      </c>
      <c r="B421" s="10" t="s">
        <v>1158</v>
      </c>
      <c r="C421">
        <v>21525118.6307697</v>
      </c>
      <c r="E421" s="10" t="s">
        <v>606</v>
      </c>
      <c r="F421" s="151">
        <f>IF(ISNUMBER(M66),M66/SUM($I$43:$AI$71),0)</f>
        <v>2.2601900443615626E-3</v>
      </c>
    </row>
    <row r="422" spans="1:6" x14ac:dyDescent="0.25">
      <c r="A422" s="150">
        <v>417</v>
      </c>
      <c r="B422" s="10" t="s">
        <v>1159</v>
      </c>
      <c r="C422">
        <v>653423.04831200803</v>
      </c>
      <c r="E422" s="10" t="s">
        <v>607</v>
      </c>
      <c r="F422" s="151">
        <f>IF(ISNUMBER(N66),N66/SUM($I$43:$AI$71),0)</f>
        <v>1.8181974297065812E-3</v>
      </c>
    </row>
    <row r="423" spans="1:6" x14ac:dyDescent="0.25">
      <c r="A423" s="150">
        <v>418</v>
      </c>
      <c r="B423" s="10" t="s">
        <v>1160</v>
      </c>
      <c r="C423">
        <v>983087.62749218906</v>
      </c>
      <c r="E423" s="10" t="s">
        <v>608</v>
      </c>
      <c r="F423" s="151">
        <f>IF(ISNUMBER(O66),O66/SUM($I$43:$AI$71),0)</f>
        <v>1.011123920824842E-3</v>
      </c>
    </row>
    <row r="424" spans="1:6" x14ac:dyDescent="0.25">
      <c r="A424" s="150">
        <v>419</v>
      </c>
      <c r="B424" s="10" t="s">
        <v>1161</v>
      </c>
      <c r="C424">
        <v>31889.052600584899</v>
      </c>
      <c r="E424" s="10" t="s">
        <v>609</v>
      </c>
      <c r="F424" s="151">
        <f>IF(ISNUMBER(P66),P66/SUM($I$43:$AI$71),0)</f>
        <v>3.8722321565118291E-4</v>
      </c>
    </row>
    <row r="425" spans="1:6" x14ac:dyDescent="0.25">
      <c r="A425" s="150">
        <v>420</v>
      </c>
      <c r="B425" s="10" t="s">
        <v>1162</v>
      </c>
      <c r="C425">
        <v>25580.482419434</v>
      </c>
      <c r="E425" s="10" t="s">
        <v>610</v>
      </c>
      <c r="F425" s="151">
        <f>IF(ISNUMBER(Q66),Q66/SUM($I$43:$AI$71),0)</f>
        <v>8.8957441702374284E-5</v>
      </c>
    </row>
    <row r="426" spans="1:6" x14ac:dyDescent="0.25">
      <c r="A426" s="150">
        <v>421</v>
      </c>
      <c r="B426" s="10" t="s">
        <v>259</v>
      </c>
      <c r="C426">
        <v>88798058.752960205</v>
      </c>
      <c r="E426" s="10" t="s">
        <v>611</v>
      </c>
      <c r="F426" s="151">
        <f>IF(ISNUMBER(R66),R66/SUM($I$43:$AI$71),0)</f>
        <v>0</v>
      </c>
    </row>
    <row r="427" spans="1:6" x14ac:dyDescent="0.25">
      <c r="A427" s="150">
        <v>422</v>
      </c>
      <c r="B427" s="10" t="s">
        <v>260</v>
      </c>
      <c r="C427">
        <v>56533976.119945496</v>
      </c>
      <c r="E427" s="10" t="s">
        <v>612</v>
      </c>
      <c r="F427" s="151">
        <f>IF(ISNUMBER(S66),S66/SUM($I$43:$AI$71),0)</f>
        <v>0</v>
      </c>
    </row>
    <row r="428" spans="1:6" x14ac:dyDescent="0.25">
      <c r="A428" s="150">
        <v>423</v>
      </c>
      <c r="B428" s="10" t="s">
        <v>261</v>
      </c>
      <c r="C428">
        <v>385912829.434982</v>
      </c>
      <c r="E428" s="10" t="s">
        <v>1692</v>
      </c>
      <c r="F428" s="151">
        <f>IF(ISNUMBER(T66),T66/SUM($I$43:$AI$71),0)</f>
        <v>0</v>
      </c>
    </row>
    <row r="429" spans="1:6" x14ac:dyDescent="0.25">
      <c r="A429" s="150">
        <v>424</v>
      </c>
      <c r="B429" s="10" t="s">
        <v>262</v>
      </c>
      <c r="C429">
        <v>307692541.21757501</v>
      </c>
      <c r="E429" s="10" t="s">
        <v>1693</v>
      </c>
      <c r="F429" s="151">
        <f>IF(ISNUMBER(U66),U66/SUM($I$43:$AI$71),0)</f>
        <v>0</v>
      </c>
    </row>
    <row r="430" spans="1:6" x14ac:dyDescent="0.25">
      <c r="A430" s="150">
        <v>425</v>
      </c>
      <c r="B430" s="10" t="s">
        <v>263</v>
      </c>
      <c r="C430">
        <v>691679178.98669398</v>
      </c>
      <c r="E430" s="10" t="s">
        <v>1694</v>
      </c>
      <c r="F430" s="151">
        <f>IF(ISNUMBER(V66),V66/SUM($I$43:$AI$71),0)</f>
        <v>0</v>
      </c>
    </row>
    <row r="431" spans="1:6" x14ac:dyDescent="0.25">
      <c r="A431" s="150">
        <v>426</v>
      </c>
      <c r="B431" s="10" t="s">
        <v>264</v>
      </c>
      <c r="C431">
        <v>659602253.73114002</v>
      </c>
      <c r="E431" s="10" t="s">
        <v>1695</v>
      </c>
      <c r="F431" s="151">
        <f>IF(ISNUMBER(W66),W66/SUM($I$43:$AI$71),0)</f>
        <v>0</v>
      </c>
    </row>
    <row r="432" spans="1:6" x14ac:dyDescent="0.25">
      <c r="A432" s="150">
        <v>427</v>
      </c>
      <c r="B432" s="10" t="s">
        <v>265</v>
      </c>
      <c r="C432">
        <v>784192477.89923096</v>
      </c>
      <c r="E432" s="10" t="s">
        <v>1696</v>
      </c>
      <c r="F432" s="151">
        <f>IF(ISNUMBER(X66),X66/SUM($I$43:$AI$71),0)</f>
        <v>0</v>
      </c>
    </row>
    <row r="433" spans="1:6" x14ac:dyDescent="0.25">
      <c r="A433" s="150">
        <v>428</v>
      </c>
      <c r="B433" s="10" t="s">
        <v>266</v>
      </c>
      <c r="C433">
        <v>705472323.72149706</v>
      </c>
      <c r="E433" s="10" t="s">
        <v>1697</v>
      </c>
      <c r="F433" s="151">
        <f>IF(ISNUMBER(Y66),Y66/SUM($I$43:$AI$71),0)</f>
        <v>0</v>
      </c>
    </row>
    <row r="434" spans="1:6" x14ac:dyDescent="0.25">
      <c r="A434" s="150">
        <v>429</v>
      </c>
      <c r="B434" s="10" t="s">
        <v>267</v>
      </c>
      <c r="C434">
        <v>472104930.88116503</v>
      </c>
      <c r="E434" s="10" t="s">
        <v>1698</v>
      </c>
      <c r="F434" s="151">
        <f>IF(ISNUMBER(Z66),Z66/SUM($I$43:$AI$71),0)</f>
        <v>0</v>
      </c>
    </row>
    <row r="435" spans="1:6" x14ac:dyDescent="0.25">
      <c r="A435" s="150">
        <v>430</v>
      </c>
      <c r="B435" s="10" t="s">
        <v>268</v>
      </c>
      <c r="C435">
        <v>370882460.678406</v>
      </c>
      <c r="E435" s="10" t="s">
        <v>1699</v>
      </c>
      <c r="F435" s="151">
        <f>IF(ISNUMBER(AA66),AA66/SUM($I$43:$AI$71),0)</f>
        <v>0</v>
      </c>
    </row>
    <row r="436" spans="1:6" x14ac:dyDescent="0.25">
      <c r="A436" s="150">
        <v>431</v>
      </c>
      <c r="B436" s="10" t="s">
        <v>269</v>
      </c>
      <c r="C436">
        <v>159934208.278725</v>
      </c>
      <c r="E436" s="10" t="s">
        <v>1700</v>
      </c>
      <c r="F436" s="151">
        <f>IF(ISNUMBER(AB66),AB66/SUM($I$43:$AI$71),0)</f>
        <v>3.0156724196754069E-5</v>
      </c>
    </row>
    <row r="437" spans="1:6" x14ac:dyDescent="0.25">
      <c r="A437" s="150">
        <v>432</v>
      </c>
      <c r="B437" s="10" t="s">
        <v>270</v>
      </c>
      <c r="C437">
        <v>134102014.555115</v>
      </c>
      <c r="E437" s="10" t="s">
        <v>1701</v>
      </c>
      <c r="F437" s="151">
        <f>IF(ISNUMBER(AC66),AC66/SUM($I$43:$AI$71),0)</f>
        <v>3.5225733207106951E-4</v>
      </c>
    </row>
    <row r="438" spans="1:6" x14ac:dyDescent="0.25">
      <c r="A438" s="150">
        <v>433</v>
      </c>
      <c r="B438" s="10" t="s">
        <v>271</v>
      </c>
      <c r="C438">
        <v>34548280.7920551</v>
      </c>
      <c r="E438" s="10" t="s">
        <v>1702</v>
      </c>
      <c r="F438" s="151">
        <f>IF(ISNUMBER(AD66),AD66/SUM($I$43:$AI$71),0)</f>
        <v>1.0746057761082638E-3</v>
      </c>
    </row>
    <row r="439" spans="1:6" x14ac:dyDescent="0.25">
      <c r="A439" s="150">
        <v>434</v>
      </c>
      <c r="B439" s="10" t="s">
        <v>272</v>
      </c>
      <c r="C439">
        <v>32411789.797866799</v>
      </c>
      <c r="E439" s="10" t="s">
        <v>1703</v>
      </c>
      <c r="F439" s="151">
        <f>IF(ISNUMBER(AE66),AE66/SUM($I$43:$AI$71),0)</f>
        <v>1.9826063891355602E-3</v>
      </c>
    </row>
    <row r="440" spans="1:6" x14ac:dyDescent="0.25">
      <c r="A440" s="150">
        <v>435</v>
      </c>
      <c r="B440" s="10" t="s">
        <v>273</v>
      </c>
      <c r="C440">
        <v>3988088.4378397502</v>
      </c>
      <c r="E440" s="10" t="s">
        <v>1704</v>
      </c>
      <c r="F440" s="151">
        <f>IF(ISNUMBER(AF66),AF66/SUM($I$43:$AI$71),0)</f>
        <v>2.4297620238037465E-3</v>
      </c>
    </row>
    <row r="441" spans="1:6" x14ac:dyDescent="0.25">
      <c r="A441" s="150">
        <v>436</v>
      </c>
      <c r="B441" s="10" t="s">
        <v>274</v>
      </c>
      <c r="C441">
        <v>3052634.4697266798</v>
      </c>
      <c r="E441" s="10" t="s">
        <v>1705</v>
      </c>
      <c r="F441" s="151">
        <f>IF(ISNUMBER(AG66),AG66/SUM($I$43:$AI$71),0)</f>
        <v>2.0387420898760177E-3</v>
      </c>
    </row>
    <row r="442" spans="1:6" x14ac:dyDescent="0.25">
      <c r="A442" s="150">
        <v>437</v>
      </c>
      <c r="B442" s="10" t="s">
        <v>275</v>
      </c>
      <c r="C442">
        <v>289367.75782032299</v>
      </c>
      <c r="E442" s="10" t="s">
        <v>1706</v>
      </c>
      <c r="F442" s="151">
        <f>IF(ISNUMBER(AH66),AH66/SUM($I$43:$AI$71),0)</f>
        <v>1.0998987175179539E-3</v>
      </c>
    </row>
    <row r="443" spans="1:6" x14ac:dyDescent="0.25">
      <c r="A443" s="150">
        <v>438</v>
      </c>
      <c r="B443" s="10" t="s">
        <v>276</v>
      </c>
      <c r="C443">
        <v>240001.05351562801</v>
      </c>
      <c r="E443" s="10" t="s">
        <v>1707</v>
      </c>
      <c r="F443" s="151">
        <f>IF(ISNUMBER(AI66),AI66/SUM($I$43:$AI$71),0)</f>
        <v>0</v>
      </c>
    </row>
    <row r="444" spans="1:6" x14ac:dyDescent="0.25">
      <c r="A444" s="150">
        <v>439</v>
      </c>
      <c r="B444" s="10" t="s">
        <v>277</v>
      </c>
      <c r="C444">
        <v>51453.591114256502</v>
      </c>
      <c r="E444" s="10" t="s">
        <v>613</v>
      </c>
      <c r="F444" s="151">
        <f>IF(ISNUMBER(I67),I67/SUM($I$43:$AI$71),0)</f>
        <v>0</v>
      </c>
    </row>
    <row r="445" spans="1:6" x14ac:dyDescent="0.25">
      <c r="A445" s="150">
        <v>440</v>
      </c>
      <c r="B445" s="10" t="s">
        <v>278</v>
      </c>
      <c r="C445">
        <v>40007.701677735902</v>
      </c>
      <c r="E445" s="10" t="s">
        <v>614</v>
      </c>
      <c r="F445" s="151">
        <f>IF(ISNUMBER(J67),J67/SUM($I$43:$AI$71),0)</f>
        <v>3.2565707476312812E-4</v>
      </c>
    </row>
    <row r="446" spans="1:6" x14ac:dyDescent="0.25">
      <c r="A446" s="150">
        <v>441</v>
      </c>
      <c r="B446" s="10" t="s">
        <v>279</v>
      </c>
      <c r="C446">
        <v>14924.078077148401</v>
      </c>
      <c r="E446" s="10" t="s">
        <v>615</v>
      </c>
      <c r="F446" s="151">
        <f>IF(ISNUMBER(K67),K67/SUM($I$43:$AI$71),0)</f>
        <v>7.9916580457415557E-4</v>
      </c>
    </row>
    <row r="447" spans="1:6" x14ac:dyDescent="0.25">
      <c r="A447" s="150">
        <v>442</v>
      </c>
      <c r="B447" s="10" t="s">
        <v>280</v>
      </c>
      <c r="C447">
        <v>117423.673394531</v>
      </c>
      <c r="E447" s="10" t="s">
        <v>616</v>
      </c>
      <c r="F447" s="151">
        <f>IF(ISNUMBER(L67),L67/SUM($I$43:$AI$71),0)</f>
        <v>1.2620597544013359E-3</v>
      </c>
    </row>
    <row r="448" spans="1:6" x14ac:dyDescent="0.25">
      <c r="A448" s="150">
        <v>443</v>
      </c>
      <c r="B448" s="10" t="s">
        <v>747</v>
      </c>
      <c r="C448">
        <v>0</v>
      </c>
      <c r="E448" s="10" t="s">
        <v>617</v>
      </c>
      <c r="F448" s="151">
        <f>IF(ISNUMBER(M67),M67/SUM($I$43:$AI$71),0)</f>
        <v>1.5057675645468935E-3</v>
      </c>
    </row>
    <row r="449" spans="1:6" x14ac:dyDescent="0.25">
      <c r="A449" s="150">
        <v>444</v>
      </c>
      <c r="B449" s="10" t="s">
        <v>748</v>
      </c>
      <c r="C449">
        <v>0</v>
      </c>
      <c r="E449" s="10" t="s">
        <v>618</v>
      </c>
      <c r="F449" s="151">
        <f>IF(ISNUMBER(N67),N67/SUM($I$43:$AI$71),0)</f>
        <v>1.238744492854794E-3</v>
      </c>
    </row>
    <row r="450" spans="1:6" x14ac:dyDescent="0.25">
      <c r="A450" s="150">
        <v>445</v>
      </c>
      <c r="B450" s="10" t="s">
        <v>749</v>
      </c>
      <c r="C450">
        <v>1116943.9775976499</v>
      </c>
      <c r="E450" s="10" t="s">
        <v>619</v>
      </c>
      <c r="F450" s="151">
        <f>IF(ISNUMBER(O67),O67/SUM($I$43:$AI$71),0)</f>
        <v>7.3836389852149963E-4</v>
      </c>
    </row>
    <row r="451" spans="1:6" x14ac:dyDescent="0.25">
      <c r="A451" s="150">
        <v>446</v>
      </c>
      <c r="B451" s="10" t="s">
        <v>750</v>
      </c>
      <c r="C451">
        <v>1339208.02713674</v>
      </c>
      <c r="E451" s="10" t="s">
        <v>620</v>
      </c>
      <c r="F451" s="151">
        <f>IF(ISNUMBER(P67),P67/SUM($I$43:$AI$71),0)</f>
        <v>3.0074616533776178E-4</v>
      </c>
    </row>
    <row r="452" spans="1:6" x14ac:dyDescent="0.25">
      <c r="A452" s="150">
        <v>447</v>
      </c>
      <c r="B452" s="10" t="s">
        <v>1047</v>
      </c>
      <c r="C452">
        <v>30908624.9462891</v>
      </c>
      <c r="E452" s="10" t="s">
        <v>621</v>
      </c>
      <c r="F452" s="151">
        <f>IF(ISNUMBER(Q67),Q67/SUM($I$43:$AI$71),0)</f>
        <v>6.9998051117815753E-5</v>
      </c>
    </row>
    <row r="453" spans="1:6" x14ac:dyDescent="0.25">
      <c r="A453" s="150">
        <v>448</v>
      </c>
      <c r="B453" s="10" t="s">
        <v>1048</v>
      </c>
      <c r="C453">
        <v>29147188.678878799</v>
      </c>
      <c r="E453" s="10" t="s">
        <v>622</v>
      </c>
      <c r="F453" s="151">
        <f>IF(ISNUMBER(R67),R67/SUM($I$43:$AI$71),0)</f>
        <v>0</v>
      </c>
    </row>
    <row r="454" spans="1:6" x14ac:dyDescent="0.25">
      <c r="A454" s="150">
        <v>449</v>
      </c>
      <c r="B454" s="10" t="s">
        <v>1163</v>
      </c>
      <c r="C454">
        <v>130316928.378258</v>
      </c>
      <c r="E454" s="10" t="s">
        <v>623</v>
      </c>
      <c r="F454" s="151">
        <f>IF(ISNUMBER(S67),S67/SUM($I$43:$AI$71),0)</f>
        <v>0</v>
      </c>
    </row>
    <row r="455" spans="1:6" x14ac:dyDescent="0.25">
      <c r="A455" s="150">
        <v>450</v>
      </c>
      <c r="B455" s="10" t="s">
        <v>1164</v>
      </c>
      <c r="C455">
        <v>127960016.759048</v>
      </c>
      <c r="E455" s="10" t="s">
        <v>1708</v>
      </c>
      <c r="F455" s="151">
        <f>IF(ISNUMBER(T67),T67/SUM($I$43:$AI$71),0)</f>
        <v>0</v>
      </c>
    </row>
    <row r="456" spans="1:6" x14ac:dyDescent="0.25">
      <c r="A456" s="150">
        <v>451</v>
      </c>
      <c r="B456" s="10" t="s">
        <v>1165</v>
      </c>
      <c r="C456">
        <v>285964594.063568</v>
      </c>
      <c r="E456" s="10" t="s">
        <v>1709</v>
      </c>
      <c r="F456" s="151">
        <f>IF(ISNUMBER(U67),U67/SUM($I$43:$AI$71),0)</f>
        <v>0</v>
      </c>
    </row>
    <row r="457" spans="1:6" x14ac:dyDescent="0.25">
      <c r="A457" s="150">
        <v>452</v>
      </c>
      <c r="B457" s="10" t="s">
        <v>1166</v>
      </c>
      <c r="C457">
        <v>273212723.823654</v>
      </c>
      <c r="E457" s="10" t="s">
        <v>1710</v>
      </c>
      <c r="F457" s="151">
        <f>IF(ISNUMBER(V67),V67/SUM($I$43:$AI$71),0)</f>
        <v>0</v>
      </c>
    </row>
    <row r="458" spans="1:6" x14ac:dyDescent="0.25">
      <c r="A458" s="150">
        <v>453</v>
      </c>
      <c r="B458" s="10" t="s">
        <v>1167</v>
      </c>
      <c r="C458">
        <v>344247389.31359899</v>
      </c>
      <c r="E458" s="10" t="s">
        <v>1711</v>
      </c>
      <c r="F458" s="151">
        <f>IF(ISNUMBER(W67),W67/SUM($I$43:$AI$71),0)</f>
        <v>0</v>
      </c>
    </row>
    <row r="459" spans="1:6" x14ac:dyDescent="0.25">
      <c r="A459" s="150">
        <v>454</v>
      </c>
      <c r="B459" s="10" t="s">
        <v>1168</v>
      </c>
      <c r="C459">
        <v>311274434.48539698</v>
      </c>
      <c r="E459" s="10" t="s">
        <v>1712</v>
      </c>
      <c r="F459" s="151">
        <f>IF(ISNUMBER(X67),X67/SUM($I$43:$AI$71),0)</f>
        <v>0</v>
      </c>
    </row>
    <row r="460" spans="1:6" x14ac:dyDescent="0.25">
      <c r="A460" s="150">
        <v>455</v>
      </c>
      <c r="B460" s="10" t="s">
        <v>1169</v>
      </c>
      <c r="C460">
        <v>249507804.289612</v>
      </c>
      <c r="E460" s="10" t="s">
        <v>1713</v>
      </c>
      <c r="F460" s="151">
        <f>IF(ISNUMBER(Y67),Y67/SUM($I$43:$AI$71),0)</f>
        <v>0</v>
      </c>
    </row>
    <row r="461" spans="1:6" x14ac:dyDescent="0.25">
      <c r="A461" s="150">
        <v>456</v>
      </c>
      <c r="B461" s="10" t="s">
        <v>1170</v>
      </c>
      <c r="C461">
        <v>224955689.94726601</v>
      </c>
      <c r="E461" s="10" t="s">
        <v>1714</v>
      </c>
      <c r="F461" s="151">
        <f>IF(ISNUMBER(Z67),Z67/SUM($I$43:$AI$71),0)</f>
        <v>0</v>
      </c>
    </row>
    <row r="462" spans="1:6" x14ac:dyDescent="0.25">
      <c r="A462" s="150">
        <v>457</v>
      </c>
      <c r="B462" s="10" t="s">
        <v>1171</v>
      </c>
      <c r="C462">
        <v>106331206.962448</v>
      </c>
      <c r="E462" s="10" t="s">
        <v>1715</v>
      </c>
      <c r="F462" s="151">
        <f>IF(ISNUMBER(AA67),AA67/SUM($I$43:$AI$71),0)</f>
        <v>0</v>
      </c>
    </row>
    <row r="463" spans="1:6" x14ac:dyDescent="0.25">
      <c r="A463" s="150">
        <v>458</v>
      </c>
      <c r="B463" s="10" t="s">
        <v>1172</v>
      </c>
      <c r="C463">
        <v>102066699.16774</v>
      </c>
      <c r="E463" s="10" t="s">
        <v>1716</v>
      </c>
      <c r="F463" s="151">
        <f>IF(ISNUMBER(AB67),AB67/SUM($I$43:$AI$71),0)</f>
        <v>0</v>
      </c>
    </row>
    <row r="464" spans="1:6" x14ac:dyDescent="0.25">
      <c r="A464" s="150">
        <v>459</v>
      </c>
      <c r="B464" s="10" t="s">
        <v>1173</v>
      </c>
      <c r="C464">
        <v>25895582.391061801</v>
      </c>
      <c r="E464" s="10" t="s">
        <v>1717</v>
      </c>
      <c r="F464" s="151">
        <f>IF(ISNUMBER(AC67),AC67/SUM($I$43:$AI$71),0)</f>
        <v>4.5660415934386034E-5</v>
      </c>
    </row>
    <row r="465" spans="1:6" x14ac:dyDescent="0.25">
      <c r="A465" s="150">
        <v>460</v>
      </c>
      <c r="B465" s="10" t="s">
        <v>1174</v>
      </c>
      <c r="C465">
        <v>24793512.9090042</v>
      </c>
      <c r="E465" s="10" t="s">
        <v>1718</v>
      </c>
      <c r="F465" s="151">
        <f>IF(ISNUMBER(AD67),AD67/SUM($I$43:$AI$71),0)</f>
        <v>2.9247758239894117E-4</v>
      </c>
    </row>
    <row r="466" spans="1:6" x14ac:dyDescent="0.25">
      <c r="A466" s="150">
        <v>461</v>
      </c>
      <c r="B466" s="10" t="s">
        <v>1175</v>
      </c>
      <c r="C466">
        <v>1286751.21415627</v>
      </c>
      <c r="E466" s="10" t="s">
        <v>1719</v>
      </c>
      <c r="F466" s="151">
        <f>IF(ISNUMBER(AE67),AE67/SUM($I$43:$AI$71),0)</f>
        <v>8.6176598585746859E-4</v>
      </c>
    </row>
    <row r="467" spans="1:6" x14ac:dyDescent="0.25">
      <c r="A467" s="150">
        <v>462</v>
      </c>
      <c r="B467" s="10" t="s">
        <v>1176</v>
      </c>
      <c r="C467">
        <v>694013.67045706499</v>
      </c>
      <c r="E467" s="10" t="s">
        <v>1720</v>
      </c>
      <c r="F467" s="151">
        <f>IF(ISNUMBER(AF67),AF67/SUM($I$43:$AI$71),0)</f>
        <v>1.4694718667724947E-3</v>
      </c>
    </row>
    <row r="468" spans="1:6" x14ac:dyDescent="0.25">
      <c r="A468" s="150">
        <v>463</v>
      </c>
      <c r="B468" s="10" t="s">
        <v>1177</v>
      </c>
      <c r="C468">
        <v>42108.5609179698</v>
      </c>
      <c r="E468" s="10" t="s">
        <v>1721</v>
      </c>
      <c r="F468" s="151">
        <f>IF(ISNUMBER(AG67),AG67/SUM($I$43:$AI$71),0)</f>
        <v>1.6553121754823428E-3</v>
      </c>
    </row>
    <row r="469" spans="1:6" x14ac:dyDescent="0.25">
      <c r="A469" s="150">
        <v>464</v>
      </c>
      <c r="B469" s="10" t="s">
        <v>1178</v>
      </c>
      <c r="C469">
        <v>80720.048791989699</v>
      </c>
      <c r="E469" s="10" t="s">
        <v>1722</v>
      </c>
      <c r="F469" s="151">
        <f>IF(ISNUMBER(AH67),AH67/SUM($I$43:$AI$71),0)</f>
        <v>1.2383841789613634E-3</v>
      </c>
    </row>
    <row r="470" spans="1:6" x14ac:dyDescent="0.25">
      <c r="A470" s="150">
        <v>465</v>
      </c>
      <c r="B470" s="10" t="s">
        <v>751</v>
      </c>
      <c r="C470">
        <v>74287446.6154861</v>
      </c>
      <c r="E470" s="10" t="s">
        <v>1723</v>
      </c>
      <c r="F470" s="151">
        <f>IF(ISNUMBER(AI67),AI67/SUM($I$43:$AI$71),0)</f>
        <v>0</v>
      </c>
    </row>
    <row r="471" spans="1:6" x14ac:dyDescent="0.25">
      <c r="A471" s="150">
        <v>466</v>
      </c>
      <c r="B471" s="10" t="s">
        <v>752</v>
      </c>
      <c r="C471">
        <v>46303603.468269303</v>
      </c>
      <c r="E471" s="10" t="s">
        <v>624</v>
      </c>
      <c r="F471" s="151">
        <f>IF(ISNUMBER(I68),I68/SUM($I$43:$AI$71),0)</f>
        <v>0</v>
      </c>
    </row>
    <row r="472" spans="1:6" x14ac:dyDescent="0.25">
      <c r="A472" s="150">
        <v>467</v>
      </c>
      <c r="B472" s="10" t="s">
        <v>281</v>
      </c>
      <c r="C472">
        <v>312788172.25234997</v>
      </c>
      <c r="E472" s="10" t="s">
        <v>625</v>
      </c>
      <c r="F472" s="151">
        <f>IF(ISNUMBER(J68),J68/SUM($I$43:$AI$71),0)</f>
        <v>2.4999289782633133E-4</v>
      </c>
    </row>
    <row r="473" spans="1:6" x14ac:dyDescent="0.25">
      <c r="A473" s="150">
        <v>468</v>
      </c>
      <c r="B473" s="10" t="s">
        <v>282</v>
      </c>
      <c r="C473">
        <v>246822356.00717199</v>
      </c>
      <c r="E473" s="10" t="s">
        <v>626</v>
      </c>
      <c r="F473" s="151">
        <f>IF(ISNUMBER(K68),K68/SUM($I$43:$AI$71),0)</f>
        <v>5.2418782017032842E-4</v>
      </c>
    </row>
    <row r="474" spans="1:6" x14ac:dyDescent="0.25">
      <c r="A474" s="150">
        <v>469</v>
      </c>
      <c r="B474" s="10" t="s">
        <v>283</v>
      </c>
      <c r="C474">
        <v>657002460.86306798</v>
      </c>
      <c r="E474" s="10" t="s">
        <v>627</v>
      </c>
      <c r="F474" s="151">
        <f>IF(ISNUMBER(L68),L68/SUM($I$43:$AI$71),0)</f>
        <v>8.6456836903216466E-4</v>
      </c>
    </row>
    <row r="475" spans="1:6" x14ac:dyDescent="0.25">
      <c r="A475" s="150">
        <v>470</v>
      </c>
      <c r="B475" s="10" t="s">
        <v>284</v>
      </c>
      <c r="C475">
        <v>630468735.07617199</v>
      </c>
      <c r="E475" s="10" t="s">
        <v>628</v>
      </c>
      <c r="F475" s="151">
        <f>IF(ISNUMBER(M68),M68/SUM($I$43:$AI$71),0)</f>
        <v>1.0089367834195833E-3</v>
      </c>
    </row>
    <row r="476" spans="1:6" x14ac:dyDescent="0.25">
      <c r="A476" s="150">
        <v>471</v>
      </c>
      <c r="B476" s="10" t="s">
        <v>285</v>
      </c>
      <c r="C476">
        <v>849370141.53869605</v>
      </c>
      <c r="E476" s="10" t="s">
        <v>629</v>
      </c>
      <c r="F476" s="151">
        <f>IF(ISNUMBER(N68),N68/SUM($I$43:$AI$71),0)</f>
        <v>8.5459325041386191E-4</v>
      </c>
    </row>
    <row r="477" spans="1:6" x14ac:dyDescent="0.25">
      <c r="A477" s="150">
        <v>472</v>
      </c>
      <c r="B477" s="10" t="s">
        <v>286</v>
      </c>
      <c r="C477">
        <v>753211855.69592297</v>
      </c>
      <c r="E477" s="10" t="s">
        <v>630</v>
      </c>
      <c r="F477" s="151">
        <f>IF(ISNUMBER(O68),O68/SUM($I$43:$AI$71),0)</f>
        <v>5.2131051292194654E-4</v>
      </c>
    </row>
    <row r="478" spans="1:6" x14ac:dyDescent="0.25">
      <c r="A478" s="150">
        <v>473</v>
      </c>
      <c r="B478" s="10" t="s">
        <v>287</v>
      </c>
      <c r="C478">
        <v>571918319.95230103</v>
      </c>
      <c r="E478" s="10" t="s">
        <v>631</v>
      </c>
      <c r="F478" s="151">
        <f>IF(ISNUMBER(P68),P68/SUM($I$43:$AI$71),0)</f>
        <v>2.2081960704155518E-4</v>
      </c>
    </row>
    <row r="479" spans="1:6" x14ac:dyDescent="0.25">
      <c r="A479" s="150">
        <v>474</v>
      </c>
      <c r="B479" s="10" t="s">
        <v>288</v>
      </c>
      <c r="C479">
        <v>451525789.018951</v>
      </c>
      <c r="E479" s="10" t="s">
        <v>632</v>
      </c>
      <c r="F479" s="151">
        <f>IF(ISNUMBER(Q68),Q68/SUM($I$43:$AI$71),0)</f>
        <v>0</v>
      </c>
    </row>
    <row r="480" spans="1:6" x14ac:dyDescent="0.25">
      <c r="A480" s="150">
        <v>475</v>
      </c>
      <c r="B480" s="10" t="s">
        <v>289</v>
      </c>
      <c r="C480">
        <v>226466420.67440799</v>
      </c>
      <c r="E480" s="10" t="s">
        <v>633</v>
      </c>
      <c r="F480" s="151">
        <f>IF(ISNUMBER(R68),R68/SUM($I$43:$AI$71),0)</f>
        <v>0</v>
      </c>
    </row>
    <row r="481" spans="1:6" x14ac:dyDescent="0.25">
      <c r="A481" s="150">
        <v>476</v>
      </c>
      <c r="B481" s="10" t="s">
        <v>290</v>
      </c>
      <c r="C481">
        <v>187818253.74433899</v>
      </c>
      <c r="E481" s="10" t="s">
        <v>1724</v>
      </c>
      <c r="F481" s="151">
        <f>IF(ISNUMBER(S68),S68/SUM($I$43:$AI$71),0)</f>
        <v>0</v>
      </c>
    </row>
    <row r="482" spans="1:6" x14ac:dyDescent="0.25">
      <c r="A482" s="150">
        <v>477</v>
      </c>
      <c r="B482" s="10" t="s">
        <v>291</v>
      </c>
      <c r="C482">
        <v>54824029.181774102</v>
      </c>
      <c r="E482" s="10" t="s">
        <v>1725</v>
      </c>
      <c r="F482" s="151">
        <f>IF(ISNUMBER(T68),T68/SUM($I$43:$AI$71),0)</f>
        <v>0</v>
      </c>
    </row>
    <row r="483" spans="1:6" x14ac:dyDescent="0.25">
      <c r="A483" s="150">
        <v>478</v>
      </c>
      <c r="B483" s="10" t="s">
        <v>292</v>
      </c>
      <c r="C483">
        <v>51770481.964034997</v>
      </c>
      <c r="E483" s="10" t="s">
        <v>1726</v>
      </c>
      <c r="F483" s="151">
        <f>IF(ISNUMBER(U68),U68/SUM($I$43:$AI$71),0)</f>
        <v>0</v>
      </c>
    </row>
    <row r="484" spans="1:6" x14ac:dyDescent="0.25">
      <c r="A484" s="150">
        <v>479</v>
      </c>
      <c r="B484" s="10" t="s">
        <v>293</v>
      </c>
      <c r="C484">
        <v>8007001.6208086004</v>
      </c>
      <c r="E484" s="10" t="s">
        <v>1727</v>
      </c>
      <c r="F484" s="151">
        <f>IF(ISNUMBER(V68),V68/SUM($I$43:$AI$71),0)</f>
        <v>0</v>
      </c>
    </row>
    <row r="485" spans="1:6" x14ac:dyDescent="0.25">
      <c r="A485" s="150">
        <v>480</v>
      </c>
      <c r="B485" s="10" t="s">
        <v>294</v>
      </c>
      <c r="C485">
        <v>7697552.8636369696</v>
      </c>
      <c r="E485" s="10" t="s">
        <v>1728</v>
      </c>
      <c r="F485" s="151">
        <f>IF(ISNUMBER(W68),W68/SUM($I$43:$AI$71),0)</f>
        <v>0</v>
      </c>
    </row>
    <row r="486" spans="1:6" x14ac:dyDescent="0.25">
      <c r="A486" s="150">
        <v>481</v>
      </c>
      <c r="B486" s="10" t="s">
        <v>295</v>
      </c>
      <c r="C486">
        <v>217751.94353906799</v>
      </c>
      <c r="E486" s="10" t="s">
        <v>1729</v>
      </c>
      <c r="F486" s="151">
        <f>IF(ISNUMBER(X68),X68/SUM($I$43:$AI$71),0)</f>
        <v>0</v>
      </c>
    </row>
    <row r="487" spans="1:6" x14ac:dyDescent="0.25">
      <c r="A487" s="150">
        <v>482</v>
      </c>
      <c r="B487" s="10" t="s">
        <v>296</v>
      </c>
      <c r="C487">
        <v>269142.17990624899</v>
      </c>
      <c r="E487" s="10" t="s">
        <v>1730</v>
      </c>
      <c r="F487" s="151">
        <f>IF(ISNUMBER(Y68),Y68/SUM($I$43:$AI$71),0)</f>
        <v>0</v>
      </c>
    </row>
    <row r="488" spans="1:6" x14ac:dyDescent="0.25">
      <c r="A488" s="150">
        <v>483</v>
      </c>
      <c r="B488" s="10" t="s">
        <v>297</v>
      </c>
      <c r="C488">
        <v>60321.870269533203</v>
      </c>
      <c r="E488" s="10" t="s">
        <v>1731</v>
      </c>
      <c r="F488" s="151">
        <f>IF(ISNUMBER(Z68),Z68/SUM($I$43:$AI$71),0)</f>
        <v>0</v>
      </c>
    </row>
    <row r="489" spans="1:6" x14ac:dyDescent="0.25">
      <c r="A489" s="150">
        <v>484</v>
      </c>
      <c r="B489" s="10" t="s">
        <v>298</v>
      </c>
      <c r="C489">
        <v>0</v>
      </c>
      <c r="E489" s="10" t="s">
        <v>1732</v>
      </c>
      <c r="F489" s="151">
        <f>IF(ISNUMBER(AA68),AA68/SUM($I$43:$AI$71),0)</f>
        <v>0</v>
      </c>
    </row>
    <row r="490" spans="1:6" x14ac:dyDescent="0.25">
      <c r="A490" s="150">
        <v>485</v>
      </c>
      <c r="B490" s="10" t="s">
        <v>299</v>
      </c>
      <c r="C490">
        <v>51510.508005857497</v>
      </c>
      <c r="E490" s="10" t="s">
        <v>1733</v>
      </c>
      <c r="F490" s="151">
        <f>IF(ISNUMBER(AB68),AB68/SUM($I$43:$AI$71),0)</f>
        <v>0</v>
      </c>
    </row>
    <row r="491" spans="1:6" x14ac:dyDescent="0.25">
      <c r="A491" s="150">
        <v>486</v>
      </c>
      <c r="B491" s="10" t="s">
        <v>300</v>
      </c>
      <c r="C491">
        <v>0</v>
      </c>
      <c r="E491" s="10" t="s">
        <v>1734</v>
      </c>
      <c r="F491" s="151">
        <f>IF(ISNUMBER(AC68),AC68/SUM($I$43:$AI$71),0)</f>
        <v>0</v>
      </c>
    </row>
    <row r="492" spans="1:6" x14ac:dyDescent="0.25">
      <c r="A492" s="150">
        <v>487</v>
      </c>
      <c r="B492" s="10" t="s">
        <v>753</v>
      </c>
      <c r="C492">
        <v>0</v>
      </c>
      <c r="E492" s="10" t="s">
        <v>1735</v>
      </c>
      <c r="F492" s="151">
        <f>IF(ISNUMBER(AD68),AD68/SUM($I$43:$AI$71),0)</f>
        <v>0</v>
      </c>
    </row>
    <row r="493" spans="1:6" x14ac:dyDescent="0.25">
      <c r="A493" s="150">
        <v>488</v>
      </c>
      <c r="B493" s="10" t="s">
        <v>754</v>
      </c>
      <c r="C493">
        <v>0</v>
      </c>
      <c r="E493" s="10" t="s">
        <v>1736</v>
      </c>
      <c r="F493" s="151">
        <f>IF(ISNUMBER(AE68),AE68/SUM($I$43:$AI$71),0)</f>
        <v>1.7154555412275912E-4</v>
      </c>
    </row>
    <row r="494" spans="1:6" x14ac:dyDescent="0.25">
      <c r="A494" s="150">
        <v>489</v>
      </c>
      <c r="B494" s="10" t="s">
        <v>755</v>
      </c>
      <c r="C494">
        <v>0</v>
      </c>
      <c r="E494" s="10" t="s">
        <v>1737</v>
      </c>
      <c r="F494" s="151">
        <f>IF(ISNUMBER(AF68),AF68/SUM($I$43:$AI$71),0)</f>
        <v>6.008954716859331E-4</v>
      </c>
    </row>
    <row r="495" spans="1:6" x14ac:dyDescent="0.25">
      <c r="A495" s="150">
        <v>490</v>
      </c>
      <c r="B495" s="10" t="s">
        <v>756</v>
      </c>
      <c r="C495">
        <v>0</v>
      </c>
      <c r="E495" s="10" t="s">
        <v>1738</v>
      </c>
      <c r="F495" s="151">
        <f>IF(ISNUMBER(AG68),AG68/SUM($I$43:$AI$71),0)</f>
        <v>9.0766855344528205E-4</v>
      </c>
    </row>
    <row r="496" spans="1:6" x14ac:dyDescent="0.25">
      <c r="A496" s="150">
        <v>491</v>
      </c>
      <c r="B496" s="10" t="s">
        <v>1049</v>
      </c>
      <c r="C496">
        <v>6653329.7723436402</v>
      </c>
      <c r="E496" s="10" t="s">
        <v>1739</v>
      </c>
      <c r="F496" s="151">
        <f>IF(ISNUMBER(AH68),AH68/SUM($I$43:$AI$71),0)</f>
        <v>0</v>
      </c>
    </row>
    <row r="497" spans="1:6" x14ac:dyDescent="0.25">
      <c r="A497" s="150">
        <v>492</v>
      </c>
      <c r="B497" s="10" t="s">
        <v>1050</v>
      </c>
      <c r="C497">
        <v>3454415.5515048499</v>
      </c>
      <c r="E497" s="10" t="s">
        <v>1740</v>
      </c>
      <c r="F497" s="151">
        <f>IF(ISNUMBER(AI68),AI68/SUM($I$43:$AI$71),0)</f>
        <v>0</v>
      </c>
    </row>
    <row r="498" spans="1:6" x14ac:dyDescent="0.25">
      <c r="A498" s="150">
        <v>493</v>
      </c>
      <c r="B498" s="10" t="s">
        <v>1179</v>
      </c>
      <c r="C498">
        <v>48081028.548088104</v>
      </c>
      <c r="E498" s="10" t="s">
        <v>634</v>
      </c>
      <c r="F498" s="151">
        <f>IF(ISNUMBER(I69),I69/SUM($I$43:$AI$71),0)</f>
        <v>0</v>
      </c>
    </row>
    <row r="499" spans="1:6" x14ac:dyDescent="0.25">
      <c r="A499" s="150">
        <v>494</v>
      </c>
      <c r="B499" s="10" t="s">
        <v>1180</v>
      </c>
      <c r="C499">
        <v>47439778.163642898</v>
      </c>
      <c r="E499" s="10" t="s">
        <v>635</v>
      </c>
      <c r="F499" s="151">
        <f>IF(ISNUMBER(J69),J69/SUM($I$43:$AI$71),0)</f>
        <v>1.5670805572276766E-4</v>
      </c>
    </row>
    <row r="500" spans="1:6" x14ac:dyDescent="0.25">
      <c r="A500" s="150">
        <v>495</v>
      </c>
      <c r="B500" s="10" t="s">
        <v>1181</v>
      </c>
      <c r="C500">
        <v>167221731.78530899</v>
      </c>
      <c r="E500" s="10" t="s">
        <v>636</v>
      </c>
      <c r="F500" s="151">
        <f>IF(ISNUMBER(K69),K69/SUM($I$43:$AI$71),0)</f>
        <v>3.7698526936734406E-4</v>
      </c>
    </row>
    <row r="501" spans="1:6" x14ac:dyDescent="0.25">
      <c r="A501" s="150">
        <v>496</v>
      </c>
      <c r="B501" s="10" t="s">
        <v>1182</v>
      </c>
      <c r="C501">
        <v>165450335.383286</v>
      </c>
      <c r="E501" s="10" t="s">
        <v>637</v>
      </c>
      <c r="F501" s="151">
        <f>IF(ISNUMBER(L69),L69/SUM($I$43:$AI$71),0)</f>
        <v>5.3976231327343231E-4</v>
      </c>
    </row>
    <row r="502" spans="1:6" x14ac:dyDescent="0.25">
      <c r="A502" s="150">
        <v>497</v>
      </c>
      <c r="B502" s="10" t="s">
        <v>1183</v>
      </c>
      <c r="C502">
        <v>326954956.91326898</v>
      </c>
      <c r="E502" s="10" t="s">
        <v>638</v>
      </c>
      <c r="F502" s="151">
        <f>IF(ISNUMBER(M69),M69/SUM($I$43:$AI$71),0)</f>
        <v>5.9911297214519904E-4</v>
      </c>
    </row>
    <row r="503" spans="1:6" x14ac:dyDescent="0.25">
      <c r="A503" s="150">
        <v>498</v>
      </c>
      <c r="B503" s="10" t="s">
        <v>1184</v>
      </c>
      <c r="C503">
        <v>298149465.64444</v>
      </c>
      <c r="E503" s="10" t="s">
        <v>639</v>
      </c>
      <c r="F503" s="151">
        <f>IF(ISNUMBER(N69),N69/SUM($I$43:$AI$71),0)</f>
        <v>5.2226411755801425E-4</v>
      </c>
    </row>
    <row r="504" spans="1:6" x14ac:dyDescent="0.25">
      <c r="A504" s="150">
        <v>499</v>
      </c>
      <c r="B504" s="10" t="s">
        <v>1185</v>
      </c>
      <c r="C504">
        <v>372527510.605286</v>
      </c>
      <c r="E504" s="10" t="s">
        <v>640</v>
      </c>
      <c r="F504" s="151">
        <f>IF(ISNUMBER(O69),O69/SUM($I$43:$AI$71),0)</f>
        <v>3.2913504022983887E-4</v>
      </c>
    </row>
    <row r="505" spans="1:6" x14ac:dyDescent="0.25">
      <c r="A505" s="150">
        <v>500</v>
      </c>
      <c r="B505" s="10" t="s">
        <v>1186</v>
      </c>
      <c r="C505">
        <v>343993680.98733503</v>
      </c>
      <c r="E505" s="10" t="s">
        <v>641</v>
      </c>
      <c r="F505" s="151">
        <f>IF(ISNUMBER(P69),P69/SUM($I$43:$AI$71),0)</f>
        <v>1.6092510744184573E-4</v>
      </c>
    </row>
    <row r="506" spans="1:6" x14ac:dyDescent="0.25">
      <c r="A506" s="150">
        <v>501</v>
      </c>
      <c r="B506" s="10" t="s">
        <v>1187</v>
      </c>
      <c r="C506">
        <v>261134715.220581</v>
      </c>
      <c r="E506" s="10" t="s">
        <v>642</v>
      </c>
      <c r="F506" s="151">
        <f>IF(ISNUMBER(Q69),Q69/SUM($I$43:$AI$71),0)</f>
        <v>2.8511479560011492E-5</v>
      </c>
    </row>
    <row r="507" spans="1:6" x14ac:dyDescent="0.25">
      <c r="A507" s="150">
        <v>502</v>
      </c>
      <c r="B507" s="10" t="s">
        <v>1188</v>
      </c>
      <c r="C507">
        <v>253439567.93882799</v>
      </c>
      <c r="E507" s="10" t="s">
        <v>643</v>
      </c>
      <c r="F507" s="151">
        <f>IF(ISNUMBER(R69),R69/SUM($I$43:$AI$71),0)</f>
        <v>0</v>
      </c>
    </row>
    <row r="508" spans="1:6" x14ac:dyDescent="0.25">
      <c r="A508" s="150">
        <v>503</v>
      </c>
      <c r="B508" s="10" t="s">
        <v>1189</v>
      </c>
      <c r="C508">
        <v>113373608.24700201</v>
      </c>
      <c r="E508" s="10" t="s">
        <v>1741</v>
      </c>
      <c r="F508" s="151">
        <f>IF(ISNUMBER(S69),S69/SUM($I$43:$AI$71),0)</f>
        <v>0</v>
      </c>
    </row>
    <row r="509" spans="1:6" x14ac:dyDescent="0.25">
      <c r="A509" s="150">
        <v>504</v>
      </c>
      <c r="B509" s="10" t="s">
        <v>1190</v>
      </c>
      <c r="C509">
        <v>111439929.524231</v>
      </c>
      <c r="E509" s="10" t="s">
        <v>1742</v>
      </c>
      <c r="F509" s="151">
        <f>IF(ISNUMBER(T69),T69/SUM($I$43:$AI$71),0)</f>
        <v>0</v>
      </c>
    </row>
    <row r="510" spans="1:6" x14ac:dyDescent="0.25">
      <c r="A510" s="150">
        <v>505</v>
      </c>
      <c r="B510" s="10" t="s">
        <v>1191</v>
      </c>
      <c r="C510">
        <v>29412147.316669501</v>
      </c>
      <c r="E510" s="10" t="s">
        <v>1743</v>
      </c>
      <c r="F510" s="151">
        <f>IF(ISNUMBER(U69),U69/SUM($I$43:$AI$71),0)</f>
        <v>0</v>
      </c>
    </row>
    <row r="511" spans="1:6" x14ac:dyDescent="0.25">
      <c r="A511" s="150">
        <v>506</v>
      </c>
      <c r="B511" s="10" t="s">
        <v>1192</v>
      </c>
      <c r="C511">
        <v>26321816.593315098</v>
      </c>
      <c r="E511" s="10" t="s">
        <v>1744</v>
      </c>
      <c r="F511" s="151">
        <f>IF(ISNUMBER(V69),V69/SUM($I$43:$AI$71),0)</f>
        <v>0</v>
      </c>
    </row>
    <row r="512" spans="1:6" x14ac:dyDescent="0.25">
      <c r="A512" s="150">
        <v>507</v>
      </c>
      <c r="B512" s="10" t="s">
        <v>1193</v>
      </c>
      <c r="C512">
        <v>2766358.2195313</v>
      </c>
      <c r="E512" s="10" t="s">
        <v>1745</v>
      </c>
      <c r="F512" s="151">
        <f>IF(ISNUMBER(W69),W69/SUM($I$43:$AI$71),0)</f>
        <v>0</v>
      </c>
    </row>
    <row r="513" spans="1:6" x14ac:dyDescent="0.25">
      <c r="A513" s="150">
        <v>508</v>
      </c>
      <c r="B513" s="10" t="s">
        <v>1194</v>
      </c>
      <c r="C513">
        <v>1937608.7689375901</v>
      </c>
      <c r="E513" s="10" t="s">
        <v>1746</v>
      </c>
      <c r="F513" s="151">
        <f>IF(ISNUMBER(X69),X69/SUM($I$43:$AI$71),0)</f>
        <v>0</v>
      </c>
    </row>
    <row r="514" spans="1:6" x14ac:dyDescent="0.25">
      <c r="A514" s="150">
        <v>509</v>
      </c>
      <c r="B514" s="10" t="s">
        <v>1195</v>
      </c>
      <c r="C514">
        <v>42423.213046871097</v>
      </c>
      <c r="E514" s="10" t="s">
        <v>1747</v>
      </c>
      <c r="F514" s="151">
        <f>IF(ISNUMBER(Y69),Y69/SUM($I$43:$AI$71),0)</f>
        <v>0</v>
      </c>
    </row>
    <row r="515" spans="1:6" x14ac:dyDescent="0.25">
      <c r="A515" s="150">
        <v>510</v>
      </c>
      <c r="B515" s="10" t="s">
        <v>1196</v>
      </c>
      <c r="C515">
        <v>118016.63758593801</v>
      </c>
      <c r="E515" s="10" t="s">
        <v>1748</v>
      </c>
      <c r="F515" s="151">
        <f>IF(ISNUMBER(Z69),Z69/SUM($I$43:$AI$71),0)</f>
        <v>0</v>
      </c>
    </row>
    <row r="516" spans="1:6" x14ac:dyDescent="0.25">
      <c r="A516" s="150">
        <v>511</v>
      </c>
      <c r="B516" s="10" t="s">
        <v>757</v>
      </c>
      <c r="C516">
        <v>61327925.4518089</v>
      </c>
      <c r="E516" s="10" t="s">
        <v>1749</v>
      </c>
      <c r="F516" s="151">
        <f>IF(ISNUMBER(AA69),AA69/SUM($I$43:$AI$71),0)</f>
        <v>0</v>
      </c>
    </row>
    <row r="517" spans="1:6" x14ac:dyDescent="0.25">
      <c r="A517" s="150">
        <v>512</v>
      </c>
      <c r="B517" s="10" t="s">
        <v>758</v>
      </c>
      <c r="C517">
        <v>36458416.240405999</v>
      </c>
      <c r="E517" s="10" t="s">
        <v>1750</v>
      </c>
      <c r="F517" s="151">
        <f>IF(ISNUMBER(AB69),AB69/SUM($I$43:$AI$71),0)</f>
        <v>0</v>
      </c>
    </row>
    <row r="518" spans="1:6" x14ac:dyDescent="0.25">
      <c r="A518" s="150">
        <v>513</v>
      </c>
      <c r="B518" s="10" t="s">
        <v>301</v>
      </c>
      <c r="C518">
        <v>253567484.13828999</v>
      </c>
      <c r="E518" s="10" t="s">
        <v>1751</v>
      </c>
      <c r="F518" s="151">
        <f>IF(ISNUMBER(AC69),AC69/SUM($I$43:$AI$71),0)</f>
        <v>0</v>
      </c>
    </row>
    <row r="519" spans="1:6" x14ac:dyDescent="0.25">
      <c r="A519" s="150">
        <v>514</v>
      </c>
      <c r="B519" s="10" t="s">
        <v>302</v>
      </c>
      <c r="C519">
        <v>203782526.18720999</v>
      </c>
      <c r="E519" s="10" t="s">
        <v>1752</v>
      </c>
      <c r="F519" s="151">
        <f>IF(ISNUMBER(AD69),AD69/SUM($I$43:$AI$71),0)</f>
        <v>0</v>
      </c>
    </row>
    <row r="520" spans="1:6" x14ac:dyDescent="0.25">
      <c r="A520" s="150">
        <v>515</v>
      </c>
      <c r="B520" s="10" t="s">
        <v>303</v>
      </c>
      <c r="C520">
        <v>578379457.07531703</v>
      </c>
      <c r="E520" s="10" t="s">
        <v>1753</v>
      </c>
      <c r="F520" s="151">
        <f>IF(ISNUMBER(AE69),AE69/SUM($I$43:$AI$71),0)</f>
        <v>0</v>
      </c>
    </row>
    <row r="521" spans="1:6" x14ac:dyDescent="0.25">
      <c r="A521" s="150">
        <v>516</v>
      </c>
      <c r="B521" s="10" t="s">
        <v>304</v>
      </c>
      <c r="C521">
        <v>548314930.61941504</v>
      </c>
      <c r="E521" s="10" t="s">
        <v>1754</v>
      </c>
      <c r="F521" s="151">
        <f>IF(ISNUMBER(AF69),AF69/SUM($I$43:$AI$71),0)</f>
        <v>1.3788150832648365E-4</v>
      </c>
    </row>
    <row r="522" spans="1:6" x14ac:dyDescent="0.25">
      <c r="A522" s="150">
        <v>517</v>
      </c>
      <c r="B522" s="10" t="s">
        <v>305</v>
      </c>
      <c r="C522">
        <v>796655542.19488502</v>
      </c>
      <c r="E522" s="10" t="s">
        <v>1755</v>
      </c>
      <c r="F522" s="151">
        <f>IF(ISNUMBER(AG69),AG69/SUM($I$43:$AI$71),0)</f>
        <v>3.4542540090393625E-4</v>
      </c>
    </row>
    <row r="523" spans="1:6" x14ac:dyDescent="0.25">
      <c r="A523" s="150">
        <v>518</v>
      </c>
      <c r="B523" s="10" t="s">
        <v>306</v>
      </c>
      <c r="C523">
        <v>712816113.665344</v>
      </c>
      <c r="E523" s="10" t="s">
        <v>1756</v>
      </c>
      <c r="F523" s="151">
        <f>IF(ISNUMBER(AH69),AH69/SUM($I$43:$AI$71),0)</f>
        <v>0</v>
      </c>
    </row>
    <row r="524" spans="1:6" x14ac:dyDescent="0.25">
      <c r="A524" s="150">
        <v>519</v>
      </c>
      <c r="B524" s="10" t="s">
        <v>307</v>
      </c>
      <c r="C524">
        <v>598651456.42571998</v>
      </c>
      <c r="E524" s="10" t="s">
        <v>1757</v>
      </c>
      <c r="F524" s="151">
        <f>IF(ISNUMBER(AI69),AI69/SUM($I$43:$AI$71),0)</f>
        <v>0</v>
      </c>
    </row>
    <row r="525" spans="1:6" x14ac:dyDescent="0.25">
      <c r="A525" s="150">
        <v>520</v>
      </c>
      <c r="B525" s="10" t="s">
        <v>308</v>
      </c>
      <c r="C525">
        <v>470371930.16867101</v>
      </c>
      <c r="E525" s="10" t="s">
        <v>644</v>
      </c>
      <c r="F525" s="151">
        <f>IF(ISNUMBER(I70),I70/SUM($I$43:$AI$71),0)</f>
        <v>0</v>
      </c>
    </row>
    <row r="526" spans="1:6" x14ac:dyDescent="0.25">
      <c r="A526" s="150">
        <v>521</v>
      </c>
      <c r="B526" s="10" t="s">
        <v>309</v>
      </c>
      <c r="C526">
        <v>266797398.93624899</v>
      </c>
      <c r="E526" s="10" t="s">
        <v>645</v>
      </c>
      <c r="F526" s="151">
        <f>IF(ISNUMBER(J70),J70/SUM($I$43:$AI$71),0)</f>
        <v>9.7537670010679396E-5</v>
      </c>
    </row>
    <row r="527" spans="1:6" x14ac:dyDescent="0.25">
      <c r="A527" s="150">
        <v>522</v>
      </c>
      <c r="B527" s="10" t="s">
        <v>310</v>
      </c>
      <c r="C527">
        <v>224925411.32423401</v>
      </c>
      <c r="E527" s="10" t="s">
        <v>646</v>
      </c>
      <c r="F527" s="151">
        <f>IF(ISNUMBER(K70),K70/SUM($I$43:$AI$71),0)</f>
        <v>2.4093767108426191E-4</v>
      </c>
    </row>
    <row r="528" spans="1:6" x14ac:dyDescent="0.25">
      <c r="A528" s="150">
        <v>523</v>
      </c>
      <c r="B528" s="10" t="s">
        <v>311</v>
      </c>
      <c r="C528">
        <v>76363653.046058699</v>
      </c>
      <c r="E528" s="10" t="s">
        <v>647</v>
      </c>
      <c r="F528" s="151">
        <f>IF(ISNUMBER(L70),L70/SUM($I$43:$AI$71),0)</f>
        <v>3.5784240640016551E-4</v>
      </c>
    </row>
    <row r="529" spans="1:6" x14ac:dyDescent="0.25">
      <c r="A529" s="150">
        <v>524</v>
      </c>
      <c r="B529" s="10" t="s">
        <v>312</v>
      </c>
      <c r="C529">
        <v>70056667.5953293</v>
      </c>
      <c r="E529" s="10" t="s">
        <v>648</v>
      </c>
      <c r="F529" s="151">
        <f>IF(ISNUMBER(M70),M70/SUM($I$43:$AI$71),0)</f>
        <v>3.9886590404152294E-4</v>
      </c>
    </row>
    <row r="530" spans="1:6" x14ac:dyDescent="0.25">
      <c r="A530" s="150">
        <v>525</v>
      </c>
      <c r="B530" s="10" t="s">
        <v>313</v>
      </c>
      <c r="C530">
        <v>15180367.686273601</v>
      </c>
      <c r="E530" s="10" t="s">
        <v>649</v>
      </c>
      <c r="F530" s="151">
        <f>IF(ISNUMBER(N70),N70/SUM($I$43:$AI$71),0)</f>
        <v>3.206042068497275E-4</v>
      </c>
    </row>
    <row r="531" spans="1:6" x14ac:dyDescent="0.25">
      <c r="A531" s="150">
        <v>526</v>
      </c>
      <c r="B531" s="10" t="s">
        <v>314</v>
      </c>
      <c r="C531">
        <v>13174793.134305</v>
      </c>
      <c r="E531" s="10" t="s">
        <v>650</v>
      </c>
      <c r="F531" s="151">
        <f>IF(ISNUMBER(O70),O70/SUM($I$43:$AI$71),0)</f>
        <v>2.1794733136924548E-4</v>
      </c>
    </row>
    <row r="532" spans="1:6" x14ac:dyDescent="0.25">
      <c r="A532" s="150">
        <v>527</v>
      </c>
      <c r="B532" s="10" t="s">
        <v>315</v>
      </c>
      <c r="C532">
        <v>769661.33349221898</v>
      </c>
      <c r="E532" s="10" t="s">
        <v>651</v>
      </c>
      <c r="F532" s="151">
        <f>IF(ISNUMBER(P70),P70/SUM($I$43:$AI$71),0)</f>
        <v>8.1293692930455049E-5</v>
      </c>
    </row>
    <row r="533" spans="1:6" x14ac:dyDescent="0.25">
      <c r="A533" s="150">
        <v>528</v>
      </c>
      <c r="B533" s="10" t="s">
        <v>316</v>
      </c>
      <c r="C533">
        <v>512737.319203138</v>
      </c>
      <c r="E533" s="10" t="s">
        <v>652</v>
      </c>
      <c r="F533" s="151">
        <f>IF(ISNUMBER(Q70),Q70/SUM($I$43:$AI$71),0)</f>
        <v>0</v>
      </c>
    </row>
    <row r="534" spans="1:6" x14ac:dyDescent="0.25">
      <c r="A534" s="150">
        <v>529</v>
      </c>
      <c r="B534" s="10" t="s">
        <v>317</v>
      </c>
      <c r="C534">
        <v>141834.70689453199</v>
      </c>
      <c r="E534" s="10" t="s">
        <v>653</v>
      </c>
      <c r="F534" s="151">
        <f>IF(ISNUMBER(R70),R70/SUM($I$43:$AI$71),0)</f>
        <v>0</v>
      </c>
    </row>
    <row r="535" spans="1:6" x14ac:dyDescent="0.25">
      <c r="A535" s="150">
        <v>530</v>
      </c>
      <c r="B535" s="10" t="s">
        <v>318</v>
      </c>
      <c r="C535">
        <v>47538.437882810802</v>
      </c>
      <c r="E535" s="10" t="s">
        <v>1758</v>
      </c>
      <c r="F535" s="151">
        <f>IF(ISNUMBER(S70),S70/SUM($I$43:$AI$71),0)</f>
        <v>0</v>
      </c>
    </row>
    <row r="536" spans="1:6" x14ac:dyDescent="0.25">
      <c r="A536" s="150">
        <v>531</v>
      </c>
      <c r="B536" s="10" t="s">
        <v>319</v>
      </c>
      <c r="C536">
        <v>0</v>
      </c>
      <c r="E536" s="10" t="s">
        <v>1759</v>
      </c>
      <c r="F536" s="151">
        <f>IF(ISNUMBER(T70),T70/SUM($I$43:$AI$71),0)</f>
        <v>0</v>
      </c>
    </row>
    <row r="537" spans="1:6" x14ac:dyDescent="0.25">
      <c r="A537" s="150">
        <v>532</v>
      </c>
      <c r="B537" s="10" t="s">
        <v>320</v>
      </c>
      <c r="C537">
        <v>6318.7116113286502</v>
      </c>
      <c r="E537" s="10" t="s">
        <v>1760</v>
      </c>
      <c r="F537" s="151">
        <f>IF(ISNUMBER(U70),U70/SUM($I$43:$AI$71),0)</f>
        <v>0</v>
      </c>
    </row>
    <row r="538" spans="1:6" x14ac:dyDescent="0.25">
      <c r="A538" s="150">
        <v>533</v>
      </c>
      <c r="B538" s="10" t="s">
        <v>759</v>
      </c>
      <c r="C538">
        <v>86392.121191404804</v>
      </c>
      <c r="E538" s="10" t="s">
        <v>1761</v>
      </c>
      <c r="F538" s="151">
        <f>IF(ISNUMBER(V70),V70/SUM($I$43:$AI$71),0)</f>
        <v>0</v>
      </c>
    </row>
    <row r="539" spans="1:6" x14ac:dyDescent="0.25">
      <c r="A539" s="150">
        <v>534</v>
      </c>
      <c r="B539" s="10" t="s">
        <v>760</v>
      </c>
      <c r="C539">
        <v>47978.230359371802</v>
      </c>
      <c r="E539" s="10" t="s">
        <v>1762</v>
      </c>
      <c r="F539" s="151">
        <f>IF(ISNUMBER(W70),W70/SUM($I$43:$AI$71),0)</f>
        <v>0</v>
      </c>
    </row>
    <row r="540" spans="1:6" x14ac:dyDescent="0.25">
      <c r="A540" s="150">
        <v>535</v>
      </c>
      <c r="B540" s="10" t="s">
        <v>761</v>
      </c>
      <c r="C540">
        <v>42328.520894531197</v>
      </c>
      <c r="E540" s="10" t="s">
        <v>1763</v>
      </c>
      <c r="F540" s="151">
        <f>IF(ISNUMBER(X70),X70/SUM($I$43:$AI$71),0)</f>
        <v>0</v>
      </c>
    </row>
    <row r="541" spans="1:6" x14ac:dyDescent="0.25">
      <c r="A541" s="150">
        <v>536</v>
      </c>
      <c r="B541" s="10" t="s">
        <v>762</v>
      </c>
      <c r="C541">
        <v>0</v>
      </c>
      <c r="E541" s="10" t="s">
        <v>1764</v>
      </c>
      <c r="F541" s="151">
        <f>IF(ISNUMBER(Y70),Y70/SUM($I$43:$AI$71),0)</f>
        <v>0</v>
      </c>
    </row>
    <row r="542" spans="1:6" x14ac:dyDescent="0.25">
      <c r="A542" s="150">
        <v>537</v>
      </c>
      <c r="B542" s="10" t="s">
        <v>1051</v>
      </c>
      <c r="C542">
        <v>90831.482988282994</v>
      </c>
      <c r="E542" s="10" t="s">
        <v>1765</v>
      </c>
      <c r="F542" s="151">
        <f>IF(ISNUMBER(Z70),Z70/SUM($I$43:$AI$71),0)</f>
        <v>0</v>
      </c>
    </row>
    <row r="543" spans="1:6" x14ac:dyDescent="0.25">
      <c r="A543" s="150">
        <v>538</v>
      </c>
      <c r="B543" s="10" t="s">
        <v>1052</v>
      </c>
      <c r="C543">
        <v>46555.787484377601</v>
      </c>
      <c r="E543" s="10" t="s">
        <v>1766</v>
      </c>
      <c r="F543" s="151">
        <f>IF(ISNUMBER(AA70),AA70/SUM($I$43:$AI$71),0)</f>
        <v>0</v>
      </c>
    </row>
    <row r="544" spans="1:6" x14ac:dyDescent="0.25">
      <c r="A544" s="150">
        <v>539</v>
      </c>
      <c r="B544" s="10" t="s">
        <v>1197</v>
      </c>
      <c r="C544">
        <v>9671921.7585430108</v>
      </c>
      <c r="E544" s="10" t="s">
        <v>1767</v>
      </c>
      <c r="F544" s="151">
        <f>IF(ISNUMBER(AB70),AB70/SUM($I$43:$AI$71),0)</f>
        <v>0</v>
      </c>
    </row>
    <row r="545" spans="1:6" x14ac:dyDescent="0.25">
      <c r="A545" s="150">
        <v>540</v>
      </c>
      <c r="B545" s="10" t="s">
        <v>1198</v>
      </c>
      <c r="C545">
        <v>8516928.3869218808</v>
      </c>
      <c r="E545" s="10" t="s">
        <v>1768</v>
      </c>
      <c r="F545" s="151">
        <f>IF(ISNUMBER(AC70),AC70/SUM($I$43:$AI$71),0)</f>
        <v>0</v>
      </c>
    </row>
    <row r="546" spans="1:6" x14ac:dyDescent="0.25">
      <c r="A546" s="150">
        <v>541</v>
      </c>
      <c r="B546" s="10" t="s">
        <v>1199</v>
      </c>
      <c r="C546">
        <v>57845762.413436897</v>
      </c>
      <c r="E546" s="10" t="s">
        <v>1769</v>
      </c>
      <c r="F546" s="151">
        <f>IF(ISNUMBER(AD70),AD70/SUM($I$43:$AI$71),0)</f>
        <v>0</v>
      </c>
    </row>
    <row r="547" spans="1:6" x14ac:dyDescent="0.25">
      <c r="A547" s="150">
        <v>542</v>
      </c>
      <c r="B547" s="10" t="s">
        <v>1200</v>
      </c>
      <c r="C547">
        <v>57227900.259029403</v>
      </c>
      <c r="E547" s="10" t="s">
        <v>1770</v>
      </c>
      <c r="F547" s="151">
        <f>IF(ISNUMBER(AE70),AE70/SUM($I$43:$AI$71),0)</f>
        <v>0</v>
      </c>
    </row>
    <row r="548" spans="1:6" x14ac:dyDescent="0.25">
      <c r="A548" s="150">
        <v>543</v>
      </c>
      <c r="B548" s="10" t="s">
        <v>1201</v>
      </c>
      <c r="C548">
        <v>176045497.637299</v>
      </c>
      <c r="E548" s="10" t="s">
        <v>1771</v>
      </c>
      <c r="F548" s="151">
        <f>IF(ISNUMBER(AF70),AF70/SUM($I$43:$AI$71),0)</f>
        <v>0</v>
      </c>
    </row>
    <row r="549" spans="1:6" x14ac:dyDescent="0.25">
      <c r="A549" s="150">
        <v>544</v>
      </c>
      <c r="B549" s="10" t="s">
        <v>1202</v>
      </c>
      <c r="C549">
        <v>161762424.869324</v>
      </c>
      <c r="E549" s="10" t="s">
        <v>1772</v>
      </c>
      <c r="F549" s="151">
        <f>IF(ISNUMBER(AG70),AG70/SUM($I$43:$AI$71),0)</f>
        <v>0</v>
      </c>
    </row>
    <row r="550" spans="1:6" x14ac:dyDescent="0.25">
      <c r="A550" s="150">
        <v>545</v>
      </c>
      <c r="B550" s="10" t="s">
        <v>1203</v>
      </c>
      <c r="C550">
        <v>315734399.77148402</v>
      </c>
      <c r="E550" s="10" t="s">
        <v>1773</v>
      </c>
      <c r="F550" s="151">
        <f>IF(ISNUMBER(AH70),AH70/SUM($I$43:$AI$71),0)</f>
        <v>0</v>
      </c>
    </row>
    <row r="551" spans="1:6" x14ac:dyDescent="0.25">
      <c r="A551" s="150">
        <v>546</v>
      </c>
      <c r="B551" s="10" t="s">
        <v>1204</v>
      </c>
      <c r="C551">
        <v>289190165.47122198</v>
      </c>
      <c r="E551" s="10" t="s">
        <v>1774</v>
      </c>
      <c r="F551" s="151">
        <f>IF(ISNUMBER(AI70),AI70/SUM($I$43:$AI$71),0)</f>
        <v>0</v>
      </c>
    </row>
    <row r="552" spans="1:6" x14ac:dyDescent="0.25">
      <c r="A552" s="150">
        <v>547</v>
      </c>
      <c r="B552" s="10" t="s">
        <v>1205</v>
      </c>
      <c r="C552">
        <v>339419731.17935199</v>
      </c>
      <c r="E552" s="10" t="s">
        <v>654</v>
      </c>
      <c r="F552" s="151">
        <f>IF(ISNUMBER(I71),I71/SUM($I$43:$AI$71),0)</f>
        <v>0</v>
      </c>
    </row>
    <row r="553" spans="1:6" x14ac:dyDescent="0.25">
      <c r="A553" s="150">
        <v>548</v>
      </c>
      <c r="B553" s="10" t="s">
        <v>1206</v>
      </c>
      <c r="C553">
        <v>331198516.40615797</v>
      </c>
      <c r="E553" s="10" t="s">
        <v>655</v>
      </c>
      <c r="F553" s="151">
        <f>IF(ISNUMBER(J71),J71/SUM($I$43:$AI$71),0)</f>
        <v>0</v>
      </c>
    </row>
    <row r="554" spans="1:6" x14ac:dyDescent="0.25">
      <c r="A554" s="150">
        <v>549</v>
      </c>
      <c r="B554" s="10" t="s">
        <v>1207</v>
      </c>
      <c r="C554">
        <v>238170419.12254301</v>
      </c>
      <c r="E554" s="10" t="s">
        <v>656</v>
      </c>
      <c r="F554" s="151">
        <f>IF(ISNUMBER(K71),K71/SUM($I$43:$AI$71),0)</f>
        <v>1.54711799982985E-4</v>
      </c>
    </row>
    <row r="555" spans="1:6" x14ac:dyDescent="0.25">
      <c r="A555" s="150">
        <v>550</v>
      </c>
      <c r="B555" s="10" t="s">
        <v>1208</v>
      </c>
      <c r="C555">
        <v>225678073.771606</v>
      </c>
      <c r="E555" s="10" t="s">
        <v>657</v>
      </c>
      <c r="F555" s="151">
        <f>IF(ISNUMBER(L71),L71/SUM($I$43:$AI$71),0)</f>
        <v>2.2118497846694454E-4</v>
      </c>
    </row>
    <row r="556" spans="1:6" x14ac:dyDescent="0.25">
      <c r="A556" s="150">
        <v>551</v>
      </c>
      <c r="B556" s="10" t="s">
        <v>1209</v>
      </c>
      <c r="C556">
        <v>108346707.52168299</v>
      </c>
      <c r="E556" s="10" t="s">
        <v>658</v>
      </c>
      <c r="F556" s="151">
        <f>IF(ISNUMBER(M71),M71/SUM($I$43:$AI$71),0)</f>
        <v>2.4992781139707577E-4</v>
      </c>
    </row>
    <row r="557" spans="1:6" x14ac:dyDescent="0.25">
      <c r="A557" s="150">
        <v>552</v>
      </c>
      <c r="B557" s="10" t="s">
        <v>1210</v>
      </c>
      <c r="C557">
        <v>99077224.126304597</v>
      </c>
      <c r="E557" s="10" t="s">
        <v>659</v>
      </c>
      <c r="F557" s="151">
        <f>IF(ISNUMBER(N71),N71/SUM($I$43:$AI$71),0)</f>
        <v>2.0435827420926247E-4</v>
      </c>
    </row>
    <row r="558" spans="1:6" x14ac:dyDescent="0.25">
      <c r="A558" s="150">
        <v>553</v>
      </c>
      <c r="B558" s="10" t="s">
        <v>1211</v>
      </c>
      <c r="C558">
        <v>25318726.397466701</v>
      </c>
      <c r="E558" s="10" t="s">
        <v>660</v>
      </c>
      <c r="F558" s="151">
        <f>IF(ISNUMBER(O71),O71/SUM($I$43:$AI$71),0)</f>
        <v>1.1724321761388671E-4</v>
      </c>
    </row>
    <row r="559" spans="1:6" x14ac:dyDescent="0.25">
      <c r="A559" s="150">
        <v>554</v>
      </c>
      <c r="B559" s="10" t="s">
        <v>1212</v>
      </c>
      <c r="C559">
        <v>25976367.049587201</v>
      </c>
      <c r="E559" s="10" t="s">
        <v>661</v>
      </c>
      <c r="F559" s="151">
        <f>IF(ISNUMBER(P71),P71/SUM($I$43:$AI$71),0)</f>
        <v>4.2775047146530118E-5</v>
      </c>
    </row>
    <row r="560" spans="1:6" x14ac:dyDescent="0.25">
      <c r="A560" s="150">
        <v>555</v>
      </c>
      <c r="B560" s="10" t="s">
        <v>1213</v>
      </c>
      <c r="C560">
        <v>2941973.1687147599</v>
      </c>
      <c r="E560" s="10" t="s">
        <v>662</v>
      </c>
      <c r="F560" s="151">
        <f>IF(ISNUMBER(Q71),Q71/SUM($I$43:$AI$71),0)</f>
        <v>0</v>
      </c>
    </row>
    <row r="561" spans="1:6" x14ac:dyDescent="0.25">
      <c r="A561" s="150">
        <v>556</v>
      </c>
      <c r="B561" s="10" t="s">
        <v>1214</v>
      </c>
      <c r="C561">
        <v>1784827.0206562299</v>
      </c>
      <c r="E561" s="10" t="s">
        <v>1775</v>
      </c>
      <c r="F561" s="151">
        <f>IF(ISNUMBER(R71),R71/SUM($I$43:$AI$71),0)</f>
        <v>0</v>
      </c>
    </row>
    <row r="562" spans="1:6" x14ac:dyDescent="0.25">
      <c r="A562" s="150">
        <v>557</v>
      </c>
      <c r="B562" s="10" t="s">
        <v>1215</v>
      </c>
      <c r="C562">
        <v>70566.530898436904</v>
      </c>
      <c r="E562" s="10" t="s">
        <v>1776</v>
      </c>
      <c r="F562" s="151">
        <f>IF(ISNUMBER(S71),S71/SUM($I$43:$AI$71),0)</f>
        <v>0</v>
      </c>
    </row>
    <row r="563" spans="1:6" x14ac:dyDescent="0.25">
      <c r="A563" s="150">
        <v>558</v>
      </c>
      <c r="B563" s="10" t="s">
        <v>1216</v>
      </c>
      <c r="C563">
        <v>132215.58125390901</v>
      </c>
      <c r="E563" s="10" t="s">
        <v>1777</v>
      </c>
      <c r="F563" s="151">
        <f>IF(ISNUMBER(T71),T71/SUM($I$43:$AI$71),0)</f>
        <v>0</v>
      </c>
    </row>
    <row r="564" spans="1:6" x14ac:dyDescent="0.25">
      <c r="A564" s="150">
        <v>559</v>
      </c>
      <c r="B564" s="10" t="s">
        <v>763</v>
      </c>
      <c r="C564">
        <v>47932376.096099898</v>
      </c>
      <c r="E564" s="10" t="s">
        <v>1778</v>
      </c>
      <c r="F564" s="151">
        <f>IF(ISNUMBER(U71),U71/SUM($I$43:$AI$71),0)</f>
        <v>0</v>
      </c>
    </row>
    <row r="565" spans="1:6" x14ac:dyDescent="0.25">
      <c r="A565" s="150">
        <v>560</v>
      </c>
      <c r="B565" s="10" t="s">
        <v>764</v>
      </c>
      <c r="C565">
        <v>26756836.025793102</v>
      </c>
      <c r="E565" s="10" t="s">
        <v>1779</v>
      </c>
      <c r="F565" s="151">
        <f>IF(ISNUMBER(V71),V71/SUM($I$43:$AI$71),0)</f>
        <v>0</v>
      </c>
    </row>
    <row r="566" spans="1:6" x14ac:dyDescent="0.25">
      <c r="A566" s="150">
        <v>561</v>
      </c>
      <c r="B566" s="10" t="s">
        <v>765</v>
      </c>
      <c r="C566">
        <v>183356650.353935</v>
      </c>
      <c r="E566" s="10" t="s">
        <v>1780</v>
      </c>
      <c r="F566" s="151">
        <f>IF(ISNUMBER(W71),W71/SUM($I$43:$AI$71),0)</f>
        <v>0</v>
      </c>
    </row>
    <row r="567" spans="1:6" x14ac:dyDescent="0.25">
      <c r="A567" s="150">
        <v>562</v>
      </c>
      <c r="B567" s="10" t="s">
        <v>766</v>
      </c>
      <c r="C567">
        <v>168661454.47930101</v>
      </c>
      <c r="E567" s="10" t="s">
        <v>1781</v>
      </c>
      <c r="F567" s="151">
        <f>IF(ISNUMBER(X71),X71/SUM($I$43:$AI$71),0)</f>
        <v>0</v>
      </c>
    </row>
    <row r="568" spans="1:6" x14ac:dyDescent="0.25">
      <c r="A568" s="150">
        <v>563</v>
      </c>
      <c r="B568" s="10" t="s">
        <v>767</v>
      </c>
      <c r="C568">
        <v>498132039.22811902</v>
      </c>
      <c r="E568" s="10" t="s">
        <v>1782</v>
      </c>
      <c r="F568" s="151">
        <f>IF(ISNUMBER(Y71),Y71/SUM($I$43:$AI$71),0)</f>
        <v>0</v>
      </c>
    </row>
    <row r="569" spans="1:6" x14ac:dyDescent="0.25">
      <c r="A569" s="150">
        <v>564</v>
      </c>
      <c r="B569" s="10" t="s">
        <v>768</v>
      </c>
      <c r="C569">
        <v>472891465.34628302</v>
      </c>
      <c r="E569" s="10" t="s">
        <v>1783</v>
      </c>
      <c r="F569" s="151">
        <f>IF(ISNUMBER(Z71),Z71/SUM($I$43:$AI$71),0)</f>
        <v>0</v>
      </c>
    </row>
    <row r="570" spans="1:6" x14ac:dyDescent="0.25">
      <c r="A570" s="150">
        <v>565</v>
      </c>
      <c r="B570" s="10" t="s">
        <v>769</v>
      </c>
      <c r="C570">
        <v>702975666.29855299</v>
      </c>
      <c r="E570" s="10" t="s">
        <v>1784</v>
      </c>
      <c r="F570" s="151">
        <f>IF(ISNUMBER(AA71),AA71/SUM($I$43:$AI$71),0)</f>
        <v>0</v>
      </c>
    </row>
    <row r="571" spans="1:6" x14ac:dyDescent="0.25">
      <c r="A571" s="150">
        <v>566</v>
      </c>
      <c r="B571" s="10" t="s">
        <v>770</v>
      </c>
      <c r="C571">
        <v>637604058.49026501</v>
      </c>
      <c r="E571" s="10" t="s">
        <v>1785</v>
      </c>
      <c r="F571" s="151">
        <f>IF(ISNUMBER(AB71),AB71/SUM($I$43:$AI$71),0)</f>
        <v>0</v>
      </c>
    </row>
    <row r="572" spans="1:6" x14ac:dyDescent="0.25">
      <c r="A572" s="150">
        <v>567</v>
      </c>
      <c r="B572" s="10" t="s">
        <v>771</v>
      </c>
      <c r="C572">
        <v>574889833.36505103</v>
      </c>
      <c r="E572" s="10" t="s">
        <v>1786</v>
      </c>
      <c r="F572" s="151">
        <f>IF(ISNUMBER(AC71),AC71/SUM($I$43:$AI$71),0)</f>
        <v>0</v>
      </c>
    </row>
    <row r="573" spans="1:6" x14ac:dyDescent="0.25">
      <c r="A573" s="150">
        <v>568</v>
      </c>
      <c r="B573" s="10" t="s">
        <v>772</v>
      </c>
      <c r="C573">
        <v>453836430.37716699</v>
      </c>
      <c r="E573" s="10" t="s">
        <v>1787</v>
      </c>
      <c r="F573" s="151">
        <f>IF(ISNUMBER(AD71),AD71/SUM($I$43:$AI$71),0)</f>
        <v>0</v>
      </c>
    </row>
    <row r="574" spans="1:6" x14ac:dyDescent="0.25">
      <c r="A574" s="150">
        <v>569</v>
      </c>
      <c r="B574" s="10" t="s">
        <v>773</v>
      </c>
      <c r="C574">
        <v>289646166.67173803</v>
      </c>
      <c r="E574" s="10" t="s">
        <v>1788</v>
      </c>
      <c r="F574" s="151">
        <f>IF(ISNUMBER(AE71),AE71/SUM($I$43:$AI$71),0)</f>
        <v>0</v>
      </c>
    </row>
    <row r="575" spans="1:6" x14ac:dyDescent="0.25">
      <c r="A575" s="150">
        <v>570</v>
      </c>
      <c r="B575" s="10" t="s">
        <v>774</v>
      </c>
      <c r="C575">
        <v>243420717.40431201</v>
      </c>
      <c r="E575" s="10" t="s">
        <v>1789</v>
      </c>
      <c r="F575" s="151">
        <f>IF(ISNUMBER(AF71),AF71/SUM($I$43:$AI$71),0)</f>
        <v>0</v>
      </c>
    </row>
    <row r="576" spans="1:6" x14ac:dyDescent="0.25">
      <c r="A576" s="150">
        <v>571</v>
      </c>
      <c r="B576" s="10" t="s">
        <v>775</v>
      </c>
      <c r="C576">
        <v>94748549.396091506</v>
      </c>
      <c r="E576" s="10" t="s">
        <v>1790</v>
      </c>
      <c r="F576" s="151">
        <f>IF(ISNUMBER(AG71),AG71/SUM($I$43:$AI$71),0)</f>
        <v>0</v>
      </c>
    </row>
    <row r="577" spans="1:6" x14ac:dyDescent="0.25">
      <c r="A577" s="150">
        <v>572</v>
      </c>
      <c r="B577" s="10" t="s">
        <v>776</v>
      </c>
      <c r="C577">
        <v>88390247.004611999</v>
      </c>
      <c r="E577" s="10" t="s">
        <v>1791</v>
      </c>
      <c r="F577" s="151">
        <f>IF(ISNUMBER(AH71),AH71/SUM($I$43:$AI$71),0)</f>
        <v>0</v>
      </c>
    </row>
    <row r="578" spans="1:6" x14ac:dyDescent="0.25">
      <c r="A578" s="150">
        <v>573</v>
      </c>
      <c r="B578" s="10" t="s">
        <v>777</v>
      </c>
      <c r="C578">
        <v>19460301.099126801</v>
      </c>
      <c r="E578" s="165" t="s">
        <v>1792</v>
      </c>
      <c r="F578" s="166">
        <f>IF(ISNUMBER(AI71),AI71/SUM($I$43:$AI$71),0)</f>
        <v>0</v>
      </c>
    </row>
    <row r="579" spans="1:6" x14ac:dyDescent="0.25">
      <c r="A579" s="150">
        <v>574</v>
      </c>
      <c r="B579" s="10" t="s">
        <v>778</v>
      </c>
      <c r="C579">
        <v>20084142.730810199</v>
      </c>
    </row>
    <row r="580" spans="1:6" x14ac:dyDescent="0.25">
      <c r="A580" s="150">
        <v>575</v>
      </c>
      <c r="B580" s="10" t="s">
        <v>779</v>
      </c>
      <c r="C580">
        <v>2081270.0795136699</v>
      </c>
    </row>
    <row r="581" spans="1:6" x14ac:dyDescent="0.25">
      <c r="A581" s="150">
        <v>576</v>
      </c>
      <c r="B581" s="10" t="s">
        <v>780</v>
      </c>
      <c r="C581">
        <v>969095.26098829496</v>
      </c>
    </row>
    <row r="582" spans="1:6" x14ac:dyDescent="0.25">
      <c r="A582" s="150">
        <v>577</v>
      </c>
      <c r="B582" s="10" t="s">
        <v>781</v>
      </c>
      <c r="C582">
        <v>0</v>
      </c>
    </row>
    <row r="583" spans="1:6" x14ac:dyDescent="0.25">
      <c r="A583" s="150">
        <v>578</v>
      </c>
      <c r="B583" s="10" t="s">
        <v>782</v>
      </c>
      <c r="C583">
        <v>161697.530753903</v>
      </c>
    </row>
    <row r="584" spans="1:6" x14ac:dyDescent="0.25">
      <c r="A584" s="150">
        <v>579</v>
      </c>
      <c r="B584" s="10" t="s">
        <v>783</v>
      </c>
      <c r="C584">
        <v>45387.920332031303</v>
      </c>
    </row>
    <row r="585" spans="1:6" x14ac:dyDescent="0.25">
      <c r="A585" s="150">
        <v>580</v>
      </c>
      <c r="B585" s="10" t="s">
        <v>784</v>
      </c>
      <c r="C585">
        <v>0</v>
      </c>
    </row>
    <row r="586" spans="1:6" x14ac:dyDescent="0.25">
      <c r="A586" s="150">
        <v>581</v>
      </c>
      <c r="B586" s="10" t="s">
        <v>785</v>
      </c>
      <c r="C586">
        <v>48331.528113279499</v>
      </c>
    </row>
    <row r="587" spans="1:6" x14ac:dyDescent="0.25">
      <c r="A587" s="150">
        <v>582</v>
      </c>
      <c r="B587" s="10" t="s">
        <v>786</v>
      </c>
      <c r="C587">
        <v>88222.011351566805</v>
      </c>
    </row>
    <row r="588" spans="1:6" x14ac:dyDescent="0.25">
      <c r="A588" s="150">
        <v>583</v>
      </c>
      <c r="B588" s="10" t="s">
        <v>787</v>
      </c>
      <c r="C588">
        <v>0</v>
      </c>
    </row>
    <row r="589" spans="1:6" x14ac:dyDescent="0.25">
      <c r="A589" s="150">
        <v>584</v>
      </c>
      <c r="B589" s="10" t="s">
        <v>788</v>
      </c>
      <c r="C589">
        <v>0</v>
      </c>
    </row>
    <row r="590" spans="1:6" x14ac:dyDescent="0.25">
      <c r="A590" s="150">
        <v>585</v>
      </c>
      <c r="B590" s="10" t="s">
        <v>1217</v>
      </c>
      <c r="C590">
        <v>0</v>
      </c>
    </row>
    <row r="591" spans="1:6" x14ac:dyDescent="0.25">
      <c r="A591" s="150">
        <v>586</v>
      </c>
      <c r="B591" s="10" t="s">
        <v>1218</v>
      </c>
      <c r="C591">
        <v>0</v>
      </c>
    </row>
    <row r="592" spans="1:6" x14ac:dyDescent="0.25">
      <c r="A592" s="150">
        <v>587</v>
      </c>
      <c r="B592" s="10" t="s">
        <v>1219</v>
      </c>
      <c r="C592">
        <v>914377.03415232897</v>
      </c>
    </row>
    <row r="593" spans="1:3" x14ac:dyDescent="0.25">
      <c r="A593" s="150">
        <v>588</v>
      </c>
      <c r="B593" s="10" t="s">
        <v>1220</v>
      </c>
      <c r="C593">
        <v>673723.74813282501</v>
      </c>
    </row>
    <row r="594" spans="1:3" x14ac:dyDescent="0.25">
      <c r="A594" s="150">
        <v>589</v>
      </c>
      <c r="B594" s="10" t="s">
        <v>1221</v>
      </c>
      <c r="C594">
        <v>17390253.159172099</v>
      </c>
    </row>
    <row r="595" spans="1:3" x14ac:dyDescent="0.25">
      <c r="A595" s="150">
        <v>590</v>
      </c>
      <c r="B595" s="10" t="s">
        <v>1222</v>
      </c>
      <c r="C595">
        <v>16627191.724242199</v>
      </c>
    </row>
    <row r="596" spans="1:3" x14ac:dyDescent="0.25">
      <c r="A596" s="150">
        <v>591</v>
      </c>
      <c r="B596" s="10" t="s">
        <v>1223</v>
      </c>
      <c r="C596">
        <v>94405708.177085906</v>
      </c>
    </row>
    <row r="597" spans="1:3" x14ac:dyDescent="0.25">
      <c r="A597" s="150">
        <v>592</v>
      </c>
      <c r="B597" s="10" t="s">
        <v>1224</v>
      </c>
      <c r="C597">
        <v>84201585.025062606</v>
      </c>
    </row>
    <row r="598" spans="1:3" x14ac:dyDescent="0.25">
      <c r="A598" s="150">
        <v>593</v>
      </c>
      <c r="B598" s="10" t="s">
        <v>1225</v>
      </c>
      <c r="C598">
        <v>266420801.31395</v>
      </c>
    </row>
    <row r="599" spans="1:3" x14ac:dyDescent="0.25">
      <c r="A599" s="150">
        <v>594</v>
      </c>
      <c r="B599" s="10" t="s">
        <v>1226</v>
      </c>
      <c r="C599">
        <v>244200176.06793201</v>
      </c>
    </row>
    <row r="600" spans="1:3" x14ac:dyDescent="0.25">
      <c r="A600" s="150">
        <v>595</v>
      </c>
      <c r="B600" s="10" t="s">
        <v>1227</v>
      </c>
      <c r="C600">
        <v>456213641.79867601</v>
      </c>
    </row>
    <row r="601" spans="1:3" x14ac:dyDescent="0.25">
      <c r="A601" s="150">
        <v>596</v>
      </c>
      <c r="B601" s="10" t="s">
        <v>1228</v>
      </c>
      <c r="C601">
        <v>442956755.96346998</v>
      </c>
    </row>
    <row r="602" spans="1:3" x14ac:dyDescent="0.25">
      <c r="A602" s="150">
        <v>597</v>
      </c>
      <c r="B602" s="10" t="s">
        <v>1229</v>
      </c>
      <c r="C602">
        <v>505863386.80270398</v>
      </c>
    </row>
    <row r="603" spans="1:3" x14ac:dyDescent="0.25">
      <c r="A603" s="150">
        <v>598</v>
      </c>
      <c r="B603" s="10" t="s">
        <v>1230</v>
      </c>
      <c r="C603">
        <v>486428089.75625598</v>
      </c>
    </row>
    <row r="604" spans="1:3" x14ac:dyDescent="0.25">
      <c r="A604" s="150">
        <v>599</v>
      </c>
      <c r="B604" s="10" t="s">
        <v>1231</v>
      </c>
      <c r="C604">
        <v>363529264.47476202</v>
      </c>
    </row>
    <row r="605" spans="1:3" x14ac:dyDescent="0.25">
      <c r="A605" s="150">
        <v>600</v>
      </c>
      <c r="B605" s="10" t="s">
        <v>1232</v>
      </c>
      <c r="C605">
        <v>335410422.23214698</v>
      </c>
    </row>
    <row r="606" spans="1:3" x14ac:dyDescent="0.25">
      <c r="A606" s="150">
        <v>601</v>
      </c>
      <c r="B606" s="10" t="s">
        <v>1233</v>
      </c>
      <c r="C606">
        <v>162552162.454285</v>
      </c>
    </row>
    <row r="607" spans="1:3" x14ac:dyDescent="0.25">
      <c r="A607" s="150">
        <v>602</v>
      </c>
      <c r="B607" s="10" t="s">
        <v>1234</v>
      </c>
      <c r="C607">
        <v>146141591.38484201</v>
      </c>
    </row>
    <row r="608" spans="1:3" x14ac:dyDescent="0.25">
      <c r="A608" s="150">
        <v>603</v>
      </c>
      <c r="B608" s="10" t="s">
        <v>1235</v>
      </c>
      <c r="C608">
        <v>42174275.674835198</v>
      </c>
    </row>
    <row r="609" spans="1:3" x14ac:dyDescent="0.25">
      <c r="A609" s="150">
        <v>604</v>
      </c>
      <c r="B609" s="10" t="s">
        <v>1236</v>
      </c>
      <c r="C609">
        <v>40120228.559234597</v>
      </c>
    </row>
    <row r="610" spans="1:3" x14ac:dyDescent="0.25">
      <c r="A610" s="150">
        <v>605</v>
      </c>
      <c r="B610" s="10" t="s">
        <v>1237</v>
      </c>
      <c r="C610">
        <v>4410567.1995897302</v>
      </c>
    </row>
    <row r="611" spans="1:3" x14ac:dyDescent="0.25">
      <c r="A611" s="150">
        <v>606</v>
      </c>
      <c r="B611" s="10" t="s">
        <v>1238</v>
      </c>
      <c r="C611">
        <v>3576438.4185841102</v>
      </c>
    </row>
    <row r="612" spans="1:3" x14ac:dyDescent="0.25">
      <c r="A612" s="150">
        <v>607</v>
      </c>
      <c r="B612" s="10" t="s">
        <v>1239</v>
      </c>
      <c r="C612">
        <v>13133.432012694</v>
      </c>
    </row>
    <row r="613" spans="1:3" x14ac:dyDescent="0.25">
      <c r="A613" s="150">
        <v>608</v>
      </c>
      <c r="B613" s="10" t="s">
        <v>1240</v>
      </c>
      <c r="C613">
        <v>52197.565388672097</v>
      </c>
    </row>
    <row r="614" spans="1:3" x14ac:dyDescent="0.25">
      <c r="A614" s="150">
        <v>609</v>
      </c>
      <c r="B614" s="10" t="s">
        <v>789</v>
      </c>
      <c r="C614">
        <v>32397448.296712901</v>
      </c>
    </row>
    <row r="615" spans="1:3" x14ac:dyDescent="0.25">
      <c r="A615" s="150">
        <v>610</v>
      </c>
      <c r="B615" s="10" t="s">
        <v>790</v>
      </c>
      <c r="C615">
        <v>19270345.8111782</v>
      </c>
    </row>
    <row r="616" spans="1:3" x14ac:dyDescent="0.25">
      <c r="A616" s="150">
        <v>611</v>
      </c>
      <c r="B616" s="10" t="s">
        <v>791</v>
      </c>
      <c r="C616">
        <v>163560100.703125</v>
      </c>
    </row>
    <row r="617" spans="1:3" x14ac:dyDescent="0.25">
      <c r="A617" s="150">
        <v>612</v>
      </c>
      <c r="B617" s="10" t="s">
        <v>792</v>
      </c>
      <c r="C617">
        <v>129204669.71900199</v>
      </c>
    </row>
    <row r="618" spans="1:3" x14ac:dyDescent="0.25">
      <c r="A618" s="150">
        <v>613</v>
      </c>
      <c r="B618" s="10" t="s">
        <v>793</v>
      </c>
      <c r="C618">
        <v>401775241.57318097</v>
      </c>
    </row>
    <row r="619" spans="1:3" x14ac:dyDescent="0.25">
      <c r="A619" s="150">
        <v>614</v>
      </c>
      <c r="B619" s="10" t="s">
        <v>794</v>
      </c>
      <c r="C619">
        <v>382224122.067963</v>
      </c>
    </row>
    <row r="620" spans="1:3" x14ac:dyDescent="0.25">
      <c r="A620" s="150">
        <v>615</v>
      </c>
      <c r="B620" s="10" t="s">
        <v>795</v>
      </c>
      <c r="C620">
        <v>586451364.05807495</v>
      </c>
    </row>
    <row r="621" spans="1:3" x14ac:dyDescent="0.25">
      <c r="A621" s="150">
        <v>616</v>
      </c>
      <c r="B621" s="10" t="s">
        <v>796</v>
      </c>
      <c r="C621">
        <v>525130751.67608601</v>
      </c>
    </row>
    <row r="622" spans="1:3" x14ac:dyDescent="0.25">
      <c r="A622" s="150">
        <v>617</v>
      </c>
      <c r="B622" s="10" t="s">
        <v>797</v>
      </c>
      <c r="C622">
        <v>505439410.70282</v>
      </c>
    </row>
    <row r="623" spans="1:3" x14ac:dyDescent="0.25">
      <c r="A623" s="150">
        <v>618</v>
      </c>
      <c r="B623" s="10" t="s">
        <v>798</v>
      </c>
      <c r="C623">
        <v>401324404.587708</v>
      </c>
    </row>
    <row r="624" spans="1:3" x14ac:dyDescent="0.25">
      <c r="A624" s="150">
        <v>619</v>
      </c>
      <c r="B624" s="10" t="s">
        <v>799</v>
      </c>
      <c r="C624">
        <v>281469127.71292102</v>
      </c>
    </row>
    <row r="625" spans="1:3" x14ac:dyDescent="0.25">
      <c r="A625" s="150">
        <v>620</v>
      </c>
      <c r="B625" s="10" t="s">
        <v>800</v>
      </c>
      <c r="C625">
        <v>237735733.43031299</v>
      </c>
    </row>
    <row r="626" spans="1:3" x14ac:dyDescent="0.25">
      <c r="A626" s="150">
        <v>621</v>
      </c>
      <c r="B626" s="10" t="s">
        <v>801</v>
      </c>
      <c r="C626">
        <v>104092339.12339801</v>
      </c>
    </row>
    <row r="627" spans="1:3" x14ac:dyDescent="0.25">
      <c r="A627" s="150">
        <v>622</v>
      </c>
      <c r="B627" s="10" t="s">
        <v>802</v>
      </c>
      <c r="C627">
        <v>95724346.149360701</v>
      </c>
    </row>
    <row r="628" spans="1:3" x14ac:dyDescent="0.25">
      <c r="A628" s="150">
        <v>623</v>
      </c>
      <c r="B628" s="10" t="s">
        <v>803</v>
      </c>
      <c r="C628">
        <v>26429497.9977074</v>
      </c>
    </row>
    <row r="629" spans="1:3" x14ac:dyDescent="0.25">
      <c r="A629" s="150">
        <v>624</v>
      </c>
      <c r="B629" s="10" t="s">
        <v>804</v>
      </c>
      <c r="C629">
        <v>24618426.013278998</v>
      </c>
    </row>
    <row r="630" spans="1:3" x14ac:dyDescent="0.25">
      <c r="A630" s="150">
        <v>625</v>
      </c>
      <c r="B630" s="10" t="s">
        <v>805</v>
      </c>
      <c r="C630">
        <v>3414296.7875571302</v>
      </c>
    </row>
    <row r="631" spans="1:3" x14ac:dyDescent="0.25">
      <c r="A631" s="150">
        <v>626</v>
      </c>
      <c r="B631" s="10" t="s">
        <v>806</v>
      </c>
      <c r="C631">
        <v>2670440.0294218101</v>
      </c>
    </row>
    <row r="632" spans="1:3" x14ac:dyDescent="0.25">
      <c r="A632" s="150">
        <v>627</v>
      </c>
      <c r="B632" s="10" t="s">
        <v>807</v>
      </c>
      <c r="C632">
        <v>202591.24857421199</v>
      </c>
    </row>
    <row r="633" spans="1:3" x14ac:dyDescent="0.25">
      <c r="A633" s="150">
        <v>628</v>
      </c>
      <c r="B633" s="10" t="s">
        <v>808</v>
      </c>
      <c r="C633">
        <v>181794.864696287</v>
      </c>
    </row>
    <row r="634" spans="1:3" x14ac:dyDescent="0.25">
      <c r="A634" s="150">
        <v>629</v>
      </c>
      <c r="B634" s="10" t="s">
        <v>809</v>
      </c>
      <c r="C634">
        <v>47443.982941407703</v>
      </c>
    </row>
    <row r="635" spans="1:3" x14ac:dyDescent="0.25">
      <c r="A635" s="150">
        <v>630</v>
      </c>
      <c r="B635" s="10" t="s">
        <v>810</v>
      </c>
      <c r="C635">
        <v>0</v>
      </c>
    </row>
    <row r="636" spans="1:3" x14ac:dyDescent="0.25">
      <c r="A636" s="150">
        <v>631</v>
      </c>
      <c r="B636" s="10" t="s">
        <v>811</v>
      </c>
      <c r="C636">
        <v>4986.6815581056298</v>
      </c>
    </row>
    <row r="637" spans="1:3" x14ac:dyDescent="0.25">
      <c r="A637" s="150">
        <v>632</v>
      </c>
      <c r="B637" s="10" t="s">
        <v>812</v>
      </c>
      <c r="C637">
        <v>48879.858065918103</v>
      </c>
    </row>
    <row r="638" spans="1:3" x14ac:dyDescent="0.25">
      <c r="A638" s="150">
        <v>633</v>
      </c>
      <c r="B638" s="10" t="s">
        <v>813</v>
      </c>
      <c r="C638">
        <v>94721.766902342395</v>
      </c>
    </row>
    <row r="639" spans="1:3" x14ac:dyDescent="0.25">
      <c r="A639" s="150">
        <v>634</v>
      </c>
      <c r="B639" s="10" t="s">
        <v>814</v>
      </c>
      <c r="C639">
        <v>0</v>
      </c>
    </row>
    <row r="640" spans="1:3" x14ac:dyDescent="0.25">
      <c r="A640" s="150">
        <v>635</v>
      </c>
      <c r="B640" s="10" t="s">
        <v>1241</v>
      </c>
      <c r="C640">
        <v>26401.223572265801</v>
      </c>
    </row>
    <row r="641" spans="1:3" x14ac:dyDescent="0.25">
      <c r="A641" s="150">
        <v>636</v>
      </c>
      <c r="B641" s="10" t="s">
        <v>1242</v>
      </c>
      <c r="C641">
        <v>0</v>
      </c>
    </row>
    <row r="642" spans="1:3" x14ac:dyDescent="0.25">
      <c r="A642" s="150">
        <v>637</v>
      </c>
      <c r="B642" s="10" t="s">
        <v>1243</v>
      </c>
      <c r="C642">
        <v>4051.3901323242999</v>
      </c>
    </row>
    <row r="643" spans="1:3" x14ac:dyDescent="0.25">
      <c r="A643" s="150">
        <v>638</v>
      </c>
      <c r="B643" s="10" t="s">
        <v>1244</v>
      </c>
      <c r="C643">
        <v>0</v>
      </c>
    </row>
    <row r="644" spans="1:3" x14ac:dyDescent="0.25">
      <c r="A644" s="150">
        <v>639</v>
      </c>
      <c r="B644" s="10" t="s">
        <v>1245</v>
      </c>
      <c r="C644">
        <v>874592.28058987902</v>
      </c>
    </row>
    <row r="645" spans="1:3" x14ac:dyDescent="0.25">
      <c r="A645" s="150">
        <v>640</v>
      </c>
      <c r="B645" s="10" t="s">
        <v>1246</v>
      </c>
      <c r="C645">
        <v>441250.52653124899</v>
      </c>
    </row>
    <row r="646" spans="1:3" x14ac:dyDescent="0.25">
      <c r="A646" s="150">
        <v>641</v>
      </c>
      <c r="B646" s="10" t="s">
        <v>1247</v>
      </c>
      <c r="C646">
        <v>14110340.9682741</v>
      </c>
    </row>
    <row r="647" spans="1:3" x14ac:dyDescent="0.25">
      <c r="A647" s="150">
        <v>642</v>
      </c>
      <c r="B647" s="10" t="s">
        <v>1248</v>
      </c>
      <c r="C647">
        <v>13097101.9124784</v>
      </c>
    </row>
    <row r="648" spans="1:3" x14ac:dyDescent="0.25">
      <c r="A648" s="150">
        <v>643</v>
      </c>
      <c r="B648" s="10" t="s">
        <v>1249</v>
      </c>
      <c r="C648">
        <v>63147944.882888801</v>
      </c>
    </row>
    <row r="649" spans="1:3" x14ac:dyDescent="0.25">
      <c r="A649" s="150">
        <v>644</v>
      </c>
      <c r="B649" s="10" t="s">
        <v>1250</v>
      </c>
      <c r="C649">
        <v>59734978.904960603</v>
      </c>
    </row>
    <row r="650" spans="1:3" x14ac:dyDescent="0.25">
      <c r="A650" s="150">
        <v>645</v>
      </c>
      <c r="B650" s="10" t="s">
        <v>1251</v>
      </c>
      <c r="C650">
        <v>161088811.40406799</v>
      </c>
    </row>
    <row r="651" spans="1:3" x14ac:dyDescent="0.25">
      <c r="A651" s="150">
        <v>646</v>
      </c>
      <c r="B651" s="10" t="s">
        <v>1252</v>
      </c>
      <c r="C651">
        <v>159575558.16230801</v>
      </c>
    </row>
    <row r="652" spans="1:3" x14ac:dyDescent="0.25">
      <c r="A652" s="150">
        <v>647</v>
      </c>
      <c r="B652" s="10" t="s">
        <v>1253</v>
      </c>
      <c r="C652">
        <v>267349628.47483799</v>
      </c>
    </row>
    <row r="653" spans="1:3" x14ac:dyDescent="0.25">
      <c r="A653" s="150">
        <v>648</v>
      </c>
      <c r="B653" s="10" t="s">
        <v>1254</v>
      </c>
      <c r="C653">
        <v>258184653.197449</v>
      </c>
    </row>
    <row r="654" spans="1:3" x14ac:dyDescent="0.25">
      <c r="A654" s="150">
        <v>649</v>
      </c>
      <c r="B654" s="10" t="s">
        <v>1255</v>
      </c>
      <c r="C654">
        <v>284197119.62634301</v>
      </c>
    </row>
    <row r="655" spans="1:3" x14ac:dyDescent="0.25">
      <c r="A655" s="150">
        <v>650</v>
      </c>
      <c r="B655" s="10" t="s">
        <v>1256</v>
      </c>
      <c r="C655">
        <v>255563167.96202099</v>
      </c>
    </row>
    <row r="656" spans="1:3" x14ac:dyDescent="0.25">
      <c r="A656" s="150">
        <v>651</v>
      </c>
      <c r="B656" s="10" t="s">
        <v>1257</v>
      </c>
      <c r="C656">
        <v>182634657.071594</v>
      </c>
    </row>
    <row r="657" spans="1:3" x14ac:dyDescent="0.25">
      <c r="A657" s="150">
        <v>652</v>
      </c>
      <c r="B657" s="10" t="s">
        <v>1258</v>
      </c>
      <c r="C657">
        <v>169006763.19616699</v>
      </c>
    </row>
    <row r="658" spans="1:3" x14ac:dyDescent="0.25">
      <c r="A658" s="150">
        <v>653</v>
      </c>
      <c r="B658" s="10" t="s">
        <v>1259</v>
      </c>
      <c r="C658">
        <v>73328161.729789704</v>
      </c>
    </row>
    <row r="659" spans="1:3" x14ac:dyDescent="0.25">
      <c r="A659" s="150">
        <v>654</v>
      </c>
      <c r="B659" s="10" t="s">
        <v>1260</v>
      </c>
      <c r="C659">
        <v>72825631.086792007</v>
      </c>
    </row>
    <row r="660" spans="1:3" x14ac:dyDescent="0.25">
      <c r="A660" s="150">
        <v>655</v>
      </c>
      <c r="B660" s="10" t="s">
        <v>1261</v>
      </c>
      <c r="C660">
        <v>67420745.854038194</v>
      </c>
    </row>
    <row r="661" spans="1:3" x14ac:dyDescent="0.25">
      <c r="A661" s="150">
        <v>656</v>
      </c>
      <c r="B661" s="10" t="s">
        <v>1262</v>
      </c>
      <c r="C661">
        <v>91712400.645053893</v>
      </c>
    </row>
    <row r="662" spans="1:3" x14ac:dyDescent="0.25">
      <c r="A662" s="150">
        <v>657</v>
      </c>
      <c r="B662" s="10" t="s">
        <v>1263</v>
      </c>
      <c r="C662">
        <v>788239.27804684604</v>
      </c>
    </row>
    <row r="663" spans="1:3" x14ac:dyDescent="0.25">
      <c r="A663" s="150">
        <v>658</v>
      </c>
      <c r="B663" s="10" t="s">
        <v>1264</v>
      </c>
      <c r="C663">
        <v>892491.67607617402</v>
      </c>
    </row>
    <row r="664" spans="1:3" x14ac:dyDescent="0.25">
      <c r="A664" s="150">
        <v>659</v>
      </c>
      <c r="B664" s="10" t="s">
        <v>1265</v>
      </c>
      <c r="C664">
        <v>0</v>
      </c>
    </row>
    <row r="665" spans="1:3" x14ac:dyDescent="0.25">
      <c r="A665" s="150">
        <v>660</v>
      </c>
      <c r="B665" s="10" t="s">
        <v>1266</v>
      </c>
      <c r="C665">
        <v>52967.852695316098</v>
      </c>
    </row>
    <row r="666" spans="1:3" x14ac:dyDescent="0.25">
      <c r="A666" s="150">
        <v>661</v>
      </c>
      <c r="B666" s="10" t="s">
        <v>815</v>
      </c>
      <c r="C666">
        <v>21721781.3210239</v>
      </c>
    </row>
    <row r="667" spans="1:3" x14ac:dyDescent="0.25">
      <c r="A667" s="150">
        <v>662</v>
      </c>
      <c r="B667" s="10" t="s">
        <v>816</v>
      </c>
      <c r="C667">
        <v>11682841.553198799</v>
      </c>
    </row>
    <row r="668" spans="1:3" x14ac:dyDescent="0.25">
      <c r="A668" s="150">
        <v>663</v>
      </c>
      <c r="B668" s="10" t="s">
        <v>817</v>
      </c>
      <c r="C668">
        <v>114793524.29615</v>
      </c>
    </row>
    <row r="669" spans="1:3" x14ac:dyDescent="0.25">
      <c r="A669" s="150">
        <v>664</v>
      </c>
      <c r="B669" s="10" t="s">
        <v>818</v>
      </c>
      <c r="C669">
        <v>90769056.733421296</v>
      </c>
    </row>
    <row r="670" spans="1:3" x14ac:dyDescent="0.25">
      <c r="A670" s="150">
        <v>665</v>
      </c>
      <c r="B670" s="10" t="s">
        <v>819</v>
      </c>
      <c r="C670">
        <v>295999987.29571497</v>
      </c>
    </row>
    <row r="671" spans="1:3" x14ac:dyDescent="0.25">
      <c r="A671" s="150">
        <v>666</v>
      </c>
      <c r="B671" s="10" t="s">
        <v>820</v>
      </c>
      <c r="C671">
        <v>283185418.69220001</v>
      </c>
    </row>
    <row r="672" spans="1:3" x14ac:dyDescent="0.25">
      <c r="A672" s="150">
        <v>667</v>
      </c>
      <c r="B672" s="10" t="s">
        <v>821</v>
      </c>
      <c r="C672">
        <v>450994152.53112799</v>
      </c>
    </row>
    <row r="673" spans="1:3" x14ac:dyDescent="0.25">
      <c r="A673" s="150">
        <v>668</v>
      </c>
      <c r="B673" s="10" t="s">
        <v>822</v>
      </c>
      <c r="C673">
        <v>408429985.70123303</v>
      </c>
    </row>
    <row r="674" spans="1:3" x14ac:dyDescent="0.25">
      <c r="A674" s="150">
        <v>669</v>
      </c>
      <c r="B674" s="10" t="s">
        <v>823</v>
      </c>
      <c r="C674">
        <v>422735525.98440599</v>
      </c>
    </row>
    <row r="675" spans="1:3" x14ac:dyDescent="0.25">
      <c r="A675" s="150">
        <v>670</v>
      </c>
      <c r="B675" s="10" t="s">
        <v>824</v>
      </c>
      <c r="C675">
        <v>331066569.15841699</v>
      </c>
    </row>
    <row r="676" spans="1:3" x14ac:dyDescent="0.25">
      <c r="A676" s="150">
        <v>671</v>
      </c>
      <c r="B676" s="10" t="s">
        <v>825</v>
      </c>
      <c r="C676">
        <v>251741712.054611</v>
      </c>
    </row>
    <row r="677" spans="1:3" x14ac:dyDescent="0.25">
      <c r="A677" s="150">
        <v>672</v>
      </c>
      <c r="B677" s="10" t="s">
        <v>826</v>
      </c>
      <c r="C677">
        <v>210634567.06246901</v>
      </c>
    </row>
    <row r="678" spans="1:3" x14ac:dyDescent="0.25">
      <c r="A678" s="150">
        <v>673</v>
      </c>
      <c r="B678" s="10" t="s">
        <v>827</v>
      </c>
      <c r="C678">
        <v>99327214.825202897</v>
      </c>
    </row>
    <row r="679" spans="1:3" x14ac:dyDescent="0.25">
      <c r="A679" s="150">
        <v>674</v>
      </c>
      <c r="B679" s="10" t="s">
        <v>828</v>
      </c>
      <c r="C679">
        <v>96786499.239196807</v>
      </c>
    </row>
    <row r="680" spans="1:3" x14ac:dyDescent="0.25">
      <c r="A680" s="150">
        <v>675</v>
      </c>
      <c r="B680" s="10" t="s">
        <v>829</v>
      </c>
      <c r="C680">
        <v>30511874.374412499</v>
      </c>
    </row>
    <row r="681" spans="1:3" x14ac:dyDescent="0.25">
      <c r="A681" s="150">
        <v>676</v>
      </c>
      <c r="B681" s="10" t="s">
        <v>830</v>
      </c>
      <c r="C681">
        <v>27698854.5436249</v>
      </c>
    </row>
    <row r="682" spans="1:3" x14ac:dyDescent="0.25">
      <c r="A682" s="150">
        <v>677</v>
      </c>
      <c r="B682" s="10" t="s">
        <v>831</v>
      </c>
      <c r="C682">
        <v>4531787.1347165098</v>
      </c>
    </row>
    <row r="683" spans="1:3" x14ac:dyDescent="0.25">
      <c r="A683" s="150">
        <v>678</v>
      </c>
      <c r="B683" s="10" t="s">
        <v>832</v>
      </c>
      <c r="C683">
        <v>3587764.9389805798</v>
      </c>
    </row>
    <row r="684" spans="1:3" x14ac:dyDescent="0.25">
      <c r="A684" s="150">
        <v>679</v>
      </c>
      <c r="B684" s="10" t="s">
        <v>833</v>
      </c>
      <c r="C684">
        <v>131615.179921873</v>
      </c>
    </row>
    <row r="685" spans="1:3" x14ac:dyDescent="0.25">
      <c r="A685" s="150">
        <v>680</v>
      </c>
      <c r="B685" s="10" t="s">
        <v>834</v>
      </c>
      <c r="C685">
        <v>108944.90659716701</v>
      </c>
    </row>
    <row r="686" spans="1:3" x14ac:dyDescent="0.25">
      <c r="A686" s="150">
        <v>681</v>
      </c>
      <c r="B686" s="10" t="s">
        <v>835</v>
      </c>
      <c r="C686">
        <v>0</v>
      </c>
    </row>
    <row r="687" spans="1:3" x14ac:dyDescent="0.25">
      <c r="A687" s="150">
        <v>682</v>
      </c>
      <c r="B687" s="10" t="s">
        <v>836</v>
      </c>
      <c r="C687">
        <v>0</v>
      </c>
    </row>
    <row r="688" spans="1:3" x14ac:dyDescent="0.25">
      <c r="A688" s="150">
        <v>683</v>
      </c>
      <c r="B688" s="10" t="s">
        <v>837</v>
      </c>
      <c r="C688">
        <v>0</v>
      </c>
    </row>
    <row r="689" spans="1:3" x14ac:dyDescent="0.25">
      <c r="A689" s="150">
        <v>684</v>
      </c>
      <c r="B689" s="10" t="s">
        <v>838</v>
      </c>
      <c r="C689">
        <v>86779.425304688499</v>
      </c>
    </row>
    <row r="690" spans="1:3" x14ac:dyDescent="0.25">
      <c r="A690" s="150">
        <v>685</v>
      </c>
      <c r="B690" s="10" t="s">
        <v>839</v>
      </c>
      <c r="C690">
        <v>0</v>
      </c>
    </row>
    <row r="691" spans="1:3" x14ac:dyDescent="0.25">
      <c r="A691" s="150">
        <v>686</v>
      </c>
      <c r="B691" s="10" t="s">
        <v>840</v>
      </c>
      <c r="C691">
        <v>52180.259214844598</v>
      </c>
    </row>
    <row r="692" spans="1:3" x14ac:dyDescent="0.25">
      <c r="A692" s="150">
        <v>687</v>
      </c>
      <c r="B692" s="10" t="s">
        <v>1267</v>
      </c>
      <c r="C692">
        <v>0</v>
      </c>
    </row>
    <row r="693" spans="1:3" x14ac:dyDescent="0.25">
      <c r="A693" s="150">
        <v>688</v>
      </c>
      <c r="B693" s="10" t="s">
        <v>1268</v>
      </c>
      <c r="C693">
        <v>4940.5108081055796</v>
      </c>
    </row>
    <row r="694" spans="1:3" x14ac:dyDescent="0.25">
      <c r="A694" s="150">
        <v>689</v>
      </c>
      <c r="B694" s="10" t="s">
        <v>1269</v>
      </c>
      <c r="C694">
        <v>46531.146175781301</v>
      </c>
    </row>
    <row r="695" spans="1:3" x14ac:dyDescent="0.25">
      <c r="A695" s="150">
        <v>690</v>
      </c>
      <c r="B695" s="10" t="s">
        <v>1270</v>
      </c>
      <c r="C695">
        <v>33472.344609375999</v>
      </c>
    </row>
    <row r="696" spans="1:3" x14ac:dyDescent="0.25">
      <c r="A696" s="150">
        <v>691</v>
      </c>
      <c r="B696" s="10" t="s">
        <v>1271</v>
      </c>
      <c r="C696">
        <v>0</v>
      </c>
    </row>
    <row r="697" spans="1:3" x14ac:dyDescent="0.25">
      <c r="A697" s="150">
        <v>692</v>
      </c>
      <c r="B697" s="10" t="s">
        <v>1272</v>
      </c>
      <c r="C697">
        <v>0</v>
      </c>
    </row>
    <row r="698" spans="1:3" x14ac:dyDescent="0.25">
      <c r="A698" s="150">
        <v>693</v>
      </c>
      <c r="B698" s="10" t="s">
        <v>1273</v>
      </c>
      <c r="C698">
        <v>1333554.61556649</v>
      </c>
    </row>
    <row r="699" spans="1:3" x14ac:dyDescent="0.25">
      <c r="A699" s="150">
        <v>694</v>
      </c>
      <c r="B699" s="10" t="s">
        <v>1274</v>
      </c>
      <c r="C699">
        <v>1365788.87925398</v>
      </c>
    </row>
    <row r="700" spans="1:3" x14ac:dyDescent="0.25">
      <c r="A700" s="150">
        <v>695</v>
      </c>
      <c r="B700" s="10" t="s">
        <v>1275</v>
      </c>
      <c r="C700">
        <v>22094533.852203399</v>
      </c>
    </row>
    <row r="701" spans="1:3" x14ac:dyDescent="0.25">
      <c r="A701" s="150">
        <v>696</v>
      </c>
      <c r="B701" s="10" t="s">
        <v>1276</v>
      </c>
      <c r="C701">
        <v>19311850.848350499</v>
      </c>
    </row>
    <row r="702" spans="1:3" x14ac:dyDescent="0.25">
      <c r="A702" s="150">
        <v>697</v>
      </c>
      <c r="B702" s="10" t="s">
        <v>1277</v>
      </c>
      <c r="C702">
        <v>89776844.989524797</v>
      </c>
    </row>
    <row r="703" spans="1:3" x14ac:dyDescent="0.25">
      <c r="A703" s="150">
        <v>698</v>
      </c>
      <c r="B703" s="10" t="s">
        <v>1278</v>
      </c>
      <c r="C703">
        <v>84111527.394271895</v>
      </c>
    </row>
    <row r="704" spans="1:3" x14ac:dyDescent="0.25">
      <c r="A704" s="150">
        <v>699</v>
      </c>
      <c r="B704" s="10" t="s">
        <v>1279</v>
      </c>
      <c r="C704">
        <v>224219001.671341</v>
      </c>
    </row>
    <row r="705" spans="1:3" x14ac:dyDescent="0.25">
      <c r="A705" s="150">
        <v>700</v>
      </c>
      <c r="B705" s="10" t="s">
        <v>1280</v>
      </c>
      <c r="C705">
        <v>209493356.10322601</v>
      </c>
    </row>
    <row r="706" spans="1:3" x14ac:dyDescent="0.25">
      <c r="A706" s="150">
        <v>701</v>
      </c>
      <c r="B706" s="10" t="s">
        <v>1281</v>
      </c>
      <c r="C706">
        <v>353221888.61901897</v>
      </c>
    </row>
    <row r="707" spans="1:3" x14ac:dyDescent="0.25">
      <c r="A707" s="150">
        <v>702</v>
      </c>
      <c r="B707" s="10" t="s">
        <v>1282</v>
      </c>
      <c r="C707">
        <v>323696543.59255999</v>
      </c>
    </row>
    <row r="708" spans="1:3" x14ac:dyDescent="0.25">
      <c r="A708" s="150">
        <v>703</v>
      </c>
      <c r="B708" s="10" t="s">
        <v>1283</v>
      </c>
      <c r="C708">
        <v>352877490.25351</v>
      </c>
    </row>
    <row r="709" spans="1:3" x14ac:dyDescent="0.25">
      <c r="A709" s="150">
        <v>704</v>
      </c>
      <c r="B709" s="10" t="s">
        <v>1284</v>
      </c>
      <c r="C709">
        <v>326253374.60376</v>
      </c>
    </row>
    <row r="710" spans="1:3" x14ac:dyDescent="0.25">
      <c r="A710" s="150">
        <v>705</v>
      </c>
      <c r="B710" s="10" t="s">
        <v>1285</v>
      </c>
      <c r="C710">
        <v>220120017.35972601</v>
      </c>
    </row>
    <row r="711" spans="1:3" x14ac:dyDescent="0.25">
      <c r="A711" s="150">
        <v>706</v>
      </c>
      <c r="B711" s="10" t="s">
        <v>1286</v>
      </c>
      <c r="C711">
        <v>217464786.79273999</v>
      </c>
    </row>
    <row r="712" spans="1:3" x14ac:dyDescent="0.25">
      <c r="A712" s="150">
        <v>707</v>
      </c>
      <c r="B712" s="10" t="s">
        <v>1287</v>
      </c>
      <c r="C712">
        <v>88998202.528938293</v>
      </c>
    </row>
    <row r="713" spans="1:3" x14ac:dyDescent="0.25">
      <c r="A713" s="150">
        <v>708</v>
      </c>
      <c r="B713" s="10" t="s">
        <v>1288</v>
      </c>
      <c r="C713">
        <v>84944943.416755706</v>
      </c>
    </row>
    <row r="714" spans="1:3" x14ac:dyDescent="0.25">
      <c r="A714" s="150">
        <v>709</v>
      </c>
      <c r="B714" s="10" t="s">
        <v>1289</v>
      </c>
      <c r="C714">
        <v>20555781.940921798</v>
      </c>
    </row>
    <row r="715" spans="1:3" x14ac:dyDescent="0.25">
      <c r="A715" s="150">
        <v>710</v>
      </c>
      <c r="B715" s="10" t="s">
        <v>1290</v>
      </c>
      <c r="C715">
        <v>19589419.993938401</v>
      </c>
    </row>
    <row r="716" spans="1:3" x14ac:dyDescent="0.25">
      <c r="A716" s="150">
        <v>711</v>
      </c>
      <c r="B716" s="10" t="s">
        <v>1291</v>
      </c>
      <c r="C716">
        <v>1747289.54580855</v>
      </c>
    </row>
    <row r="717" spans="1:3" x14ac:dyDescent="0.25">
      <c r="A717" s="150">
        <v>712</v>
      </c>
      <c r="B717" s="10" t="s">
        <v>1292</v>
      </c>
      <c r="C717">
        <v>1337738.23091209</v>
      </c>
    </row>
    <row r="718" spans="1:3" x14ac:dyDescent="0.25">
      <c r="A718" s="150">
        <v>713</v>
      </c>
      <c r="B718" s="10" t="s">
        <v>1293</v>
      </c>
      <c r="C718">
        <v>47450.4857929684</v>
      </c>
    </row>
    <row r="719" spans="1:3" x14ac:dyDescent="0.25">
      <c r="A719" s="150">
        <v>714</v>
      </c>
      <c r="B719" s="10" t="s">
        <v>1294</v>
      </c>
      <c r="C719">
        <v>35088.074191406398</v>
      </c>
    </row>
    <row r="720" spans="1:3" x14ac:dyDescent="0.25">
      <c r="A720" s="150">
        <v>715</v>
      </c>
      <c r="B720" s="10" t="s">
        <v>841</v>
      </c>
      <c r="C720">
        <v>14461286.6242867</v>
      </c>
    </row>
    <row r="721" spans="1:3" x14ac:dyDescent="0.25">
      <c r="A721" s="150">
        <v>716</v>
      </c>
      <c r="B721" s="10" t="s">
        <v>842</v>
      </c>
      <c r="C721">
        <v>7215205.5457696896</v>
      </c>
    </row>
    <row r="722" spans="1:3" x14ac:dyDescent="0.25">
      <c r="A722" s="150">
        <v>717</v>
      </c>
      <c r="B722" s="10" t="s">
        <v>843</v>
      </c>
      <c r="C722">
        <v>82363595.665107697</v>
      </c>
    </row>
    <row r="723" spans="1:3" x14ac:dyDescent="0.25">
      <c r="A723" s="150">
        <v>718</v>
      </c>
      <c r="B723" s="10" t="s">
        <v>844</v>
      </c>
      <c r="C723">
        <v>65012602.563976303</v>
      </c>
    </row>
    <row r="724" spans="1:3" x14ac:dyDescent="0.25">
      <c r="A724" s="150">
        <v>719</v>
      </c>
      <c r="B724" s="10" t="s">
        <v>845</v>
      </c>
      <c r="C724">
        <v>214817818.80757099</v>
      </c>
    </row>
    <row r="725" spans="1:3" x14ac:dyDescent="0.25">
      <c r="A725" s="150">
        <v>720</v>
      </c>
      <c r="B725" s="10" t="s">
        <v>846</v>
      </c>
      <c r="C725">
        <v>204362376.60285899</v>
      </c>
    </row>
    <row r="726" spans="1:3" x14ac:dyDescent="0.25">
      <c r="A726" s="150">
        <v>721</v>
      </c>
      <c r="B726" s="10" t="s">
        <v>847</v>
      </c>
      <c r="C726">
        <v>340032895.87571698</v>
      </c>
    </row>
    <row r="727" spans="1:3" x14ac:dyDescent="0.25">
      <c r="A727" s="150">
        <v>722</v>
      </c>
      <c r="B727" s="10" t="s">
        <v>848</v>
      </c>
      <c r="C727">
        <v>305994098.67648298</v>
      </c>
    </row>
    <row r="728" spans="1:3" x14ac:dyDescent="0.25">
      <c r="A728" s="150">
        <v>723</v>
      </c>
      <c r="B728" s="10" t="s">
        <v>849</v>
      </c>
      <c r="C728">
        <v>336553952.36232001</v>
      </c>
    </row>
    <row r="729" spans="1:3" x14ac:dyDescent="0.25">
      <c r="A729" s="150">
        <v>724</v>
      </c>
      <c r="B729" s="10" t="s">
        <v>850</v>
      </c>
      <c r="C729">
        <v>266434729.78021199</v>
      </c>
    </row>
    <row r="730" spans="1:3" x14ac:dyDescent="0.25">
      <c r="A730" s="150">
        <v>725</v>
      </c>
      <c r="B730" s="10" t="s">
        <v>851</v>
      </c>
      <c r="C730">
        <v>220524907.213516</v>
      </c>
    </row>
    <row r="731" spans="1:3" x14ac:dyDescent="0.25">
      <c r="A731" s="150">
        <v>726</v>
      </c>
      <c r="B731" s="10" t="s">
        <v>852</v>
      </c>
      <c r="C731">
        <v>182548476.71206701</v>
      </c>
    </row>
    <row r="732" spans="1:3" x14ac:dyDescent="0.25">
      <c r="A732" s="150">
        <v>727</v>
      </c>
      <c r="B732" s="10" t="s">
        <v>853</v>
      </c>
      <c r="C732">
        <v>97597143.657798797</v>
      </c>
    </row>
    <row r="733" spans="1:3" x14ac:dyDescent="0.25">
      <c r="A733" s="150">
        <v>728</v>
      </c>
      <c r="B733" s="10" t="s">
        <v>854</v>
      </c>
      <c r="C733">
        <v>91820134.425514206</v>
      </c>
    </row>
    <row r="734" spans="1:3" x14ac:dyDescent="0.25">
      <c r="A734" s="150">
        <v>729</v>
      </c>
      <c r="B734" s="10" t="s">
        <v>855</v>
      </c>
      <c r="C734">
        <v>32131365.808113098</v>
      </c>
    </row>
    <row r="735" spans="1:3" x14ac:dyDescent="0.25">
      <c r="A735" s="150">
        <v>730</v>
      </c>
      <c r="B735" s="10" t="s">
        <v>856</v>
      </c>
      <c r="C735">
        <v>29500668.7259464</v>
      </c>
    </row>
    <row r="736" spans="1:3" x14ac:dyDescent="0.25">
      <c r="A736" s="150">
        <v>731</v>
      </c>
      <c r="B736" s="10" t="s">
        <v>857</v>
      </c>
      <c r="C736">
        <v>5747605.6094608298</v>
      </c>
    </row>
    <row r="737" spans="1:3" x14ac:dyDescent="0.25">
      <c r="A737" s="150">
        <v>732</v>
      </c>
      <c r="B737" s="10" t="s">
        <v>858</v>
      </c>
      <c r="C737">
        <v>3835095.3416347499</v>
      </c>
    </row>
    <row r="738" spans="1:3" x14ac:dyDescent="0.25">
      <c r="A738" s="150">
        <v>733</v>
      </c>
      <c r="B738" s="10" t="s">
        <v>859</v>
      </c>
      <c r="C738">
        <v>177550.34537547801</v>
      </c>
    </row>
    <row r="739" spans="1:3" x14ac:dyDescent="0.25">
      <c r="A739" s="150">
        <v>734</v>
      </c>
      <c r="B739" s="10" t="s">
        <v>860</v>
      </c>
      <c r="C739">
        <v>0</v>
      </c>
    </row>
    <row r="740" spans="1:3" x14ac:dyDescent="0.25">
      <c r="A740" s="150">
        <v>735</v>
      </c>
      <c r="B740" s="10" t="s">
        <v>861</v>
      </c>
      <c r="C740">
        <v>72152.837349612295</v>
      </c>
    </row>
    <row r="741" spans="1:3" x14ac:dyDescent="0.25">
      <c r="A741" s="150">
        <v>736</v>
      </c>
      <c r="B741" s="10" t="s">
        <v>862</v>
      </c>
      <c r="C741">
        <v>0</v>
      </c>
    </row>
    <row r="742" spans="1:3" x14ac:dyDescent="0.25">
      <c r="A742" s="150">
        <v>737</v>
      </c>
      <c r="B742" s="10" t="s">
        <v>863</v>
      </c>
      <c r="C742">
        <v>26950.360757812399</v>
      </c>
    </row>
    <row r="743" spans="1:3" x14ac:dyDescent="0.25">
      <c r="A743" s="150">
        <v>738</v>
      </c>
      <c r="B743" s="10" t="s">
        <v>864</v>
      </c>
      <c r="C743">
        <v>45491.475175783002</v>
      </c>
    </row>
    <row r="744" spans="1:3" x14ac:dyDescent="0.25">
      <c r="A744" s="150">
        <v>739</v>
      </c>
      <c r="B744" s="10" t="s">
        <v>1295</v>
      </c>
      <c r="C744">
        <v>111620.954019532</v>
      </c>
    </row>
    <row r="745" spans="1:3" x14ac:dyDescent="0.25">
      <c r="A745" s="150">
        <v>740</v>
      </c>
      <c r="B745" s="10" t="s">
        <v>1296</v>
      </c>
      <c r="C745">
        <v>0</v>
      </c>
    </row>
    <row r="746" spans="1:3" x14ac:dyDescent="0.25">
      <c r="A746" s="150">
        <v>741</v>
      </c>
      <c r="B746" s="10" t="s">
        <v>1297</v>
      </c>
      <c r="C746">
        <v>75100.509413085907</v>
      </c>
    </row>
    <row r="747" spans="1:3" x14ac:dyDescent="0.25">
      <c r="A747" s="150">
        <v>742</v>
      </c>
      <c r="B747" s="10" t="s">
        <v>1298</v>
      </c>
      <c r="C747">
        <v>0</v>
      </c>
    </row>
    <row r="748" spans="1:3" x14ac:dyDescent="0.25">
      <c r="A748" s="150">
        <v>743</v>
      </c>
      <c r="B748" s="10" t="s">
        <v>1299</v>
      </c>
      <c r="C748">
        <v>38325.692660156601</v>
      </c>
    </row>
    <row r="749" spans="1:3" x14ac:dyDescent="0.25">
      <c r="A749" s="150">
        <v>744</v>
      </c>
      <c r="B749" s="10" t="s">
        <v>1300</v>
      </c>
      <c r="C749">
        <v>66442.153757814303</v>
      </c>
    </row>
    <row r="750" spans="1:3" x14ac:dyDescent="0.25">
      <c r="A750" s="150">
        <v>745</v>
      </c>
      <c r="B750" s="10" t="s">
        <v>1301</v>
      </c>
      <c r="C750">
        <v>0</v>
      </c>
    </row>
    <row r="751" spans="1:3" x14ac:dyDescent="0.25">
      <c r="A751" s="150">
        <v>746</v>
      </c>
      <c r="B751" s="10" t="s">
        <v>1302</v>
      </c>
      <c r="C751">
        <v>0</v>
      </c>
    </row>
    <row r="752" spans="1:3" x14ac:dyDescent="0.25">
      <c r="A752" s="150">
        <v>747</v>
      </c>
      <c r="B752" s="10" t="s">
        <v>1303</v>
      </c>
      <c r="C752">
        <v>191240.97488868199</v>
      </c>
    </row>
    <row r="753" spans="1:3" x14ac:dyDescent="0.25">
      <c r="A753" s="150">
        <v>748</v>
      </c>
      <c r="B753" s="10" t="s">
        <v>1304</v>
      </c>
      <c r="C753">
        <v>68454.602273436307</v>
      </c>
    </row>
    <row r="754" spans="1:3" x14ac:dyDescent="0.25">
      <c r="A754" s="150">
        <v>749</v>
      </c>
      <c r="B754" s="10" t="s">
        <v>1305</v>
      </c>
      <c r="C754">
        <v>822028.21085154999</v>
      </c>
    </row>
    <row r="755" spans="1:3" x14ac:dyDescent="0.25">
      <c r="A755" s="150">
        <v>750</v>
      </c>
      <c r="B755" s="10" t="s">
        <v>1306</v>
      </c>
      <c r="C755">
        <v>848931.62783205498</v>
      </c>
    </row>
    <row r="756" spans="1:3" x14ac:dyDescent="0.25">
      <c r="A756" s="150">
        <v>751</v>
      </c>
      <c r="B756" s="10" t="s">
        <v>1307</v>
      </c>
      <c r="C756">
        <v>16253326.4543676</v>
      </c>
    </row>
    <row r="757" spans="1:3" x14ac:dyDescent="0.25">
      <c r="A757" s="150">
        <v>752</v>
      </c>
      <c r="B757" s="10" t="s">
        <v>1308</v>
      </c>
      <c r="C757">
        <v>13953171.768716799</v>
      </c>
    </row>
    <row r="758" spans="1:3" x14ac:dyDescent="0.25">
      <c r="A758" s="150">
        <v>753</v>
      </c>
      <c r="B758" s="10" t="s">
        <v>1309</v>
      </c>
      <c r="C758">
        <v>61680289.240962997</v>
      </c>
    </row>
    <row r="759" spans="1:3" x14ac:dyDescent="0.25">
      <c r="A759" s="150">
        <v>754</v>
      </c>
      <c r="B759" s="10" t="s">
        <v>1310</v>
      </c>
      <c r="C759">
        <v>59295785.502075203</v>
      </c>
    </row>
    <row r="760" spans="1:3" x14ac:dyDescent="0.25">
      <c r="A760" s="150">
        <v>755</v>
      </c>
      <c r="B760" s="10" t="s">
        <v>1311</v>
      </c>
      <c r="C760">
        <v>142384997.99421701</v>
      </c>
    </row>
    <row r="761" spans="1:3" x14ac:dyDescent="0.25">
      <c r="A761" s="150">
        <v>756</v>
      </c>
      <c r="B761" s="10" t="s">
        <v>1312</v>
      </c>
      <c r="C761">
        <v>129935403.651428</v>
      </c>
    </row>
    <row r="762" spans="1:3" x14ac:dyDescent="0.25">
      <c r="A762" s="150">
        <v>757</v>
      </c>
      <c r="B762" s="10" t="s">
        <v>1313</v>
      </c>
      <c r="C762">
        <v>196889307.94729599</v>
      </c>
    </row>
    <row r="763" spans="1:3" x14ac:dyDescent="0.25">
      <c r="A763" s="150">
        <v>758</v>
      </c>
      <c r="B763" s="10" t="s">
        <v>1314</v>
      </c>
      <c r="C763">
        <v>178270760.35783401</v>
      </c>
    </row>
    <row r="764" spans="1:3" x14ac:dyDescent="0.25">
      <c r="A764" s="150">
        <v>759</v>
      </c>
      <c r="B764" s="10" t="s">
        <v>1315</v>
      </c>
      <c r="C764">
        <v>176155273.51875299</v>
      </c>
    </row>
    <row r="765" spans="1:3" x14ac:dyDescent="0.25">
      <c r="A765" s="150">
        <v>760</v>
      </c>
      <c r="B765" s="10" t="s">
        <v>1316</v>
      </c>
      <c r="C765">
        <v>171511929.85936001</v>
      </c>
    </row>
    <row r="766" spans="1:3" x14ac:dyDescent="0.25">
      <c r="A766" s="150">
        <v>761</v>
      </c>
      <c r="B766" s="10" t="s">
        <v>1317</v>
      </c>
      <c r="C766">
        <v>104651559.28771999</v>
      </c>
    </row>
    <row r="767" spans="1:3" x14ac:dyDescent="0.25">
      <c r="A767" s="150">
        <v>762</v>
      </c>
      <c r="B767" s="10" t="s">
        <v>1318</v>
      </c>
      <c r="C767">
        <v>102399017.805153</v>
      </c>
    </row>
    <row r="768" spans="1:3" x14ac:dyDescent="0.25">
      <c r="A768" s="150">
        <v>763</v>
      </c>
      <c r="B768" s="10" t="s">
        <v>1319</v>
      </c>
      <c r="C768">
        <v>39030040.1976128</v>
      </c>
    </row>
    <row r="769" spans="1:3" x14ac:dyDescent="0.25">
      <c r="A769" s="150">
        <v>764</v>
      </c>
      <c r="B769" s="10" t="s">
        <v>1320</v>
      </c>
      <c r="C769">
        <v>34830852.058723398</v>
      </c>
    </row>
    <row r="770" spans="1:3" x14ac:dyDescent="0.25">
      <c r="A770" s="150">
        <v>765</v>
      </c>
      <c r="B770" s="10" t="s">
        <v>1321</v>
      </c>
      <c r="C770">
        <v>7341042.1341075897</v>
      </c>
    </row>
    <row r="771" spans="1:3" x14ac:dyDescent="0.25">
      <c r="A771" s="150">
        <v>766</v>
      </c>
      <c r="B771" s="10" t="s">
        <v>1322</v>
      </c>
      <c r="C771">
        <v>7674369.1363821002</v>
      </c>
    </row>
    <row r="772" spans="1:3" x14ac:dyDescent="0.25">
      <c r="A772" s="150">
        <v>767</v>
      </c>
      <c r="B772" s="10" t="s">
        <v>1323</v>
      </c>
      <c r="C772">
        <v>218912.32994923001</v>
      </c>
    </row>
    <row r="773" spans="1:3" x14ac:dyDescent="0.25">
      <c r="A773" s="150">
        <v>768</v>
      </c>
      <c r="B773" s="10" t="s">
        <v>1324</v>
      </c>
      <c r="C773">
        <v>62523.8881552741</v>
      </c>
    </row>
    <row r="774" spans="1:3" x14ac:dyDescent="0.25">
      <c r="A774" s="150">
        <v>769</v>
      </c>
      <c r="B774" s="10" t="s">
        <v>865</v>
      </c>
      <c r="C774">
        <v>9190609.4633512497</v>
      </c>
    </row>
    <row r="775" spans="1:3" x14ac:dyDescent="0.25">
      <c r="A775" s="150">
        <v>770</v>
      </c>
      <c r="B775" s="10" t="s">
        <v>866</v>
      </c>
      <c r="C775">
        <v>4073178.2152070999</v>
      </c>
    </row>
    <row r="776" spans="1:3" x14ac:dyDescent="0.25">
      <c r="A776" s="150">
        <v>771</v>
      </c>
      <c r="B776" s="10" t="s">
        <v>867</v>
      </c>
      <c r="C776">
        <v>54219299.964164697</v>
      </c>
    </row>
    <row r="777" spans="1:3" x14ac:dyDescent="0.25">
      <c r="A777" s="150">
        <v>772</v>
      </c>
      <c r="B777" s="10" t="s">
        <v>868</v>
      </c>
      <c r="C777">
        <v>42589363.215465501</v>
      </c>
    </row>
    <row r="778" spans="1:3" x14ac:dyDescent="0.25">
      <c r="A778" s="150">
        <v>773</v>
      </c>
      <c r="B778" s="10" t="s">
        <v>869</v>
      </c>
      <c r="C778">
        <v>137327699.66229999</v>
      </c>
    </row>
    <row r="779" spans="1:3" x14ac:dyDescent="0.25">
      <c r="A779" s="150">
        <v>774</v>
      </c>
      <c r="B779" s="10" t="s">
        <v>870</v>
      </c>
      <c r="C779">
        <v>131292883.430687</v>
      </c>
    </row>
    <row r="780" spans="1:3" x14ac:dyDescent="0.25">
      <c r="A780" s="150">
        <v>775</v>
      </c>
      <c r="B780" s="10" t="s">
        <v>871</v>
      </c>
      <c r="C780">
        <v>222943717.11357099</v>
      </c>
    </row>
    <row r="781" spans="1:3" x14ac:dyDescent="0.25">
      <c r="A781" s="150">
        <v>776</v>
      </c>
      <c r="B781" s="10" t="s">
        <v>872</v>
      </c>
      <c r="C781">
        <v>201889622.884628</v>
      </c>
    </row>
    <row r="782" spans="1:3" x14ac:dyDescent="0.25">
      <c r="A782" s="150">
        <v>777</v>
      </c>
      <c r="B782" s="10" t="s">
        <v>873</v>
      </c>
      <c r="C782">
        <v>235081971.89280701</v>
      </c>
    </row>
    <row r="783" spans="1:3" x14ac:dyDescent="0.25">
      <c r="A783" s="150">
        <v>778</v>
      </c>
      <c r="B783" s="10" t="s">
        <v>874</v>
      </c>
      <c r="C783">
        <v>184956059.35571301</v>
      </c>
    </row>
    <row r="784" spans="1:3" x14ac:dyDescent="0.25">
      <c r="A784" s="150">
        <v>779</v>
      </c>
      <c r="B784" s="10" t="s">
        <v>875</v>
      </c>
      <c r="C784">
        <v>161804522.808891</v>
      </c>
    </row>
    <row r="785" spans="1:3" x14ac:dyDescent="0.25">
      <c r="A785" s="150">
        <v>780</v>
      </c>
      <c r="B785" s="10" t="s">
        <v>876</v>
      </c>
      <c r="C785">
        <v>135002432.361702</v>
      </c>
    </row>
    <row r="786" spans="1:3" x14ac:dyDescent="0.25">
      <c r="A786" s="150">
        <v>781</v>
      </c>
      <c r="B786" s="10" t="s">
        <v>877</v>
      </c>
      <c r="C786">
        <v>76861213.486789703</v>
      </c>
    </row>
    <row r="787" spans="1:3" x14ac:dyDescent="0.25">
      <c r="A787" s="150">
        <v>782</v>
      </c>
      <c r="B787" s="10" t="s">
        <v>878</v>
      </c>
      <c r="C787">
        <v>73024172.302925095</v>
      </c>
    </row>
    <row r="788" spans="1:3" x14ac:dyDescent="0.25">
      <c r="A788" s="150">
        <v>783</v>
      </c>
      <c r="B788" s="10" t="s">
        <v>879</v>
      </c>
      <c r="C788">
        <v>27702236.399494201</v>
      </c>
    </row>
    <row r="789" spans="1:3" x14ac:dyDescent="0.25">
      <c r="A789" s="150">
        <v>784</v>
      </c>
      <c r="B789" s="10" t="s">
        <v>880</v>
      </c>
      <c r="C789">
        <v>26344181.094055202</v>
      </c>
    </row>
    <row r="790" spans="1:3" x14ac:dyDescent="0.25">
      <c r="A790" s="150">
        <v>785</v>
      </c>
      <c r="B790" s="10" t="s">
        <v>881</v>
      </c>
      <c r="C790">
        <v>6585622.2395076798</v>
      </c>
    </row>
    <row r="791" spans="1:3" x14ac:dyDescent="0.25">
      <c r="A791" s="150">
        <v>786</v>
      </c>
      <c r="B791" s="10" t="s">
        <v>882</v>
      </c>
      <c r="C791">
        <v>4927262.9166016597</v>
      </c>
    </row>
    <row r="792" spans="1:3" x14ac:dyDescent="0.25">
      <c r="A792" s="150">
        <v>787</v>
      </c>
      <c r="B792" s="10" t="s">
        <v>883</v>
      </c>
      <c r="C792">
        <v>424187.123480201</v>
      </c>
    </row>
    <row r="793" spans="1:3" x14ac:dyDescent="0.25">
      <c r="A793" s="150">
        <v>788</v>
      </c>
      <c r="B793" s="10" t="s">
        <v>884</v>
      </c>
      <c r="C793">
        <v>280471.18378517003</v>
      </c>
    </row>
    <row r="794" spans="1:3" x14ac:dyDescent="0.25">
      <c r="A794" s="150">
        <v>789</v>
      </c>
      <c r="B794" s="10" t="s">
        <v>885</v>
      </c>
      <c r="C794">
        <v>0</v>
      </c>
    </row>
    <row r="795" spans="1:3" x14ac:dyDescent="0.25">
      <c r="A795" s="150">
        <v>790</v>
      </c>
      <c r="B795" s="10" t="s">
        <v>886</v>
      </c>
      <c r="C795">
        <v>0</v>
      </c>
    </row>
    <row r="796" spans="1:3" x14ac:dyDescent="0.25">
      <c r="A796" s="150">
        <v>791</v>
      </c>
      <c r="B796" s="10" t="s">
        <v>887</v>
      </c>
      <c r="C796">
        <v>12169.938953613901</v>
      </c>
    </row>
    <row r="797" spans="1:3" x14ac:dyDescent="0.25">
      <c r="A797" s="150">
        <v>792</v>
      </c>
      <c r="B797" s="10" t="s">
        <v>888</v>
      </c>
      <c r="C797">
        <v>16469.867792235698</v>
      </c>
    </row>
    <row r="798" spans="1:3" x14ac:dyDescent="0.25">
      <c r="A798" s="150">
        <v>793</v>
      </c>
      <c r="B798" s="10" t="s">
        <v>1325</v>
      </c>
      <c r="C798">
        <v>4558.8317563477904</v>
      </c>
    </row>
    <row r="799" spans="1:3" x14ac:dyDescent="0.25">
      <c r="A799" s="150">
        <v>794</v>
      </c>
      <c r="B799" s="10" t="s">
        <v>1326</v>
      </c>
      <c r="C799">
        <v>0</v>
      </c>
    </row>
    <row r="800" spans="1:3" x14ac:dyDescent="0.25">
      <c r="A800" s="150">
        <v>795</v>
      </c>
      <c r="B800" s="10" t="s">
        <v>1327</v>
      </c>
      <c r="C800">
        <v>0</v>
      </c>
    </row>
    <row r="801" spans="1:3" x14ac:dyDescent="0.25">
      <c r="A801" s="150">
        <v>796</v>
      </c>
      <c r="B801" s="10" t="s">
        <v>1328</v>
      </c>
      <c r="C801">
        <v>0</v>
      </c>
    </row>
    <row r="802" spans="1:3" x14ac:dyDescent="0.25">
      <c r="A802" s="150">
        <v>797</v>
      </c>
      <c r="B802" s="10" t="s">
        <v>1329</v>
      </c>
      <c r="C802">
        <v>0</v>
      </c>
    </row>
    <row r="803" spans="1:3" x14ac:dyDescent="0.25">
      <c r="A803" s="150">
        <v>798</v>
      </c>
      <c r="B803" s="10" t="s">
        <v>1330</v>
      </c>
      <c r="C803">
        <v>0</v>
      </c>
    </row>
    <row r="804" spans="1:3" x14ac:dyDescent="0.25">
      <c r="A804" s="150">
        <v>799</v>
      </c>
      <c r="B804" s="10" t="s">
        <v>1331</v>
      </c>
      <c r="C804">
        <v>0</v>
      </c>
    </row>
    <row r="805" spans="1:3" x14ac:dyDescent="0.25">
      <c r="A805" s="150">
        <v>800</v>
      </c>
      <c r="B805" s="10" t="s">
        <v>1332</v>
      </c>
      <c r="C805">
        <v>7958.5266430657402</v>
      </c>
    </row>
    <row r="806" spans="1:3" x14ac:dyDescent="0.25">
      <c r="A806" s="150">
        <v>801</v>
      </c>
      <c r="B806" s="10" t="s">
        <v>1333</v>
      </c>
      <c r="C806">
        <v>0</v>
      </c>
    </row>
    <row r="807" spans="1:3" x14ac:dyDescent="0.25">
      <c r="A807" s="150">
        <v>802</v>
      </c>
      <c r="B807" s="10" t="s">
        <v>1334</v>
      </c>
      <c r="C807">
        <v>0</v>
      </c>
    </row>
    <row r="808" spans="1:3" x14ac:dyDescent="0.25">
      <c r="A808" s="150">
        <v>803</v>
      </c>
      <c r="B808" s="10" t="s">
        <v>1335</v>
      </c>
      <c r="C808">
        <v>0</v>
      </c>
    </row>
    <row r="809" spans="1:3" x14ac:dyDescent="0.25">
      <c r="A809" s="150">
        <v>804</v>
      </c>
      <c r="B809" s="10" t="s">
        <v>1336</v>
      </c>
      <c r="C809">
        <v>4087.15255566407</v>
      </c>
    </row>
    <row r="810" spans="1:3" x14ac:dyDescent="0.25">
      <c r="A810" s="150">
        <v>805</v>
      </c>
      <c r="B810" s="10" t="s">
        <v>1337</v>
      </c>
      <c r="C810">
        <v>1481595.7596288901</v>
      </c>
    </row>
    <row r="811" spans="1:3" x14ac:dyDescent="0.25">
      <c r="A811" s="150">
        <v>806</v>
      </c>
      <c r="B811" s="10" t="s">
        <v>1338</v>
      </c>
      <c r="C811">
        <v>356683.78849217301</v>
      </c>
    </row>
    <row r="812" spans="1:3" x14ac:dyDescent="0.25">
      <c r="A812" s="150">
        <v>807</v>
      </c>
      <c r="B812" s="10" t="s">
        <v>1339</v>
      </c>
      <c r="C812">
        <v>17597397.045972802</v>
      </c>
    </row>
    <row r="813" spans="1:3" x14ac:dyDescent="0.25">
      <c r="A813" s="150">
        <v>808</v>
      </c>
      <c r="B813" s="10" t="s">
        <v>1340</v>
      </c>
      <c r="C813">
        <v>17450612.835023899</v>
      </c>
    </row>
    <row r="814" spans="1:3" x14ac:dyDescent="0.25">
      <c r="A814" s="150">
        <v>809</v>
      </c>
      <c r="B814" s="10" t="s">
        <v>1341</v>
      </c>
      <c r="C814">
        <v>64183190.037761703</v>
      </c>
    </row>
    <row r="815" spans="1:3" x14ac:dyDescent="0.25">
      <c r="A815" s="150">
        <v>810</v>
      </c>
      <c r="B815" s="10" t="s">
        <v>1342</v>
      </c>
      <c r="C815">
        <v>56735787.774459802</v>
      </c>
    </row>
    <row r="816" spans="1:3" x14ac:dyDescent="0.25">
      <c r="A816" s="150">
        <v>811</v>
      </c>
      <c r="B816" s="10" t="s">
        <v>1343</v>
      </c>
      <c r="C816">
        <v>126621294.955971</v>
      </c>
    </row>
    <row r="817" spans="1:3" x14ac:dyDescent="0.25">
      <c r="A817" s="150">
        <v>812</v>
      </c>
      <c r="B817" s="10" t="s">
        <v>1344</v>
      </c>
      <c r="C817">
        <v>115369497.66946401</v>
      </c>
    </row>
    <row r="818" spans="1:3" x14ac:dyDescent="0.25">
      <c r="A818" s="150">
        <v>813</v>
      </c>
      <c r="B818" s="10" t="s">
        <v>1345</v>
      </c>
      <c r="C818">
        <v>160377093.15457201</v>
      </c>
    </row>
    <row r="819" spans="1:3" x14ac:dyDescent="0.25">
      <c r="A819" s="150">
        <v>814</v>
      </c>
      <c r="B819" s="10" t="s">
        <v>1346</v>
      </c>
      <c r="C819">
        <v>152883819.482788</v>
      </c>
    </row>
    <row r="820" spans="1:3" x14ac:dyDescent="0.25">
      <c r="A820" s="150">
        <v>815</v>
      </c>
      <c r="B820" s="10" t="s">
        <v>1347</v>
      </c>
      <c r="C820">
        <v>133325588.100372</v>
      </c>
    </row>
    <row r="821" spans="1:3" x14ac:dyDescent="0.25">
      <c r="A821" s="150">
        <v>816</v>
      </c>
      <c r="B821" s="10" t="s">
        <v>1348</v>
      </c>
      <c r="C821">
        <v>133416681.23101801</v>
      </c>
    </row>
    <row r="822" spans="1:3" x14ac:dyDescent="0.25">
      <c r="A822" s="150">
        <v>817</v>
      </c>
      <c r="B822" s="10" t="s">
        <v>1349</v>
      </c>
      <c r="C822">
        <v>77660860.470130906</v>
      </c>
    </row>
    <row r="823" spans="1:3" x14ac:dyDescent="0.25">
      <c r="A823" s="150">
        <v>818</v>
      </c>
      <c r="B823" s="10" t="s">
        <v>1350</v>
      </c>
      <c r="C823">
        <v>70726710.719444305</v>
      </c>
    </row>
    <row r="824" spans="1:3" x14ac:dyDescent="0.25">
      <c r="A824" s="150">
        <v>819</v>
      </c>
      <c r="B824" s="10" t="s">
        <v>1351</v>
      </c>
      <c r="C824">
        <v>26698349.534122501</v>
      </c>
    </row>
    <row r="825" spans="1:3" x14ac:dyDescent="0.25">
      <c r="A825" s="150">
        <v>820</v>
      </c>
      <c r="B825" s="10" t="s">
        <v>1352</v>
      </c>
      <c r="C825">
        <v>24684737.2608185</v>
      </c>
    </row>
    <row r="826" spans="1:3" x14ac:dyDescent="0.25">
      <c r="A826" s="150">
        <v>821</v>
      </c>
      <c r="B826" s="10" t="s">
        <v>1353</v>
      </c>
      <c r="C826">
        <v>4172137.96447659</v>
      </c>
    </row>
    <row r="827" spans="1:3" x14ac:dyDescent="0.25">
      <c r="A827" s="150">
        <v>822</v>
      </c>
      <c r="B827" s="10" t="s">
        <v>1354</v>
      </c>
      <c r="C827">
        <v>4172777.4896697998</v>
      </c>
    </row>
    <row r="828" spans="1:3" x14ac:dyDescent="0.25">
      <c r="A828" s="150">
        <v>823</v>
      </c>
      <c r="B828" s="10" t="s">
        <v>889</v>
      </c>
      <c r="C828">
        <v>7805468.3246302595</v>
      </c>
    </row>
    <row r="829" spans="1:3" x14ac:dyDescent="0.25">
      <c r="A829" s="150">
        <v>824</v>
      </c>
      <c r="B829" s="10" t="s">
        <v>890</v>
      </c>
      <c r="C829">
        <v>2631954.23947859</v>
      </c>
    </row>
    <row r="830" spans="1:3" x14ac:dyDescent="0.25">
      <c r="A830" s="150">
        <v>825</v>
      </c>
      <c r="B830" s="10" t="s">
        <v>891</v>
      </c>
      <c r="C830">
        <v>39124551.300632499</v>
      </c>
    </row>
    <row r="831" spans="1:3" x14ac:dyDescent="0.25">
      <c r="A831" s="150">
        <v>826</v>
      </c>
      <c r="B831" s="10" t="s">
        <v>892</v>
      </c>
      <c r="C831">
        <v>30566149.191877399</v>
      </c>
    </row>
    <row r="832" spans="1:3" x14ac:dyDescent="0.25">
      <c r="A832" s="150">
        <v>827</v>
      </c>
      <c r="B832" s="10" t="s">
        <v>893</v>
      </c>
      <c r="C832">
        <v>94970937.138740495</v>
      </c>
    </row>
    <row r="833" spans="1:3" x14ac:dyDescent="0.25">
      <c r="A833" s="150">
        <v>828</v>
      </c>
      <c r="B833" s="10" t="s">
        <v>894</v>
      </c>
      <c r="C833">
        <v>89676981.344375595</v>
      </c>
    </row>
    <row r="834" spans="1:3" x14ac:dyDescent="0.25">
      <c r="A834" s="150">
        <v>829</v>
      </c>
      <c r="B834" s="10" t="s">
        <v>895</v>
      </c>
      <c r="C834">
        <v>151586880.39114401</v>
      </c>
    </row>
    <row r="835" spans="1:3" x14ac:dyDescent="0.25">
      <c r="A835" s="150">
        <v>830</v>
      </c>
      <c r="B835" s="10" t="s">
        <v>896</v>
      </c>
      <c r="C835">
        <v>137903123.19255099</v>
      </c>
    </row>
    <row r="836" spans="1:3" x14ac:dyDescent="0.25">
      <c r="A836" s="150">
        <v>831</v>
      </c>
      <c r="B836" s="10" t="s">
        <v>897</v>
      </c>
      <c r="C836">
        <v>164837752.56575799</v>
      </c>
    </row>
    <row r="837" spans="1:3" x14ac:dyDescent="0.25">
      <c r="A837" s="150">
        <v>832</v>
      </c>
      <c r="B837" s="10" t="s">
        <v>898</v>
      </c>
      <c r="C837">
        <v>131373304.127373</v>
      </c>
    </row>
    <row r="838" spans="1:3" x14ac:dyDescent="0.25">
      <c r="A838" s="150">
        <v>833</v>
      </c>
      <c r="B838" s="10" t="s">
        <v>899</v>
      </c>
      <c r="C838">
        <v>125520855.73201799</v>
      </c>
    </row>
    <row r="839" spans="1:3" x14ac:dyDescent="0.25">
      <c r="A839" s="150">
        <v>834</v>
      </c>
      <c r="B839" s="10" t="s">
        <v>900</v>
      </c>
      <c r="C839">
        <v>104129852.97328199</v>
      </c>
    </row>
    <row r="840" spans="1:3" x14ac:dyDescent="0.25">
      <c r="A840" s="150">
        <v>835</v>
      </c>
      <c r="B840" s="10" t="s">
        <v>901</v>
      </c>
      <c r="C840">
        <v>64776790.580062903</v>
      </c>
    </row>
    <row r="841" spans="1:3" x14ac:dyDescent="0.25">
      <c r="A841" s="150">
        <v>836</v>
      </c>
      <c r="B841" s="10" t="s">
        <v>902</v>
      </c>
      <c r="C841">
        <v>60003228.444087997</v>
      </c>
    </row>
    <row r="842" spans="1:3" x14ac:dyDescent="0.25">
      <c r="A842" s="150">
        <v>837</v>
      </c>
      <c r="B842" s="10" t="s">
        <v>903</v>
      </c>
      <c r="C842">
        <v>24247066.5513248</v>
      </c>
    </row>
    <row r="843" spans="1:3" x14ac:dyDescent="0.25">
      <c r="A843" s="150">
        <v>838</v>
      </c>
      <c r="B843" s="10" t="s">
        <v>904</v>
      </c>
      <c r="C843">
        <v>22806393.994310401</v>
      </c>
    </row>
    <row r="844" spans="1:3" x14ac:dyDescent="0.25">
      <c r="A844" s="150">
        <v>839</v>
      </c>
      <c r="B844" s="10" t="s">
        <v>905</v>
      </c>
      <c r="C844">
        <v>5652348.0372223901</v>
      </c>
    </row>
    <row r="845" spans="1:3" x14ac:dyDescent="0.25">
      <c r="A845" s="150">
        <v>840</v>
      </c>
      <c r="B845" s="10" t="s">
        <v>906</v>
      </c>
      <c r="C845">
        <v>4748483.5183711099</v>
      </c>
    </row>
    <row r="846" spans="1:3" x14ac:dyDescent="0.25">
      <c r="A846" s="150">
        <v>841</v>
      </c>
      <c r="B846" s="10" t="s">
        <v>907</v>
      </c>
      <c r="C846">
        <v>105595.33028905799</v>
      </c>
    </row>
    <row r="847" spans="1:3" x14ac:dyDescent="0.25">
      <c r="A847" s="150">
        <v>842</v>
      </c>
      <c r="B847" s="10" t="s">
        <v>908</v>
      </c>
      <c r="C847">
        <v>266120.801816419</v>
      </c>
    </row>
    <row r="848" spans="1:3" x14ac:dyDescent="0.25">
      <c r="A848" s="150">
        <v>843</v>
      </c>
      <c r="B848" s="10" t="s">
        <v>909</v>
      </c>
      <c r="C848">
        <v>0</v>
      </c>
    </row>
    <row r="849" spans="1:3" x14ac:dyDescent="0.25">
      <c r="A849" s="150">
        <v>844</v>
      </c>
      <c r="B849" s="10" t="s">
        <v>910</v>
      </c>
      <c r="C849">
        <v>0</v>
      </c>
    </row>
    <row r="850" spans="1:3" x14ac:dyDescent="0.25">
      <c r="A850" s="150">
        <v>845</v>
      </c>
      <c r="B850" s="10" t="s">
        <v>1355</v>
      </c>
      <c r="C850">
        <v>48276.621960937999</v>
      </c>
    </row>
    <row r="851" spans="1:3" x14ac:dyDescent="0.25">
      <c r="A851" s="150">
        <v>846</v>
      </c>
      <c r="B851" s="10" t="s">
        <v>1356</v>
      </c>
      <c r="C851">
        <v>0</v>
      </c>
    </row>
    <row r="852" spans="1:3" x14ac:dyDescent="0.25">
      <c r="A852" s="150">
        <v>847</v>
      </c>
      <c r="B852" s="10" t="s">
        <v>1357</v>
      </c>
      <c r="C852">
        <v>42061.090101562397</v>
      </c>
    </row>
    <row r="853" spans="1:3" x14ac:dyDescent="0.25">
      <c r="A853" s="150">
        <v>848</v>
      </c>
      <c r="B853" s="10" t="s">
        <v>1358</v>
      </c>
      <c r="C853">
        <v>0</v>
      </c>
    </row>
    <row r="854" spans="1:3" x14ac:dyDescent="0.25">
      <c r="A854" s="150">
        <v>849</v>
      </c>
      <c r="B854" s="10" t="s">
        <v>1359</v>
      </c>
      <c r="C854">
        <v>0</v>
      </c>
    </row>
    <row r="855" spans="1:3" x14ac:dyDescent="0.25">
      <c r="A855" s="150">
        <v>850</v>
      </c>
      <c r="B855" s="10" t="s">
        <v>1360</v>
      </c>
      <c r="C855">
        <v>3265.1334038088098</v>
      </c>
    </row>
    <row r="856" spans="1:3" x14ac:dyDescent="0.25">
      <c r="A856" s="150">
        <v>851</v>
      </c>
      <c r="B856" s="10" t="s">
        <v>1361</v>
      </c>
      <c r="C856">
        <v>44219.824148435102</v>
      </c>
    </row>
    <row r="857" spans="1:3" x14ac:dyDescent="0.25">
      <c r="A857" s="150">
        <v>852</v>
      </c>
      <c r="B857" s="10" t="s">
        <v>1362</v>
      </c>
      <c r="C857">
        <v>43330.221785154201</v>
      </c>
    </row>
    <row r="858" spans="1:3" x14ac:dyDescent="0.25">
      <c r="A858" s="150">
        <v>853</v>
      </c>
      <c r="B858" s="10" t="s">
        <v>1363</v>
      </c>
      <c r="C858">
        <v>13975.2386018056</v>
      </c>
    </row>
    <row r="859" spans="1:3" x14ac:dyDescent="0.25">
      <c r="A859" s="150">
        <v>854</v>
      </c>
      <c r="B859" s="10" t="s">
        <v>1364</v>
      </c>
      <c r="C859">
        <v>0</v>
      </c>
    </row>
    <row r="860" spans="1:3" x14ac:dyDescent="0.25">
      <c r="A860" s="150">
        <v>855</v>
      </c>
      <c r="B860" s="10" t="s">
        <v>1365</v>
      </c>
      <c r="C860">
        <v>0</v>
      </c>
    </row>
    <row r="861" spans="1:3" x14ac:dyDescent="0.25">
      <c r="A861" s="150">
        <v>856</v>
      </c>
      <c r="B861" s="10" t="s">
        <v>1366</v>
      </c>
      <c r="C861">
        <v>0</v>
      </c>
    </row>
    <row r="862" spans="1:3" x14ac:dyDescent="0.25">
      <c r="A862" s="150">
        <v>857</v>
      </c>
      <c r="B862" s="10" t="s">
        <v>1367</v>
      </c>
      <c r="C862">
        <v>0</v>
      </c>
    </row>
    <row r="863" spans="1:3" x14ac:dyDescent="0.25">
      <c r="A863" s="150">
        <v>858</v>
      </c>
      <c r="B863" s="10" t="s">
        <v>1368</v>
      </c>
      <c r="C863">
        <v>4047.6991882324201</v>
      </c>
    </row>
    <row r="864" spans="1:3" x14ac:dyDescent="0.25">
      <c r="A864" s="150">
        <v>859</v>
      </c>
      <c r="B864" s="10" t="s">
        <v>1369</v>
      </c>
      <c r="C864">
        <v>0</v>
      </c>
    </row>
    <row r="865" spans="1:3" x14ac:dyDescent="0.25">
      <c r="A865" s="150">
        <v>860</v>
      </c>
      <c r="B865" s="10" t="s">
        <v>1370</v>
      </c>
      <c r="C865">
        <v>0</v>
      </c>
    </row>
    <row r="866" spans="1:3" x14ac:dyDescent="0.25">
      <c r="A866" s="150">
        <v>861</v>
      </c>
      <c r="B866" s="10" t="s">
        <v>1371</v>
      </c>
      <c r="C866">
        <v>1406399.5723749399</v>
      </c>
    </row>
    <row r="867" spans="1:3" x14ac:dyDescent="0.25">
      <c r="A867" s="150">
        <v>862</v>
      </c>
      <c r="B867" s="10" t="s">
        <v>1372</v>
      </c>
      <c r="C867">
        <v>1462153.80317581</v>
      </c>
    </row>
    <row r="868" spans="1:3" x14ac:dyDescent="0.25">
      <c r="A868" s="150">
        <v>863</v>
      </c>
      <c r="B868" s="10" t="s">
        <v>1373</v>
      </c>
      <c r="C868">
        <v>16327827.804778101</v>
      </c>
    </row>
    <row r="869" spans="1:3" x14ac:dyDescent="0.25">
      <c r="A869" s="150">
        <v>864</v>
      </c>
      <c r="B869" s="10" t="s">
        <v>1374</v>
      </c>
      <c r="C869">
        <v>14415122.133871101</v>
      </c>
    </row>
    <row r="870" spans="1:3" x14ac:dyDescent="0.25">
      <c r="A870" s="150">
        <v>865</v>
      </c>
      <c r="B870" s="10" t="s">
        <v>1375</v>
      </c>
      <c r="C870">
        <v>48925951.2811165</v>
      </c>
    </row>
    <row r="871" spans="1:3" x14ac:dyDescent="0.25">
      <c r="A871" s="150">
        <v>866</v>
      </c>
      <c r="B871" s="10" t="s">
        <v>1376</v>
      </c>
      <c r="C871">
        <v>43572927.8751221</v>
      </c>
    </row>
    <row r="872" spans="1:3" x14ac:dyDescent="0.25">
      <c r="A872" s="150">
        <v>867</v>
      </c>
      <c r="B872" s="10" t="s">
        <v>1377</v>
      </c>
      <c r="C872">
        <v>87710297.754829407</v>
      </c>
    </row>
    <row r="873" spans="1:3" x14ac:dyDescent="0.25">
      <c r="A873" s="150">
        <v>868</v>
      </c>
      <c r="B873" s="10" t="s">
        <v>1378</v>
      </c>
      <c r="C873">
        <v>86823737.517158493</v>
      </c>
    </row>
    <row r="874" spans="1:3" x14ac:dyDescent="0.25">
      <c r="A874" s="150">
        <v>869</v>
      </c>
      <c r="B874" s="10" t="s">
        <v>1379</v>
      </c>
      <c r="C874">
        <v>105148859.96278401</v>
      </c>
    </row>
    <row r="875" spans="1:3" x14ac:dyDescent="0.25">
      <c r="A875" s="150">
        <v>870</v>
      </c>
      <c r="B875" s="10" t="s">
        <v>1380</v>
      </c>
      <c r="C875">
        <v>106996825.569672</v>
      </c>
    </row>
    <row r="876" spans="1:3" x14ac:dyDescent="0.25">
      <c r="A876" s="150">
        <v>871</v>
      </c>
      <c r="B876" s="10" t="s">
        <v>1381</v>
      </c>
      <c r="C876">
        <v>87881935.377090499</v>
      </c>
    </row>
    <row r="877" spans="1:3" x14ac:dyDescent="0.25">
      <c r="A877" s="150">
        <v>872</v>
      </c>
      <c r="B877" s="10" t="s">
        <v>1382</v>
      </c>
      <c r="C877">
        <v>82521552.810592696</v>
      </c>
    </row>
    <row r="878" spans="1:3" x14ac:dyDescent="0.25">
      <c r="A878" s="150">
        <v>873</v>
      </c>
      <c r="B878" s="10" t="s">
        <v>1383</v>
      </c>
      <c r="C878">
        <v>46740569.560642198</v>
      </c>
    </row>
    <row r="879" spans="1:3" x14ac:dyDescent="0.25">
      <c r="A879" s="150">
        <v>874</v>
      </c>
      <c r="B879" s="10" t="s">
        <v>1384</v>
      </c>
      <c r="C879">
        <v>42782746.426086403</v>
      </c>
    </row>
    <row r="880" spans="1:3" x14ac:dyDescent="0.25">
      <c r="A880" s="150">
        <v>875</v>
      </c>
      <c r="B880" s="10" t="s">
        <v>1385</v>
      </c>
      <c r="C880">
        <v>0</v>
      </c>
    </row>
    <row r="881" spans="1:3" x14ac:dyDescent="0.25">
      <c r="A881" s="150">
        <v>876</v>
      </c>
      <c r="B881" s="10" t="s">
        <v>1386</v>
      </c>
      <c r="C881">
        <v>0</v>
      </c>
    </row>
    <row r="882" spans="1:3" x14ac:dyDescent="0.25">
      <c r="A882" s="150">
        <v>877</v>
      </c>
      <c r="B882" s="10" t="s">
        <v>911</v>
      </c>
      <c r="C882">
        <v>5993552.5722436896</v>
      </c>
    </row>
    <row r="883" spans="1:3" x14ac:dyDescent="0.25">
      <c r="A883" s="150">
        <v>878</v>
      </c>
      <c r="B883" s="10" t="s">
        <v>912</v>
      </c>
      <c r="C883">
        <v>1930040.19664657</v>
      </c>
    </row>
    <row r="884" spans="1:3" x14ac:dyDescent="0.25">
      <c r="A884" s="150">
        <v>879</v>
      </c>
      <c r="B884" s="10" t="s">
        <v>913</v>
      </c>
      <c r="C884">
        <v>27941351.148824699</v>
      </c>
    </row>
    <row r="885" spans="1:3" x14ac:dyDescent="0.25">
      <c r="A885" s="150">
        <v>880</v>
      </c>
      <c r="B885" s="10" t="s">
        <v>914</v>
      </c>
      <c r="C885">
        <v>21070370.821813598</v>
      </c>
    </row>
    <row r="886" spans="1:3" x14ac:dyDescent="0.25">
      <c r="A886" s="150">
        <v>881</v>
      </c>
      <c r="B886" s="10" t="s">
        <v>915</v>
      </c>
      <c r="C886">
        <v>60579502.879337303</v>
      </c>
    </row>
    <row r="887" spans="1:3" x14ac:dyDescent="0.25">
      <c r="A887" s="150">
        <v>882</v>
      </c>
      <c r="B887" s="10" t="s">
        <v>916</v>
      </c>
      <c r="C887">
        <v>57884097.3802834</v>
      </c>
    </row>
    <row r="888" spans="1:3" x14ac:dyDescent="0.25">
      <c r="A888" s="150">
        <v>883</v>
      </c>
      <c r="B888" s="10" t="s">
        <v>917</v>
      </c>
      <c r="C888">
        <v>93353666.386283904</v>
      </c>
    </row>
    <row r="889" spans="1:3" x14ac:dyDescent="0.25">
      <c r="A889" s="150">
        <v>884</v>
      </c>
      <c r="B889" s="10" t="s">
        <v>918</v>
      </c>
      <c r="C889">
        <v>87093252.355125397</v>
      </c>
    </row>
    <row r="890" spans="1:3" x14ac:dyDescent="0.25">
      <c r="A890" s="150">
        <v>885</v>
      </c>
      <c r="B890" s="10" t="s">
        <v>919</v>
      </c>
      <c r="C890">
        <v>107870387.57273901</v>
      </c>
    </row>
    <row r="891" spans="1:3" x14ac:dyDescent="0.25">
      <c r="A891" s="150">
        <v>886</v>
      </c>
      <c r="B891" s="10" t="s">
        <v>920</v>
      </c>
      <c r="C891">
        <v>84155580.361396804</v>
      </c>
    </row>
    <row r="892" spans="1:3" x14ac:dyDescent="0.25">
      <c r="A892" s="150">
        <v>887</v>
      </c>
      <c r="B892" s="10" t="s">
        <v>921</v>
      </c>
      <c r="C892">
        <v>84201507.918678299</v>
      </c>
    </row>
    <row r="893" spans="1:3" x14ac:dyDescent="0.25">
      <c r="A893" s="150">
        <v>888</v>
      </c>
      <c r="B893" s="10" t="s">
        <v>922</v>
      </c>
      <c r="C893">
        <v>70210306.158119202</v>
      </c>
    </row>
    <row r="894" spans="1:3" x14ac:dyDescent="0.25">
      <c r="A894" s="150">
        <v>889</v>
      </c>
      <c r="B894" s="10" t="s">
        <v>923</v>
      </c>
      <c r="C894">
        <v>46621862.982235</v>
      </c>
    </row>
    <row r="895" spans="1:3" x14ac:dyDescent="0.25">
      <c r="A895" s="150">
        <v>890</v>
      </c>
      <c r="B895" s="10" t="s">
        <v>924</v>
      </c>
      <c r="C895">
        <v>45913122.401973702</v>
      </c>
    </row>
    <row r="896" spans="1:3" x14ac:dyDescent="0.25">
      <c r="A896" s="150">
        <v>891</v>
      </c>
      <c r="B896" s="10" t="s">
        <v>925</v>
      </c>
      <c r="C896">
        <v>18600374.8913984</v>
      </c>
    </row>
    <row r="897" spans="1:3" x14ac:dyDescent="0.25">
      <c r="A897" s="150">
        <v>892</v>
      </c>
      <c r="B897" s="10" t="s">
        <v>926</v>
      </c>
      <c r="C897">
        <v>17576419.947792999</v>
      </c>
    </row>
    <row r="898" spans="1:3" x14ac:dyDescent="0.25">
      <c r="A898" s="150">
        <v>893</v>
      </c>
      <c r="B898" s="10" t="s">
        <v>927</v>
      </c>
      <c r="C898">
        <v>4412690.9807734499</v>
      </c>
    </row>
    <row r="899" spans="1:3" x14ac:dyDescent="0.25">
      <c r="A899" s="150">
        <v>894</v>
      </c>
      <c r="B899" s="10" t="s">
        <v>928</v>
      </c>
      <c r="C899">
        <v>3798253.41116786</v>
      </c>
    </row>
    <row r="900" spans="1:3" x14ac:dyDescent="0.25">
      <c r="A900" s="150">
        <v>895</v>
      </c>
      <c r="B900" s="10" t="s">
        <v>929</v>
      </c>
      <c r="C900">
        <v>268837.69001659798</v>
      </c>
    </row>
    <row r="901" spans="1:3" x14ac:dyDescent="0.25">
      <c r="A901" s="150">
        <v>896</v>
      </c>
      <c r="B901" s="10" t="s">
        <v>930</v>
      </c>
      <c r="C901">
        <v>96539.428429689302</v>
      </c>
    </row>
    <row r="902" spans="1:3" x14ac:dyDescent="0.25">
      <c r="A902" s="150">
        <v>897</v>
      </c>
      <c r="B902" s="10" t="s">
        <v>931</v>
      </c>
      <c r="C902">
        <v>67434.684320311993</v>
      </c>
    </row>
    <row r="903" spans="1:3" x14ac:dyDescent="0.25">
      <c r="A903" s="150">
        <v>898</v>
      </c>
      <c r="B903" s="10" t="s">
        <v>932</v>
      </c>
      <c r="C903">
        <v>0</v>
      </c>
    </row>
    <row r="904" spans="1:3" x14ac:dyDescent="0.25">
      <c r="A904" s="150">
        <v>899</v>
      </c>
      <c r="B904" s="10" t="s">
        <v>1387</v>
      </c>
      <c r="C904">
        <v>81739.641726562797</v>
      </c>
    </row>
    <row r="905" spans="1:3" x14ac:dyDescent="0.25">
      <c r="A905" s="150">
        <v>900</v>
      </c>
      <c r="B905" s="10" t="s">
        <v>1388</v>
      </c>
      <c r="C905">
        <v>0</v>
      </c>
    </row>
    <row r="906" spans="1:3" x14ac:dyDescent="0.25">
      <c r="A906" s="150">
        <v>901</v>
      </c>
      <c r="B906" s="10" t="s">
        <v>1389</v>
      </c>
      <c r="C906">
        <v>62842.454218749001</v>
      </c>
    </row>
    <row r="907" spans="1:3" x14ac:dyDescent="0.25">
      <c r="A907" s="150">
        <v>902</v>
      </c>
      <c r="B907" s="10" t="s">
        <v>1390</v>
      </c>
      <c r="C907">
        <v>0</v>
      </c>
    </row>
    <row r="908" spans="1:3" x14ac:dyDescent="0.25">
      <c r="A908" s="150">
        <v>903</v>
      </c>
      <c r="B908" s="10" t="s">
        <v>1391</v>
      </c>
      <c r="C908">
        <v>0</v>
      </c>
    </row>
    <row r="909" spans="1:3" x14ac:dyDescent="0.25">
      <c r="A909" s="150">
        <v>904</v>
      </c>
      <c r="B909" s="10" t="s">
        <v>1392</v>
      </c>
      <c r="C909">
        <v>4458.5027768556001</v>
      </c>
    </row>
    <row r="910" spans="1:3" x14ac:dyDescent="0.25">
      <c r="A910" s="150">
        <v>905</v>
      </c>
      <c r="B910" s="10" t="s">
        <v>1393</v>
      </c>
      <c r="C910">
        <v>0</v>
      </c>
    </row>
    <row r="911" spans="1:3" x14ac:dyDescent="0.25">
      <c r="A911" s="150">
        <v>906</v>
      </c>
      <c r="B911" s="10" t="s">
        <v>1394</v>
      </c>
      <c r="C911">
        <v>28410.449291016899</v>
      </c>
    </row>
    <row r="912" spans="1:3" x14ac:dyDescent="0.25">
      <c r="A912" s="150">
        <v>907</v>
      </c>
      <c r="B912" s="10" t="s">
        <v>1395</v>
      </c>
      <c r="C912">
        <v>0</v>
      </c>
    </row>
    <row r="913" spans="1:3" x14ac:dyDescent="0.25">
      <c r="A913" s="150">
        <v>908</v>
      </c>
      <c r="B913" s="10" t="s">
        <v>1396</v>
      </c>
      <c r="C913">
        <v>116227.06822168099</v>
      </c>
    </row>
    <row r="914" spans="1:3" x14ac:dyDescent="0.25">
      <c r="A914" s="150">
        <v>909</v>
      </c>
      <c r="B914" s="10" t="s">
        <v>1397</v>
      </c>
      <c r="C914">
        <v>0</v>
      </c>
    </row>
    <row r="915" spans="1:3" x14ac:dyDescent="0.25">
      <c r="A915" s="150">
        <v>910</v>
      </c>
      <c r="B915" s="10" t="s">
        <v>1398</v>
      </c>
      <c r="C915">
        <v>15680.6275986321</v>
      </c>
    </row>
    <row r="916" spans="1:3" x14ac:dyDescent="0.25">
      <c r="A916" s="150">
        <v>911</v>
      </c>
      <c r="B916" s="10" t="s">
        <v>1399</v>
      </c>
      <c r="C916">
        <v>0</v>
      </c>
    </row>
    <row r="917" spans="1:3" x14ac:dyDescent="0.25">
      <c r="A917" s="150">
        <v>912</v>
      </c>
      <c r="B917" s="10" t="s">
        <v>1400</v>
      </c>
      <c r="C917">
        <v>4317.0892719728899</v>
      </c>
    </row>
    <row r="918" spans="1:3" x14ac:dyDescent="0.25">
      <c r="A918" s="150">
        <v>913</v>
      </c>
      <c r="B918" s="10" t="s">
        <v>1401</v>
      </c>
      <c r="C918">
        <v>0</v>
      </c>
    </row>
    <row r="919" spans="1:3" x14ac:dyDescent="0.25">
      <c r="A919" s="150">
        <v>914</v>
      </c>
      <c r="B919" s="10" t="s">
        <v>1402</v>
      </c>
      <c r="C919">
        <v>0</v>
      </c>
    </row>
    <row r="920" spans="1:3" x14ac:dyDescent="0.25">
      <c r="A920" s="150">
        <v>915</v>
      </c>
      <c r="B920" s="10" t="s">
        <v>1403</v>
      </c>
      <c r="C920">
        <v>0</v>
      </c>
    </row>
    <row r="921" spans="1:3" x14ac:dyDescent="0.25">
      <c r="A921" s="150">
        <v>916</v>
      </c>
      <c r="B921" s="10" t="s">
        <v>1404</v>
      </c>
      <c r="C921">
        <v>4466.4493432622403</v>
      </c>
    </row>
    <row r="922" spans="1:3" x14ac:dyDescent="0.25">
      <c r="A922" s="150">
        <v>917</v>
      </c>
      <c r="B922" s="10" t="s">
        <v>1405</v>
      </c>
      <c r="C922">
        <v>2100422.75071871</v>
      </c>
    </row>
    <row r="923" spans="1:3" x14ac:dyDescent="0.25">
      <c r="A923" s="150">
        <v>918</v>
      </c>
      <c r="B923" s="10" t="s">
        <v>1406</v>
      </c>
      <c r="C923">
        <v>1632088.4450038699</v>
      </c>
    </row>
    <row r="924" spans="1:3" x14ac:dyDescent="0.25">
      <c r="A924" s="150">
        <v>919</v>
      </c>
      <c r="B924" s="10" t="s">
        <v>1407</v>
      </c>
      <c r="C924">
        <v>13213306.352426499</v>
      </c>
    </row>
    <row r="925" spans="1:3" x14ac:dyDescent="0.25">
      <c r="A925" s="150">
        <v>920</v>
      </c>
      <c r="B925" s="10" t="s">
        <v>1408</v>
      </c>
      <c r="C925">
        <v>11432839.2913961</v>
      </c>
    </row>
    <row r="926" spans="1:3" x14ac:dyDescent="0.25">
      <c r="A926" s="150">
        <v>921</v>
      </c>
      <c r="B926" s="10" t="s">
        <v>1409</v>
      </c>
      <c r="C926">
        <v>37824486.905014001</v>
      </c>
    </row>
    <row r="927" spans="1:3" x14ac:dyDescent="0.25">
      <c r="A927" s="150">
        <v>922</v>
      </c>
      <c r="B927" s="10" t="s">
        <v>1410</v>
      </c>
      <c r="C927">
        <v>34376220.620834403</v>
      </c>
    </row>
    <row r="928" spans="1:3" x14ac:dyDescent="0.25">
      <c r="A928" s="150">
        <v>923</v>
      </c>
      <c r="B928" s="10" t="s">
        <v>1411</v>
      </c>
      <c r="C928">
        <v>63121897.2100868</v>
      </c>
    </row>
    <row r="929" spans="1:3" x14ac:dyDescent="0.25">
      <c r="A929" s="150">
        <v>924</v>
      </c>
      <c r="B929" s="10" t="s">
        <v>1412</v>
      </c>
      <c r="C929">
        <v>61761212.795387298</v>
      </c>
    </row>
    <row r="930" spans="1:3" x14ac:dyDescent="0.25">
      <c r="A930" s="150">
        <v>925</v>
      </c>
      <c r="B930" s="10" t="s">
        <v>1413</v>
      </c>
      <c r="C930">
        <v>70816162.901626602</v>
      </c>
    </row>
    <row r="931" spans="1:3" x14ac:dyDescent="0.25">
      <c r="A931" s="150">
        <v>926</v>
      </c>
      <c r="B931" s="10" t="s">
        <v>1414</v>
      </c>
      <c r="C931">
        <v>66236266.262962297</v>
      </c>
    </row>
    <row r="932" spans="1:3" x14ac:dyDescent="0.25">
      <c r="A932" s="150">
        <v>927</v>
      </c>
      <c r="B932" s="10" t="s">
        <v>1415</v>
      </c>
      <c r="C932">
        <v>52221953.314151801</v>
      </c>
    </row>
    <row r="933" spans="1:3" x14ac:dyDescent="0.25">
      <c r="A933" s="150">
        <v>928</v>
      </c>
      <c r="B933" s="10" t="s">
        <v>1416</v>
      </c>
      <c r="C933">
        <v>49694002.8085251</v>
      </c>
    </row>
    <row r="934" spans="1:3" x14ac:dyDescent="0.25">
      <c r="A934" s="150">
        <v>929</v>
      </c>
      <c r="B934" s="10" t="s">
        <v>1417</v>
      </c>
      <c r="C934">
        <v>0</v>
      </c>
    </row>
    <row r="935" spans="1:3" x14ac:dyDescent="0.25">
      <c r="A935" s="150">
        <v>930</v>
      </c>
      <c r="B935" s="10" t="s">
        <v>1418</v>
      </c>
      <c r="C935">
        <v>0</v>
      </c>
    </row>
    <row r="936" spans="1:3" x14ac:dyDescent="0.25">
      <c r="A936" s="150">
        <v>931</v>
      </c>
      <c r="B936" s="10" t="s">
        <v>933</v>
      </c>
      <c r="C936">
        <v>3198611.6443729401</v>
      </c>
    </row>
    <row r="937" spans="1:3" x14ac:dyDescent="0.25">
      <c r="A937" s="150">
        <v>932</v>
      </c>
      <c r="B937" s="10" t="s">
        <v>934</v>
      </c>
      <c r="C937">
        <v>954430.84228122199</v>
      </c>
    </row>
    <row r="938" spans="1:3" x14ac:dyDescent="0.25">
      <c r="A938" s="150">
        <v>933</v>
      </c>
      <c r="B938" s="10" t="s">
        <v>935</v>
      </c>
      <c r="C938">
        <v>21188766.8551655</v>
      </c>
    </row>
    <row r="939" spans="1:3" x14ac:dyDescent="0.25">
      <c r="A939" s="150">
        <v>934</v>
      </c>
      <c r="B939" s="10" t="s">
        <v>936</v>
      </c>
      <c r="C939">
        <v>15193091.7430162</v>
      </c>
    </row>
    <row r="940" spans="1:3" x14ac:dyDescent="0.25">
      <c r="A940" s="150">
        <v>935</v>
      </c>
      <c r="B940" s="10" t="s">
        <v>937</v>
      </c>
      <c r="C940">
        <v>39234953.164115898</v>
      </c>
    </row>
    <row r="941" spans="1:3" x14ac:dyDescent="0.25">
      <c r="A941" s="150">
        <v>936</v>
      </c>
      <c r="B941" s="10" t="s">
        <v>938</v>
      </c>
      <c r="C941">
        <v>38702293.254619598</v>
      </c>
    </row>
    <row r="942" spans="1:3" x14ac:dyDescent="0.25">
      <c r="A942" s="150">
        <v>937</v>
      </c>
      <c r="B942" s="10" t="s">
        <v>939</v>
      </c>
      <c r="C942">
        <v>63281460.344215401</v>
      </c>
    </row>
    <row r="943" spans="1:3" x14ac:dyDescent="0.25">
      <c r="A943" s="150">
        <v>938</v>
      </c>
      <c r="B943" s="10" t="s">
        <v>940</v>
      </c>
      <c r="C943">
        <v>55936576.762947097</v>
      </c>
    </row>
    <row r="944" spans="1:3" x14ac:dyDescent="0.25">
      <c r="A944" s="150">
        <v>939</v>
      </c>
      <c r="B944" s="10" t="s">
        <v>941</v>
      </c>
      <c r="C944">
        <v>71542421.151920304</v>
      </c>
    </row>
    <row r="945" spans="1:3" x14ac:dyDescent="0.25">
      <c r="A945" s="150">
        <v>940</v>
      </c>
      <c r="B945" s="10" t="s">
        <v>942</v>
      </c>
      <c r="C945">
        <v>54986451.711910203</v>
      </c>
    </row>
    <row r="946" spans="1:3" x14ac:dyDescent="0.25">
      <c r="A946" s="150">
        <v>941</v>
      </c>
      <c r="B946" s="10" t="s">
        <v>943</v>
      </c>
      <c r="C946">
        <v>57986480.194522902</v>
      </c>
    </row>
    <row r="947" spans="1:3" x14ac:dyDescent="0.25">
      <c r="A947" s="150">
        <v>942</v>
      </c>
      <c r="B947" s="10" t="s">
        <v>944</v>
      </c>
      <c r="C947">
        <v>47407056.491581</v>
      </c>
    </row>
    <row r="948" spans="1:3" x14ac:dyDescent="0.25">
      <c r="A948" s="150">
        <v>943</v>
      </c>
      <c r="B948" s="10" t="s">
        <v>945</v>
      </c>
      <c r="C948">
        <v>33620641.220359802</v>
      </c>
    </row>
    <row r="949" spans="1:3" x14ac:dyDescent="0.25">
      <c r="A949" s="150">
        <v>944</v>
      </c>
      <c r="B949" s="10" t="s">
        <v>946</v>
      </c>
      <c r="C949">
        <v>31219043.6061211</v>
      </c>
    </row>
    <row r="950" spans="1:3" x14ac:dyDescent="0.25">
      <c r="A950" s="150">
        <v>945</v>
      </c>
      <c r="B950" s="10" t="s">
        <v>947</v>
      </c>
      <c r="C950">
        <v>14103947.9811249</v>
      </c>
    </row>
    <row r="951" spans="1:3" x14ac:dyDescent="0.25">
      <c r="A951" s="150">
        <v>946</v>
      </c>
      <c r="B951" s="10" t="s">
        <v>948</v>
      </c>
      <c r="C951">
        <v>14213793.345390299</v>
      </c>
    </row>
    <row r="952" spans="1:3" x14ac:dyDescent="0.25">
      <c r="A952" s="150">
        <v>947</v>
      </c>
      <c r="B952" s="10" t="s">
        <v>949</v>
      </c>
      <c r="C952">
        <v>3601113.7498593298</v>
      </c>
    </row>
    <row r="953" spans="1:3" x14ac:dyDescent="0.25">
      <c r="A953" s="150">
        <v>948</v>
      </c>
      <c r="B953" s="10" t="s">
        <v>950</v>
      </c>
      <c r="C953">
        <v>1750901.29730856</v>
      </c>
    </row>
    <row r="954" spans="1:3" x14ac:dyDescent="0.25">
      <c r="A954" s="150">
        <v>949</v>
      </c>
      <c r="B954" s="10" t="s">
        <v>951</v>
      </c>
      <c r="C954">
        <v>218938.03503516299</v>
      </c>
    </row>
    <row r="955" spans="1:3" x14ac:dyDescent="0.25">
      <c r="A955" s="150">
        <v>950</v>
      </c>
      <c r="B955" s="10" t="s">
        <v>952</v>
      </c>
      <c r="C955">
        <v>243574.08028906601</v>
      </c>
    </row>
    <row r="956" spans="1:3" x14ac:dyDescent="0.25">
      <c r="A956" s="150">
        <v>951</v>
      </c>
      <c r="B956" s="10" t="s">
        <v>1419</v>
      </c>
      <c r="C956">
        <v>17634.369474608498</v>
      </c>
    </row>
    <row r="957" spans="1:3" x14ac:dyDescent="0.25">
      <c r="A957" s="150">
        <v>952</v>
      </c>
      <c r="B957" s="10" t="s">
        <v>1420</v>
      </c>
      <c r="C957">
        <v>0</v>
      </c>
    </row>
    <row r="958" spans="1:3" x14ac:dyDescent="0.25">
      <c r="A958" s="150">
        <v>953</v>
      </c>
      <c r="B958" s="10" t="s">
        <v>1421</v>
      </c>
      <c r="C958">
        <v>0</v>
      </c>
    </row>
    <row r="959" spans="1:3" x14ac:dyDescent="0.25">
      <c r="A959" s="150">
        <v>954</v>
      </c>
      <c r="B959" s="10" t="s">
        <v>1422</v>
      </c>
      <c r="C959">
        <v>0</v>
      </c>
    </row>
    <row r="960" spans="1:3" x14ac:dyDescent="0.25">
      <c r="A960" s="150">
        <v>955</v>
      </c>
      <c r="B960" s="10" t="s">
        <v>1423</v>
      </c>
      <c r="C960">
        <v>0</v>
      </c>
    </row>
    <row r="961" spans="1:3" x14ac:dyDescent="0.25">
      <c r="A961" s="150">
        <v>956</v>
      </c>
      <c r="B961" s="10" t="s">
        <v>1424</v>
      </c>
      <c r="C961">
        <v>52646.975824221998</v>
      </c>
    </row>
    <row r="962" spans="1:3" x14ac:dyDescent="0.25">
      <c r="A962" s="150">
        <v>957</v>
      </c>
      <c r="B962" s="10" t="s">
        <v>1425</v>
      </c>
      <c r="C962">
        <v>0</v>
      </c>
    </row>
    <row r="963" spans="1:3" x14ac:dyDescent="0.25">
      <c r="A963" s="150">
        <v>958</v>
      </c>
      <c r="B963" s="10" t="s">
        <v>1426</v>
      </c>
      <c r="C963">
        <v>0</v>
      </c>
    </row>
    <row r="964" spans="1:3" x14ac:dyDescent="0.25">
      <c r="A964" s="150">
        <v>959</v>
      </c>
      <c r="B964" s="10" t="s">
        <v>1427</v>
      </c>
      <c r="C964">
        <v>0</v>
      </c>
    </row>
    <row r="965" spans="1:3" x14ac:dyDescent="0.25">
      <c r="A965" s="150">
        <v>960</v>
      </c>
      <c r="B965" s="10" t="s">
        <v>1428</v>
      </c>
      <c r="C965">
        <v>3663.60611352557</v>
      </c>
    </row>
    <row r="966" spans="1:3" x14ac:dyDescent="0.25">
      <c r="A966" s="150">
        <v>961</v>
      </c>
      <c r="B966" s="10" t="s">
        <v>1429</v>
      </c>
      <c r="C966">
        <v>0</v>
      </c>
    </row>
    <row r="967" spans="1:3" x14ac:dyDescent="0.25">
      <c r="A967" s="150">
        <v>962</v>
      </c>
      <c r="B967" s="10" t="s">
        <v>1430</v>
      </c>
      <c r="C967">
        <v>48413.038699217097</v>
      </c>
    </row>
    <row r="968" spans="1:3" x14ac:dyDescent="0.25">
      <c r="A968" s="150">
        <v>963</v>
      </c>
      <c r="B968" s="10" t="s">
        <v>1431</v>
      </c>
      <c r="C968">
        <v>0</v>
      </c>
    </row>
    <row r="969" spans="1:3" x14ac:dyDescent="0.25">
      <c r="A969" s="150">
        <v>964</v>
      </c>
      <c r="B969" s="10" t="s">
        <v>1432</v>
      </c>
      <c r="C969">
        <v>45145.869064453997</v>
      </c>
    </row>
    <row r="970" spans="1:3" x14ac:dyDescent="0.25">
      <c r="A970" s="150">
        <v>965</v>
      </c>
      <c r="B970" s="10" t="s">
        <v>1433</v>
      </c>
      <c r="C970">
        <v>17249.433545900501</v>
      </c>
    </row>
    <row r="971" spans="1:3" x14ac:dyDescent="0.25">
      <c r="A971" s="150">
        <v>966</v>
      </c>
      <c r="B971" s="10" t="s">
        <v>1434</v>
      </c>
      <c r="C971">
        <v>0</v>
      </c>
    </row>
    <row r="972" spans="1:3" x14ac:dyDescent="0.25">
      <c r="A972" s="150">
        <v>967</v>
      </c>
      <c r="B972" s="10" t="s">
        <v>1435</v>
      </c>
      <c r="C972">
        <v>45188.176539063497</v>
      </c>
    </row>
    <row r="973" spans="1:3" x14ac:dyDescent="0.25">
      <c r="A973" s="150">
        <v>968</v>
      </c>
      <c r="B973" s="10" t="s">
        <v>1436</v>
      </c>
      <c r="C973">
        <v>0</v>
      </c>
    </row>
    <row r="974" spans="1:3" x14ac:dyDescent="0.25">
      <c r="A974" s="150">
        <v>969</v>
      </c>
      <c r="B974" s="10" t="s">
        <v>1437</v>
      </c>
      <c r="C974">
        <v>0</v>
      </c>
    </row>
    <row r="975" spans="1:3" x14ac:dyDescent="0.25">
      <c r="A975" s="150">
        <v>970</v>
      </c>
      <c r="B975" s="10" t="s">
        <v>1438</v>
      </c>
      <c r="C975">
        <v>31642.253535646902</v>
      </c>
    </row>
    <row r="976" spans="1:3" x14ac:dyDescent="0.25">
      <c r="A976" s="150">
        <v>971</v>
      </c>
      <c r="B976" s="10" t="s">
        <v>1439</v>
      </c>
      <c r="C976">
        <v>57393.317218754397</v>
      </c>
    </row>
    <row r="977" spans="1:3" x14ac:dyDescent="0.25">
      <c r="A977" s="150">
        <v>972</v>
      </c>
      <c r="B977" s="10" t="s">
        <v>1440</v>
      </c>
      <c r="C977">
        <v>68297.405039064601</v>
      </c>
    </row>
    <row r="978" spans="1:3" x14ac:dyDescent="0.25">
      <c r="A978" s="150">
        <v>973</v>
      </c>
      <c r="B978" s="10" t="s">
        <v>1441</v>
      </c>
      <c r="C978">
        <v>1175842.2045116399</v>
      </c>
    </row>
    <row r="979" spans="1:3" x14ac:dyDescent="0.25">
      <c r="A979" s="150">
        <v>974</v>
      </c>
      <c r="B979" s="10" t="s">
        <v>1442</v>
      </c>
      <c r="C979">
        <v>784200.67047899996</v>
      </c>
    </row>
    <row r="980" spans="1:3" x14ac:dyDescent="0.25">
      <c r="A980" s="150">
        <v>975</v>
      </c>
      <c r="B980" s="10" t="s">
        <v>1443</v>
      </c>
      <c r="C980">
        <v>7470874.5954875899</v>
      </c>
    </row>
    <row r="981" spans="1:3" x14ac:dyDescent="0.25">
      <c r="A981" s="150">
        <v>976</v>
      </c>
      <c r="B981" s="10" t="s">
        <v>1444</v>
      </c>
      <c r="C981">
        <v>7552925.2435588799</v>
      </c>
    </row>
    <row r="982" spans="1:3" x14ac:dyDescent="0.25">
      <c r="A982" s="150">
        <v>977</v>
      </c>
      <c r="B982" s="10" t="s">
        <v>1445</v>
      </c>
      <c r="C982">
        <v>25623992.296070099</v>
      </c>
    </row>
    <row r="983" spans="1:3" x14ac:dyDescent="0.25">
      <c r="A983" s="150">
        <v>978</v>
      </c>
      <c r="B983" s="10" t="s">
        <v>1446</v>
      </c>
      <c r="C983">
        <v>25322845.038494099</v>
      </c>
    </row>
    <row r="984" spans="1:3" x14ac:dyDescent="0.25">
      <c r="A984" s="150">
        <v>979</v>
      </c>
      <c r="B984" s="10" t="s">
        <v>1447</v>
      </c>
      <c r="C984">
        <v>38542422.197444901</v>
      </c>
    </row>
    <row r="985" spans="1:3" x14ac:dyDescent="0.25">
      <c r="A985" s="150">
        <v>980</v>
      </c>
      <c r="B985" s="10" t="s">
        <v>1448</v>
      </c>
      <c r="C985">
        <v>36386651.434368096</v>
      </c>
    </row>
    <row r="986" spans="1:3" x14ac:dyDescent="0.25">
      <c r="A986" s="150">
        <v>981</v>
      </c>
      <c r="B986" s="10" t="s">
        <v>1449</v>
      </c>
      <c r="C986">
        <v>26106455.430097599</v>
      </c>
    </row>
    <row r="987" spans="1:3" x14ac:dyDescent="0.25">
      <c r="A987" s="150">
        <v>982</v>
      </c>
      <c r="B987" s="10" t="s">
        <v>1450</v>
      </c>
      <c r="C987">
        <v>0</v>
      </c>
    </row>
    <row r="988" spans="1:3" x14ac:dyDescent="0.25">
      <c r="A988" s="150">
        <v>983</v>
      </c>
      <c r="B988" s="10" t="s">
        <v>1451</v>
      </c>
      <c r="C988">
        <v>0</v>
      </c>
    </row>
    <row r="989" spans="1:3" x14ac:dyDescent="0.25">
      <c r="A989" s="150">
        <v>984</v>
      </c>
      <c r="B989" s="10" t="s">
        <v>1452</v>
      </c>
      <c r="C989">
        <v>0</v>
      </c>
    </row>
    <row r="990" spans="1:3" x14ac:dyDescent="0.25">
      <c r="A990" s="150">
        <v>985</v>
      </c>
      <c r="B990" s="10" t="s">
        <v>953</v>
      </c>
      <c r="C990">
        <v>1450246.52160108</v>
      </c>
    </row>
    <row r="991" spans="1:3" x14ac:dyDescent="0.25">
      <c r="A991" s="150">
        <v>986</v>
      </c>
      <c r="B991" s="10" t="s">
        <v>954</v>
      </c>
      <c r="C991">
        <v>471667.51609766501</v>
      </c>
    </row>
    <row r="992" spans="1:3" x14ac:dyDescent="0.25">
      <c r="A992" s="150">
        <v>987</v>
      </c>
      <c r="B992" s="10" t="s">
        <v>955</v>
      </c>
      <c r="C992">
        <v>13161330.7060146</v>
      </c>
    </row>
    <row r="993" spans="1:3" x14ac:dyDescent="0.25">
      <c r="A993" s="150">
        <v>988</v>
      </c>
      <c r="B993" s="10" t="s">
        <v>956</v>
      </c>
      <c r="C993">
        <v>9732899.8577566091</v>
      </c>
    </row>
    <row r="994" spans="1:3" x14ac:dyDescent="0.25">
      <c r="A994" s="150">
        <v>989</v>
      </c>
      <c r="B994" s="10" t="s">
        <v>957</v>
      </c>
      <c r="C994">
        <v>27929839.810091</v>
      </c>
    </row>
    <row r="995" spans="1:3" x14ac:dyDescent="0.25">
      <c r="A995" s="150">
        <v>990</v>
      </c>
      <c r="B995" s="10" t="s">
        <v>958</v>
      </c>
      <c r="C995">
        <v>26117144.801738702</v>
      </c>
    </row>
    <row r="996" spans="1:3" x14ac:dyDescent="0.25">
      <c r="A996" s="150">
        <v>991</v>
      </c>
      <c r="B996" s="10" t="s">
        <v>959</v>
      </c>
      <c r="C996">
        <v>38963663.221332602</v>
      </c>
    </row>
    <row r="997" spans="1:3" x14ac:dyDescent="0.25">
      <c r="A997" s="150">
        <v>992</v>
      </c>
      <c r="B997" s="10" t="s">
        <v>960</v>
      </c>
      <c r="C997">
        <v>35721073.351703599</v>
      </c>
    </row>
    <row r="998" spans="1:3" x14ac:dyDescent="0.25">
      <c r="A998" s="150">
        <v>993</v>
      </c>
      <c r="B998" s="10" t="s">
        <v>961</v>
      </c>
      <c r="C998">
        <v>42087798.4543266</v>
      </c>
    </row>
    <row r="999" spans="1:3" x14ac:dyDescent="0.25">
      <c r="A999" s="150">
        <v>994</v>
      </c>
      <c r="B999" s="10" t="s">
        <v>962</v>
      </c>
      <c r="C999">
        <v>32545032.719285998</v>
      </c>
    </row>
    <row r="1000" spans="1:3" x14ac:dyDescent="0.25">
      <c r="A1000" s="150">
        <v>995</v>
      </c>
      <c r="B1000" s="10" t="s">
        <v>963</v>
      </c>
      <c r="C1000">
        <v>34791222.438167602</v>
      </c>
    </row>
    <row r="1001" spans="1:3" x14ac:dyDescent="0.25">
      <c r="A1001" s="150">
        <v>996</v>
      </c>
      <c r="B1001" s="10" t="s">
        <v>964</v>
      </c>
      <c r="C1001">
        <v>28269187.3366642</v>
      </c>
    </row>
    <row r="1002" spans="1:3" x14ac:dyDescent="0.25">
      <c r="A1002" s="150">
        <v>997</v>
      </c>
      <c r="B1002" s="10" t="s">
        <v>965</v>
      </c>
      <c r="C1002">
        <v>21046202.407129299</v>
      </c>
    </row>
    <row r="1003" spans="1:3" x14ac:dyDescent="0.25">
      <c r="A1003" s="150">
        <v>998</v>
      </c>
      <c r="B1003" s="10" t="s">
        <v>966</v>
      </c>
      <c r="C1003">
        <v>19966252.071683899</v>
      </c>
    </row>
    <row r="1004" spans="1:3" x14ac:dyDescent="0.25">
      <c r="A1004" s="150">
        <v>999</v>
      </c>
      <c r="B1004" s="10" t="s">
        <v>967</v>
      </c>
      <c r="C1004">
        <v>9735336.3850154895</v>
      </c>
    </row>
    <row r="1005" spans="1:3" x14ac:dyDescent="0.25">
      <c r="A1005" s="150">
        <v>1000</v>
      </c>
      <c r="B1005" s="10" t="s">
        <v>968</v>
      </c>
      <c r="C1005">
        <v>8328140.2414064398</v>
      </c>
    </row>
    <row r="1006" spans="1:3" x14ac:dyDescent="0.25">
      <c r="A1006" s="150">
        <v>1001</v>
      </c>
      <c r="B1006" s="10" t="s">
        <v>969</v>
      </c>
      <c r="C1006">
        <v>1769694.48000002</v>
      </c>
    </row>
    <row r="1007" spans="1:3" x14ac:dyDescent="0.25">
      <c r="A1007" s="150">
        <v>1002</v>
      </c>
      <c r="B1007" s="10" t="s">
        <v>970</v>
      </c>
      <c r="C1007">
        <v>1377446.8560937601</v>
      </c>
    </row>
    <row r="1008" spans="1:3" x14ac:dyDescent="0.25">
      <c r="A1008" s="150">
        <v>1003</v>
      </c>
      <c r="B1008" s="10" t="s">
        <v>971</v>
      </c>
      <c r="C1008">
        <v>165082.09730859101</v>
      </c>
    </row>
    <row r="1009" spans="1:3" x14ac:dyDescent="0.25">
      <c r="A1009" s="150">
        <v>1004</v>
      </c>
      <c r="B1009" s="10" t="s">
        <v>972</v>
      </c>
      <c r="C1009">
        <v>152979.71571875401</v>
      </c>
    </row>
    <row r="1010" spans="1:3" x14ac:dyDescent="0.25">
      <c r="A1010" s="150">
        <v>1005</v>
      </c>
      <c r="B1010" s="10" t="s">
        <v>1453</v>
      </c>
      <c r="C1010">
        <v>0</v>
      </c>
    </row>
    <row r="1011" spans="1:3" x14ac:dyDescent="0.25">
      <c r="A1011" s="150">
        <v>1006</v>
      </c>
      <c r="B1011" s="10" t="s">
        <v>1454</v>
      </c>
      <c r="C1011">
        <v>56651.775363281398</v>
      </c>
    </row>
    <row r="1012" spans="1:3" x14ac:dyDescent="0.25">
      <c r="A1012" s="150">
        <v>1007</v>
      </c>
      <c r="B1012" s="10" t="s">
        <v>1455</v>
      </c>
      <c r="C1012">
        <v>31777.149363283101</v>
      </c>
    </row>
    <row r="1013" spans="1:3" x14ac:dyDescent="0.25">
      <c r="A1013" s="150">
        <v>1008</v>
      </c>
      <c r="B1013" s="10" t="s">
        <v>1456</v>
      </c>
      <c r="C1013">
        <v>51653.217410158402</v>
      </c>
    </row>
    <row r="1014" spans="1:3" x14ac:dyDescent="0.25">
      <c r="A1014" s="150">
        <v>1009</v>
      </c>
      <c r="B1014" s="10" t="s">
        <v>1457</v>
      </c>
      <c r="C1014">
        <v>97326.903304686799</v>
      </c>
    </row>
    <row r="1015" spans="1:3" x14ac:dyDescent="0.25">
      <c r="A1015" s="150">
        <v>1010</v>
      </c>
      <c r="B1015" s="10" t="s">
        <v>1458</v>
      </c>
      <c r="C1015">
        <v>0</v>
      </c>
    </row>
    <row r="1016" spans="1:3" x14ac:dyDescent="0.25">
      <c r="A1016" s="150">
        <v>1011</v>
      </c>
      <c r="B1016" s="10" t="s">
        <v>1459</v>
      </c>
      <c r="C1016">
        <v>0</v>
      </c>
    </row>
    <row r="1017" spans="1:3" x14ac:dyDescent="0.25">
      <c r="A1017" s="150">
        <v>1012</v>
      </c>
      <c r="B1017" s="10" t="s">
        <v>1460</v>
      </c>
      <c r="C1017">
        <v>0</v>
      </c>
    </row>
    <row r="1018" spans="1:3" x14ac:dyDescent="0.25">
      <c r="A1018" s="150">
        <v>1013</v>
      </c>
      <c r="B1018" s="10" t="s">
        <v>1461</v>
      </c>
      <c r="C1018">
        <v>0</v>
      </c>
    </row>
    <row r="1019" spans="1:3" x14ac:dyDescent="0.25">
      <c r="A1019" s="150">
        <v>1014</v>
      </c>
      <c r="B1019" s="10" t="s">
        <v>1462</v>
      </c>
      <c r="C1019">
        <v>40913.7866835967</v>
      </c>
    </row>
    <row r="1020" spans="1:3" x14ac:dyDescent="0.25">
      <c r="A1020" s="150">
        <v>1015</v>
      </c>
      <c r="B1020" s="10" t="s">
        <v>1463</v>
      </c>
      <c r="C1020">
        <v>17369.4518906251</v>
      </c>
    </row>
    <row r="1021" spans="1:3" x14ac:dyDescent="0.25">
      <c r="A1021" s="150">
        <v>1016</v>
      </c>
      <c r="B1021" s="10" t="s">
        <v>1464</v>
      </c>
      <c r="C1021">
        <v>0</v>
      </c>
    </row>
    <row r="1022" spans="1:3" x14ac:dyDescent="0.25">
      <c r="A1022" s="150">
        <v>1017</v>
      </c>
      <c r="B1022" s="10" t="s">
        <v>1465</v>
      </c>
      <c r="C1022">
        <v>0</v>
      </c>
    </row>
    <row r="1023" spans="1:3" x14ac:dyDescent="0.25">
      <c r="A1023" s="150">
        <v>1018</v>
      </c>
      <c r="B1023" s="10" t="s">
        <v>1466</v>
      </c>
      <c r="C1023">
        <v>0</v>
      </c>
    </row>
    <row r="1024" spans="1:3" x14ac:dyDescent="0.25">
      <c r="A1024" s="150">
        <v>1019</v>
      </c>
      <c r="B1024" s="10" t="s">
        <v>1467</v>
      </c>
      <c r="C1024">
        <v>98718.0432070307</v>
      </c>
    </row>
    <row r="1025" spans="1:3" x14ac:dyDescent="0.25">
      <c r="A1025" s="150">
        <v>1020</v>
      </c>
      <c r="B1025" s="10" t="s">
        <v>1468</v>
      </c>
      <c r="C1025">
        <v>0</v>
      </c>
    </row>
    <row r="1026" spans="1:3" x14ac:dyDescent="0.25">
      <c r="A1026" s="150">
        <v>1021</v>
      </c>
      <c r="B1026" s="10" t="s">
        <v>1469</v>
      </c>
      <c r="C1026">
        <v>81924.813492186397</v>
      </c>
    </row>
    <row r="1027" spans="1:3" x14ac:dyDescent="0.25">
      <c r="A1027" s="150">
        <v>1022</v>
      </c>
      <c r="B1027" s="10" t="s">
        <v>1470</v>
      </c>
      <c r="C1027">
        <v>0</v>
      </c>
    </row>
    <row r="1028" spans="1:3" x14ac:dyDescent="0.25">
      <c r="A1028" s="150">
        <v>1023</v>
      </c>
      <c r="B1028" s="10" t="s">
        <v>1471</v>
      </c>
      <c r="C1028">
        <v>0</v>
      </c>
    </row>
    <row r="1029" spans="1:3" x14ac:dyDescent="0.25">
      <c r="A1029" s="150">
        <v>1024</v>
      </c>
      <c r="B1029" s="10" t="s">
        <v>1472</v>
      </c>
      <c r="C1029">
        <v>0</v>
      </c>
    </row>
    <row r="1030" spans="1:3" x14ac:dyDescent="0.25">
      <c r="A1030" s="150">
        <v>1025</v>
      </c>
      <c r="B1030" s="10" t="s">
        <v>1473</v>
      </c>
      <c r="C1030">
        <v>9060.8955151373502</v>
      </c>
    </row>
    <row r="1031" spans="1:3" x14ac:dyDescent="0.25">
      <c r="A1031" s="150">
        <v>1026</v>
      </c>
      <c r="B1031" s="10" t="s">
        <v>1474</v>
      </c>
      <c r="C1031">
        <v>109619.83723290999</v>
      </c>
    </row>
    <row r="1032" spans="1:3" x14ac:dyDescent="0.25">
      <c r="A1032" s="150">
        <v>1027</v>
      </c>
      <c r="B1032" s="10" t="s">
        <v>1475</v>
      </c>
      <c r="C1032">
        <v>92457.307890623793</v>
      </c>
    </row>
    <row r="1033" spans="1:3" x14ac:dyDescent="0.25">
      <c r="A1033" s="150">
        <v>1028</v>
      </c>
      <c r="B1033" s="10" t="s">
        <v>1476</v>
      </c>
      <c r="C1033">
        <v>99913.309519536793</v>
      </c>
    </row>
    <row r="1034" spans="1:3" x14ac:dyDescent="0.25">
      <c r="A1034" s="150">
        <v>1029</v>
      </c>
      <c r="B1034" s="10" t="s">
        <v>1477</v>
      </c>
      <c r="C1034">
        <v>1208599.65108204</v>
      </c>
    </row>
    <row r="1035" spans="1:3" x14ac:dyDescent="0.25">
      <c r="A1035" s="150">
        <v>1030</v>
      </c>
      <c r="B1035" s="10" t="s">
        <v>1478</v>
      </c>
      <c r="C1035">
        <v>495843.13241502602</v>
      </c>
    </row>
    <row r="1036" spans="1:3" x14ac:dyDescent="0.25">
      <c r="A1036" s="150">
        <v>1031</v>
      </c>
      <c r="B1036" s="10" t="s">
        <v>1479</v>
      </c>
      <c r="C1036">
        <v>5837466.8917951602</v>
      </c>
    </row>
    <row r="1037" spans="1:3" x14ac:dyDescent="0.25">
      <c r="A1037" s="150">
        <v>1032</v>
      </c>
      <c r="B1037" s="10" t="s">
        <v>1480</v>
      </c>
      <c r="C1037">
        <v>5463357.81440592</v>
      </c>
    </row>
    <row r="1038" spans="1:3" x14ac:dyDescent="0.25">
      <c r="A1038" s="150">
        <v>1033</v>
      </c>
      <c r="B1038" s="10" t="s">
        <v>1481</v>
      </c>
      <c r="C1038">
        <v>14560380.7997675</v>
      </c>
    </row>
    <row r="1039" spans="1:3" x14ac:dyDescent="0.25">
      <c r="A1039" s="150">
        <v>1034</v>
      </c>
      <c r="B1039" s="10" t="s">
        <v>1482</v>
      </c>
      <c r="C1039">
        <v>13225373.176040599</v>
      </c>
    </row>
    <row r="1040" spans="1:3" x14ac:dyDescent="0.25">
      <c r="A1040" s="150">
        <v>1035</v>
      </c>
      <c r="B1040" s="10" t="s">
        <v>1483</v>
      </c>
      <c r="C1040">
        <v>0</v>
      </c>
    </row>
    <row r="1041" spans="1:3" x14ac:dyDescent="0.25">
      <c r="A1041" s="150">
        <v>1036</v>
      </c>
      <c r="B1041" s="10" t="s">
        <v>1484</v>
      </c>
      <c r="C1041">
        <v>0</v>
      </c>
    </row>
    <row r="1042" spans="1:3" x14ac:dyDescent="0.25">
      <c r="A1042" s="150">
        <v>1037</v>
      </c>
      <c r="B1042" s="10" t="s">
        <v>1485</v>
      </c>
      <c r="C1042">
        <v>0</v>
      </c>
    </row>
    <row r="1043" spans="1:3" x14ac:dyDescent="0.25">
      <c r="A1043" s="150">
        <v>1038</v>
      </c>
      <c r="B1043" s="10" t="s">
        <v>1486</v>
      </c>
      <c r="C1043">
        <v>0</v>
      </c>
    </row>
    <row r="1044" spans="1:3" x14ac:dyDescent="0.25">
      <c r="A1044" s="150">
        <v>1039</v>
      </c>
      <c r="B1044" s="10" t="s">
        <v>973</v>
      </c>
      <c r="C1044">
        <v>783569.26662600006</v>
      </c>
    </row>
    <row r="1045" spans="1:3" x14ac:dyDescent="0.25">
      <c r="A1045" s="150">
        <v>1040</v>
      </c>
      <c r="B1045" s="10" t="s">
        <v>974</v>
      </c>
      <c r="C1045">
        <v>217297.92589452901</v>
      </c>
    </row>
    <row r="1046" spans="1:3" x14ac:dyDescent="0.25">
      <c r="A1046" s="150">
        <v>1041</v>
      </c>
      <c r="B1046" s="10" t="s">
        <v>975</v>
      </c>
      <c r="C1046">
        <v>8082018.2637929898</v>
      </c>
    </row>
    <row r="1047" spans="1:3" x14ac:dyDescent="0.25">
      <c r="A1047" s="150">
        <v>1042</v>
      </c>
      <c r="B1047" s="10" t="s">
        <v>976</v>
      </c>
      <c r="C1047">
        <v>6006734.6923923502</v>
      </c>
    </row>
    <row r="1048" spans="1:3" x14ac:dyDescent="0.25">
      <c r="A1048" s="150">
        <v>1043</v>
      </c>
      <c r="B1048" s="10" t="s">
        <v>977</v>
      </c>
      <c r="C1048">
        <v>17659432.725284599</v>
      </c>
    </row>
    <row r="1049" spans="1:3" x14ac:dyDescent="0.25">
      <c r="A1049" s="150">
        <v>1044</v>
      </c>
      <c r="B1049" s="10" t="s">
        <v>978</v>
      </c>
      <c r="C1049">
        <v>16471569.5915985</v>
      </c>
    </row>
    <row r="1050" spans="1:3" x14ac:dyDescent="0.25">
      <c r="A1050" s="150">
        <v>1045</v>
      </c>
      <c r="B1050" s="10" t="s">
        <v>979</v>
      </c>
      <c r="C1050">
        <v>25471194.892568599</v>
      </c>
    </row>
    <row r="1051" spans="1:3" x14ac:dyDescent="0.25">
      <c r="A1051" s="150">
        <v>1046</v>
      </c>
      <c r="B1051" s="10" t="s">
        <v>980</v>
      </c>
      <c r="C1051">
        <v>22858133.719669301</v>
      </c>
    </row>
    <row r="1052" spans="1:3" x14ac:dyDescent="0.25">
      <c r="A1052" s="150">
        <v>1047</v>
      </c>
      <c r="B1052" s="10" t="s">
        <v>981</v>
      </c>
      <c r="C1052">
        <v>27745067.4718628</v>
      </c>
    </row>
    <row r="1053" spans="1:3" x14ac:dyDescent="0.25">
      <c r="A1053" s="150">
        <v>1048</v>
      </c>
      <c r="B1053" s="10" t="s">
        <v>982</v>
      </c>
      <c r="C1053">
        <v>20939795.879478499</v>
      </c>
    </row>
    <row r="1054" spans="1:3" x14ac:dyDescent="0.25">
      <c r="A1054" s="150">
        <v>1049</v>
      </c>
      <c r="B1054" s="10" t="s">
        <v>983</v>
      </c>
      <c r="C1054">
        <v>21200138.020721398</v>
      </c>
    </row>
    <row r="1055" spans="1:3" x14ac:dyDescent="0.25">
      <c r="A1055" s="150">
        <v>1050</v>
      </c>
      <c r="B1055" s="10" t="s">
        <v>984</v>
      </c>
      <c r="C1055">
        <v>17698051.3227911</v>
      </c>
    </row>
    <row r="1056" spans="1:3" x14ac:dyDescent="0.25">
      <c r="A1056" s="150">
        <v>1051</v>
      </c>
      <c r="B1056" s="10" t="s">
        <v>985</v>
      </c>
      <c r="C1056">
        <v>13818951.6048241</v>
      </c>
    </row>
    <row r="1057" spans="1:3" x14ac:dyDescent="0.25">
      <c r="A1057" s="150">
        <v>1052</v>
      </c>
      <c r="B1057" s="10" t="s">
        <v>986</v>
      </c>
      <c r="C1057">
        <v>11647055.8378477</v>
      </c>
    </row>
    <row r="1058" spans="1:3" x14ac:dyDescent="0.25">
      <c r="A1058" s="150">
        <v>1053</v>
      </c>
      <c r="B1058" s="10" t="s">
        <v>987</v>
      </c>
      <c r="C1058">
        <v>5116444.7565507898</v>
      </c>
    </row>
    <row r="1059" spans="1:3" x14ac:dyDescent="0.25">
      <c r="A1059" s="150">
        <v>1054</v>
      </c>
      <c r="B1059" s="10" t="s">
        <v>988</v>
      </c>
      <c r="C1059">
        <v>4971176.8121366501</v>
      </c>
    </row>
    <row r="1060" spans="1:3" x14ac:dyDescent="0.25">
      <c r="A1060" s="150">
        <v>1055</v>
      </c>
      <c r="B1060" s="10" t="s">
        <v>989</v>
      </c>
      <c r="C1060">
        <v>1360561.67341018</v>
      </c>
    </row>
    <row r="1061" spans="1:3" x14ac:dyDescent="0.25">
      <c r="A1061" s="150">
        <v>1056</v>
      </c>
      <c r="B1061" s="10" t="s">
        <v>990</v>
      </c>
      <c r="C1061">
        <v>913677.83146578097</v>
      </c>
    </row>
    <row r="1062" spans="1:3" x14ac:dyDescent="0.25">
      <c r="A1062" s="150">
        <v>1057</v>
      </c>
      <c r="B1062" s="10" t="s">
        <v>991</v>
      </c>
      <c r="C1062">
        <v>134581.57222264999</v>
      </c>
    </row>
    <row r="1063" spans="1:3" x14ac:dyDescent="0.25">
      <c r="A1063" s="150">
        <v>1058</v>
      </c>
      <c r="B1063" s="10" t="s">
        <v>992</v>
      </c>
      <c r="C1063">
        <v>66471.4154550768</v>
      </c>
    </row>
    <row r="1064" spans="1:3" x14ac:dyDescent="0.25">
      <c r="A1064" s="150">
        <v>1059</v>
      </c>
      <c r="B1064" s="10" t="s">
        <v>1487</v>
      </c>
      <c r="C1064">
        <v>0</v>
      </c>
    </row>
    <row r="1065" spans="1:3" x14ac:dyDescent="0.25">
      <c r="A1065" s="150">
        <v>1060</v>
      </c>
      <c r="B1065" s="10" t="s">
        <v>1488</v>
      </c>
      <c r="C1065">
        <v>0</v>
      </c>
    </row>
    <row r="1066" spans="1:3" x14ac:dyDescent="0.25">
      <c r="A1066" s="150">
        <v>1061</v>
      </c>
      <c r="B1066" s="10" t="s">
        <v>1489</v>
      </c>
      <c r="C1066">
        <v>0</v>
      </c>
    </row>
    <row r="1067" spans="1:3" x14ac:dyDescent="0.25">
      <c r="A1067" s="150">
        <v>1062</v>
      </c>
      <c r="B1067" s="10" t="s">
        <v>1490</v>
      </c>
      <c r="C1067">
        <v>0</v>
      </c>
    </row>
    <row r="1068" spans="1:3" x14ac:dyDescent="0.25">
      <c r="A1068" s="150">
        <v>1063</v>
      </c>
      <c r="B1068" s="10" t="s">
        <v>1491</v>
      </c>
      <c r="C1068">
        <v>0</v>
      </c>
    </row>
    <row r="1069" spans="1:3" x14ac:dyDescent="0.25">
      <c r="A1069" s="150">
        <v>1064</v>
      </c>
      <c r="B1069" s="10" t="s">
        <v>1492</v>
      </c>
      <c r="C1069">
        <v>0</v>
      </c>
    </row>
    <row r="1070" spans="1:3" x14ac:dyDescent="0.25">
      <c r="A1070" s="150">
        <v>1065</v>
      </c>
      <c r="B1070" s="10" t="s">
        <v>1493</v>
      </c>
      <c r="C1070">
        <v>0</v>
      </c>
    </row>
    <row r="1071" spans="1:3" x14ac:dyDescent="0.25">
      <c r="A1071" s="150">
        <v>1066</v>
      </c>
      <c r="B1071" s="10" t="s">
        <v>1494</v>
      </c>
      <c r="C1071">
        <v>0</v>
      </c>
    </row>
    <row r="1072" spans="1:3" x14ac:dyDescent="0.25">
      <c r="A1072" s="150">
        <v>1067</v>
      </c>
      <c r="B1072" s="10" t="s">
        <v>1495</v>
      </c>
      <c r="C1072">
        <v>91172.596406251207</v>
      </c>
    </row>
    <row r="1073" spans="1:3" x14ac:dyDescent="0.25">
      <c r="A1073" s="150">
        <v>1068</v>
      </c>
      <c r="B1073" s="10" t="s">
        <v>1496</v>
      </c>
      <c r="C1073">
        <v>16373.4205458984</v>
      </c>
    </row>
    <row r="1074" spans="1:3" x14ac:dyDescent="0.25">
      <c r="A1074" s="150">
        <v>1069</v>
      </c>
      <c r="B1074" s="10" t="s">
        <v>1497</v>
      </c>
      <c r="C1074">
        <v>0</v>
      </c>
    </row>
    <row r="1075" spans="1:3" x14ac:dyDescent="0.25">
      <c r="A1075" s="150">
        <v>1070</v>
      </c>
      <c r="B1075" s="10" t="s">
        <v>1498</v>
      </c>
      <c r="C1075">
        <v>0</v>
      </c>
    </row>
    <row r="1076" spans="1:3" x14ac:dyDescent="0.25">
      <c r="A1076" s="150">
        <v>1071</v>
      </c>
      <c r="B1076" s="10" t="s">
        <v>1499</v>
      </c>
      <c r="C1076">
        <v>7890.2369462894303</v>
      </c>
    </row>
    <row r="1077" spans="1:3" x14ac:dyDescent="0.25">
      <c r="A1077" s="150">
        <v>1072</v>
      </c>
      <c r="B1077" s="10" t="s">
        <v>1500</v>
      </c>
      <c r="C1077">
        <v>0</v>
      </c>
    </row>
    <row r="1078" spans="1:3" x14ac:dyDescent="0.25">
      <c r="A1078" s="150">
        <v>1073</v>
      </c>
      <c r="B1078" s="10" t="s">
        <v>1501</v>
      </c>
      <c r="C1078">
        <v>0</v>
      </c>
    </row>
    <row r="1079" spans="1:3" x14ac:dyDescent="0.25">
      <c r="A1079" s="150">
        <v>1074</v>
      </c>
      <c r="B1079" s="10" t="s">
        <v>1502</v>
      </c>
      <c r="C1079">
        <v>0</v>
      </c>
    </row>
    <row r="1080" spans="1:3" x14ac:dyDescent="0.25">
      <c r="A1080" s="150">
        <v>1075</v>
      </c>
      <c r="B1080" s="10" t="s">
        <v>1503</v>
      </c>
      <c r="C1080">
        <v>45146.276003904597</v>
      </c>
    </row>
    <row r="1081" spans="1:3" x14ac:dyDescent="0.25">
      <c r="A1081" s="150">
        <v>1076</v>
      </c>
      <c r="B1081" s="10" t="s">
        <v>1504</v>
      </c>
      <c r="C1081">
        <v>167846.42781151799</v>
      </c>
    </row>
    <row r="1082" spans="1:3" x14ac:dyDescent="0.25">
      <c r="A1082" s="150">
        <v>1077</v>
      </c>
      <c r="B1082" s="10" t="s">
        <v>1505</v>
      </c>
      <c r="C1082">
        <v>0</v>
      </c>
    </row>
    <row r="1083" spans="1:3" x14ac:dyDescent="0.25">
      <c r="A1083" s="150">
        <v>1078</v>
      </c>
      <c r="B1083" s="10" t="s">
        <v>1506</v>
      </c>
      <c r="C1083">
        <v>0</v>
      </c>
    </row>
    <row r="1084" spans="1:3" x14ac:dyDescent="0.25">
      <c r="A1084" s="150">
        <v>1079</v>
      </c>
      <c r="B1084" s="10" t="s">
        <v>1507</v>
      </c>
      <c r="C1084">
        <v>0</v>
      </c>
    </row>
    <row r="1085" spans="1:3" x14ac:dyDescent="0.25">
      <c r="A1085" s="150">
        <v>1080</v>
      </c>
      <c r="B1085" s="10" t="s">
        <v>1508</v>
      </c>
      <c r="C1085">
        <v>36772.358301754997</v>
      </c>
    </row>
    <row r="1086" spans="1:3" x14ac:dyDescent="0.25">
      <c r="A1086" s="150">
        <v>1081</v>
      </c>
      <c r="B1086" s="10" t="s">
        <v>1509</v>
      </c>
      <c r="C1086">
        <v>47097.356414062902</v>
      </c>
    </row>
    <row r="1087" spans="1:3" x14ac:dyDescent="0.25">
      <c r="A1087" s="150">
        <v>1082</v>
      </c>
      <c r="B1087" s="10" t="s">
        <v>1510</v>
      </c>
      <c r="C1087">
        <v>0</v>
      </c>
    </row>
    <row r="1088" spans="1:3" x14ac:dyDescent="0.25">
      <c r="A1088" s="150">
        <v>1083</v>
      </c>
      <c r="B1088" s="10" t="s">
        <v>1511</v>
      </c>
      <c r="C1088">
        <v>0</v>
      </c>
    </row>
    <row r="1089" spans="1:3" x14ac:dyDescent="0.25">
      <c r="A1089" s="150">
        <v>1084</v>
      </c>
      <c r="B1089" s="10" t="s">
        <v>1512</v>
      </c>
      <c r="C1089">
        <v>87254.606937497898</v>
      </c>
    </row>
    <row r="1090" spans="1:3" x14ac:dyDescent="0.25">
      <c r="A1090" s="150">
        <v>1085</v>
      </c>
      <c r="B1090" s="10" t="s">
        <v>1513</v>
      </c>
      <c r="C1090">
        <v>455392.23692581098</v>
      </c>
    </row>
    <row r="1091" spans="1:3" x14ac:dyDescent="0.25">
      <c r="A1091" s="150">
        <v>1086</v>
      </c>
      <c r="B1091" s="10" t="s">
        <v>1514</v>
      </c>
      <c r="C1091">
        <v>303062.24789062102</v>
      </c>
    </row>
    <row r="1092" spans="1:3" x14ac:dyDescent="0.25">
      <c r="A1092" s="150">
        <v>1087</v>
      </c>
      <c r="B1092" s="10" t="s">
        <v>1515</v>
      </c>
      <c r="C1092">
        <v>2687568.9858124298</v>
      </c>
    </row>
    <row r="1093" spans="1:3" x14ac:dyDescent="0.25">
      <c r="A1093" s="150">
        <v>1088</v>
      </c>
      <c r="B1093" s="10" t="s">
        <v>1516</v>
      </c>
      <c r="C1093">
        <v>2005078.83851182</v>
      </c>
    </row>
    <row r="1094" spans="1:3" x14ac:dyDescent="0.25">
      <c r="A1094" s="150">
        <v>1089</v>
      </c>
      <c r="B1094" s="10" t="s">
        <v>1517</v>
      </c>
      <c r="C1094">
        <v>0</v>
      </c>
    </row>
    <row r="1095" spans="1:3" x14ac:dyDescent="0.25">
      <c r="A1095" s="150">
        <v>1090</v>
      </c>
      <c r="B1095" s="10" t="s">
        <v>1518</v>
      </c>
      <c r="C1095">
        <v>0</v>
      </c>
    </row>
    <row r="1096" spans="1:3" x14ac:dyDescent="0.25">
      <c r="A1096" s="150">
        <v>1091</v>
      </c>
      <c r="B1096" s="10" t="s">
        <v>1519</v>
      </c>
      <c r="C1096">
        <v>0</v>
      </c>
    </row>
    <row r="1097" spans="1:3" x14ac:dyDescent="0.25">
      <c r="A1097" s="150">
        <v>1092</v>
      </c>
      <c r="B1097" s="10" t="s">
        <v>1520</v>
      </c>
      <c r="C1097">
        <v>0</v>
      </c>
    </row>
    <row r="1098" spans="1:3" x14ac:dyDescent="0.25">
      <c r="A1098" s="150">
        <v>1093</v>
      </c>
      <c r="B1098" s="10" t="s">
        <v>993</v>
      </c>
      <c r="C1098">
        <v>474545.140991211</v>
      </c>
    </row>
    <row r="1099" spans="1:3" x14ac:dyDescent="0.25">
      <c r="A1099" s="150">
        <v>1094</v>
      </c>
      <c r="B1099" s="10" t="s">
        <v>994</v>
      </c>
      <c r="C1099">
        <v>173320.790006831</v>
      </c>
    </row>
    <row r="1100" spans="1:3" x14ac:dyDescent="0.25">
      <c r="A1100" s="150">
        <v>1095</v>
      </c>
      <c r="B1100" s="10" t="s">
        <v>995</v>
      </c>
      <c r="C1100">
        <v>3998060.2320289598</v>
      </c>
    </row>
    <row r="1101" spans="1:3" x14ac:dyDescent="0.25">
      <c r="A1101" s="150">
        <v>1096</v>
      </c>
      <c r="B1101" s="10" t="s">
        <v>996</v>
      </c>
      <c r="C1101">
        <v>2516393.6340000601</v>
      </c>
    </row>
    <row r="1102" spans="1:3" x14ac:dyDescent="0.25">
      <c r="A1102" s="150">
        <v>1097</v>
      </c>
      <c r="B1102" s="10" t="s">
        <v>997</v>
      </c>
      <c r="C1102">
        <v>11260341.568529099</v>
      </c>
    </row>
    <row r="1103" spans="1:3" x14ac:dyDescent="0.25">
      <c r="A1103" s="150">
        <v>1098</v>
      </c>
      <c r="B1103" s="10" t="s">
        <v>998</v>
      </c>
      <c r="C1103">
        <v>9500644.0634489097</v>
      </c>
    </row>
    <row r="1104" spans="1:3" x14ac:dyDescent="0.25">
      <c r="A1104" s="150">
        <v>1099</v>
      </c>
      <c r="B1104" s="10" t="s">
        <v>999</v>
      </c>
      <c r="C1104">
        <v>15736223.082200101</v>
      </c>
    </row>
    <row r="1105" spans="1:3" x14ac:dyDescent="0.25">
      <c r="A1105" s="150">
        <v>1100</v>
      </c>
      <c r="B1105" s="10" t="s">
        <v>1000</v>
      </c>
      <c r="C1105">
        <v>14195763.647635501</v>
      </c>
    </row>
    <row r="1106" spans="1:3" x14ac:dyDescent="0.25">
      <c r="A1106" s="150">
        <v>1101</v>
      </c>
      <c r="B1106" s="10" t="s">
        <v>1001</v>
      </c>
      <c r="C1106">
        <v>17234348.870411899</v>
      </c>
    </row>
    <row r="1107" spans="1:3" x14ac:dyDescent="0.25">
      <c r="A1107" s="150">
        <v>1102</v>
      </c>
      <c r="B1107" s="10" t="s">
        <v>1002</v>
      </c>
      <c r="C1107">
        <v>12311326.0676794</v>
      </c>
    </row>
    <row r="1108" spans="1:3" x14ac:dyDescent="0.25">
      <c r="A1108" s="150">
        <v>1103</v>
      </c>
      <c r="B1108" s="10" t="s">
        <v>1003</v>
      </c>
      <c r="C1108">
        <v>13466561.6449442</v>
      </c>
    </row>
    <row r="1109" spans="1:3" x14ac:dyDescent="0.25">
      <c r="A1109" s="150">
        <v>1104</v>
      </c>
      <c r="B1109" s="10" t="s">
        <v>1004</v>
      </c>
      <c r="C1109">
        <v>10847077.070838001</v>
      </c>
    </row>
    <row r="1110" spans="1:3" x14ac:dyDescent="0.25">
      <c r="A1110" s="150">
        <v>1105</v>
      </c>
      <c r="B1110" s="10" t="s">
        <v>1005</v>
      </c>
      <c r="C1110">
        <v>7371565.6406526603</v>
      </c>
    </row>
    <row r="1111" spans="1:3" x14ac:dyDescent="0.25">
      <c r="A1111" s="150">
        <v>1106</v>
      </c>
      <c r="B1111" s="10" t="s">
        <v>1006</v>
      </c>
      <c r="C1111">
        <v>6795147.8997392701</v>
      </c>
    </row>
    <row r="1112" spans="1:3" x14ac:dyDescent="0.25">
      <c r="A1112" s="150">
        <v>1107</v>
      </c>
      <c r="B1112" s="10" t="s">
        <v>1007</v>
      </c>
      <c r="C1112">
        <v>2672817.2505876999</v>
      </c>
    </row>
    <row r="1113" spans="1:3" x14ac:dyDescent="0.25">
      <c r="A1113" s="150">
        <v>1108</v>
      </c>
      <c r="B1113" s="10" t="s">
        <v>1008</v>
      </c>
      <c r="C1113">
        <v>2689867.65414858</v>
      </c>
    </row>
    <row r="1114" spans="1:3" x14ac:dyDescent="0.25">
      <c r="A1114" s="150">
        <v>1109</v>
      </c>
      <c r="B1114" s="10" t="s">
        <v>1009</v>
      </c>
      <c r="C1114">
        <v>521874.44277736498</v>
      </c>
    </row>
    <row r="1115" spans="1:3" x14ac:dyDescent="0.25">
      <c r="A1115" s="150">
        <v>1110</v>
      </c>
      <c r="B1115" s="10" t="s">
        <v>1010</v>
      </c>
      <c r="C1115">
        <v>141422.93197265299</v>
      </c>
    </row>
    <row r="1116" spans="1:3" x14ac:dyDescent="0.25">
      <c r="A1116" s="150">
        <v>1111</v>
      </c>
      <c r="B1116" s="10" t="s">
        <v>1521</v>
      </c>
      <c r="C1116">
        <v>87096.797179687797</v>
      </c>
    </row>
    <row r="1117" spans="1:3" x14ac:dyDescent="0.25">
      <c r="A1117" s="150">
        <v>1112</v>
      </c>
      <c r="B1117" s="10" t="s">
        <v>1522</v>
      </c>
      <c r="C1117">
        <v>0</v>
      </c>
    </row>
    <row r="1118" spans="1:3" x14ac:dyDescent="0.25">
      <c r="A1118" s="150">
        <v>1113</v>
      </c>
      <c r="B1118" s="10" t="s">
        <v>1523</v>
      </c>
      <c r="C1118">
        <v>0</v>
      </c>
    </row>
    <row r="1119" spans="1:3" x14ac:dyDescent="0.25">
      <c r="A1119" s="150">
        <v>1114</v>
      </c>
      <c r="B1119" s="10" t="s">
        <v>1524</v>
      </c>
      <c r="C1119">
        <v>0</v>
      </c>
    </row>
    <row r="1120" spans="1:3" x14ac:dyDescent="0.25">
      <c r="A1120" s="150">
        <v>1115</v>
      </c>
      <c r="B1120" s="10" t="s">
        <v>1525</v>
      </c>
      <c r="C1120">
        <v>0</v>
      </c>
    </row>
    <row r="1121" spans="1:3" x14ac:dyDescent="0.25">
      <c r="A1121" s="150">
        <v>1116</v>
      </c>
      <c r="B1121" s="10" t="s">
        <v>1526</v>
      </c>
      <c r="C1121">
        <v>51848.822367187597</v>
      </c>
    </row>
    <row r="1122" spans="1:3" x14ac:dyDescent="0.25">
      <c r="A1122" s="150">
        <v>1117</v>
      </c>
      <c r="B1122" s="10" t="s">
        <v>1527</v>
      </c>
      <c r="C1122">
        <v>83372.435140624599</v>
      </c>
    </row>
    <row r="1123" spans="1:3" x14ac:dyDescent="0.25">
      <c r="A1123" s="150">
        <v>1118</v>
      </c>
      <c r="B1123" s="10" t="s">
        <v>1528</v>
      </c>
      <c r="C1123">
        <v>113170.47948046</v>
      </c>
    </row>
    <row r="1124" spans="1:3" x14ac:dyDescent="0.25">
      <c r="A1124" s="150">
        <v>1119</v>
      </c>
      <c r="B1124" s="10" t="s">
        <v>1529</v>
      </c>
      <c r="C1124">
        <v>0</v>
      </c>
    </row>
    <row r="1125" spans="1:3" x14ac:dyDescent="0.25">
      <c r="A1125" s="150">
        <v>1120</v>
      </c>
      <c r="B1125" s="10" t="s">
        <v>1530</v>
      </c>
      <c r="C1125">
        <v>56381.461230467998</v>
      </c>
    </row>
    <row r="1126" spans="1:3" x14ac:dyDescent="0.25">
      <c r="A1126" s="150">
        <v>1121</v>
      </c>
      <c r="B1126" s="10" t="s">
        <v>1531</v>
      </c>
      <c r="C1126">
        <v>0</v>
      </c>
    </row>
    <row r="1127" spans="1:3" x14ac:dyDescent="0.25">
      <c r="A1127" s="150">
        <v>1122</v>
      </c>
      <c r="B1127" s="10" t="s">
        <v>1532</v>
      </c>
      <c r="C1127">
        <v>0</v>
      </c>
    </row>
    <row r="1128" spans="1:3" x14ac:dyDescent="0.25">
      <c r="A1128" s="150">
        <v>1123</v>
      </c>
      <c r="B1128" s="10" t="s">
        <v>1533</v>
      </c>
      <c r="C1128">
        <v>0</v>
      </c>
    </row>
    <row r="1129" spans="1:3" x14ac:dyDescent="0.25">
      <c r="A1129" s="150">
        <v>1124</v>
      </c>
      <c r="B1129" s="10" t="s">
        <v>1534</v>
      </c>
      <c r="C1129">
        <v>0</v>
      </c>
    </row>
    <row r="1130" spans="1:3" x14ac:dyDescent="0.25">
      <c r="A1130" s="150">
        <v>1125</v>
      </c>
      <c r="B1130" s="10" t="s">
        <v>1535</v>
      </c>
      <c r="C1130">
        <v>61473.733863279202</v>
      </c>
    </row>
    <row r="1131" spans="1:3" x14ac:dyDescent="0.25">
      <c r="A1131" s="150">
        <v>1126</v>
      </c>
      <c r="B1131" s="10" t="s">
        <v>1536</v>
      </c>
      <c r="C1131">
        <v>0</v>
      </c>
    </row>
    <row r="1132" spans="1:3" x14ac:dyDescent="0.25">
      <c r="A1132" s="150">
        <v>1127</v>
      </c>
      <c r="B1132" s="10" t="s">
        <v>1537</v>
      </c>
      <c r="C1132">
        <v>0</v>
      </c>
    </row>
    <row r="1133" spans="1:3" x14ac:dyDescent="0.25">
      <c r="A1133" s="150">
        <v>1128</v>
      </c>
      <c r="B1133" s="10" t="s">
        <v>1538</v>
      </c>
      <c r="C1133">
        <v>3518.4718732913002</v>
      </c>
    </row>
    <row r="1134" spans="1:3" x14ac:dyDescent="0.25">
      <c r="A1134" s="150">
        <v>1129</v>
      </c>
      <c r="B1134" s="10" t="s">
        <v>1539</v>
      </c>
      <c r="C1134">
        <v>0</v>
      </c>
    </row>
    <row r="1135" spans="1:3" x14ac:dyDescent="0.25">
      <c r="A1135" s="150">
        <v>1130</v>
      </c>
      <c r="B1135" s="10" t="s">
        <v>1540</v>
      </c>
      <c r="C1135">
        <v>0</v>
      </c>
    </row>
    <row r="1136" spans="1:3" x14ac:dyDescent="0.25">
      <c r="A1136" s="150">
        <v>1131</v>
      </c>
      <c r="B1136" s="10" t="s">
        <v>1541</v>
      </c>
      <c r="C1136">
        <v>102598.172039066</v>
      </c>
    </row>
    <row r="1137" spans="1:3" x14ac:dyDescent="0.25">
      <c r="A1137" s="150">
        <v>1132</v>
      </c>
      <c r="B1137" s="10" t="s">
        <v>1542</v>
      </c>
      <c r="C1137">
        <v>0</v>
      </c>
    </row>
    <row r="1138" spans="1:3" x14ac:dyDescent="0.25">
      <c r="A1138" s="150">
        <v>1133</v>
      </c>
      <c r="B1138" s="10" t="s">
        <v>1543</v>
      </c>
      <c r="C1138">
        <v>4573.06594628934</v>
      </c>
    </row>
    <row r="1139" spans="1:3" x14ac:dyDescent="0.25">
      <c r="A1139" s="150">
        <v>1134</v>
      </c>
      <c r="B1139" s="10" t="s">
        <v>1544</v>
      </c>
      <c r="C1139">
        <v>8079.4720136718797</v>
      </c>
    </row>
    <row r="1140" spans="1:3" x14ac:dyDescent="0.25">
      <c r="A1140" s="150">
        <v>1135</v>
      </c>
      <c r="B1140" s="10" t="s">
        <v>1545</v>
      </c>
      <c r="C1140">
        <v>146622.640710935</v>
      </c>
    </row>
    <row r="1141" spans="1:3" x14ac:dyDescent="0.25">
      <c r="A1141" s="150">
        <v>1136</v>
      </c>
      <c r="B1141" s="10" t="s">
        <v>1546</v>
      </c>
      <c r="C1141">
        <v>7197.5948540037498</v>
      </c>
    </row>
    <row r="1142" spans="1:3" x14ac:dyDescent="0.25">
      <c r="A1142" s="150">
        <v>1137</v>
      </c>
      <c r="B1142" s="10" t="s">
        <v>1547</v>
      </c>
      <c r="C1142">
        <v>62341.553718751296</v>
      </c>
    </row>
    <row r="1143" spans="1:3" x14ac:dyDescent="0.25">
      <c r="A1143" s="150">
        <v>1138</v>
      </c>
      <c r="B1143" s="10" t="s">
        <v>1548</v>
      </c>
      <c r="C1143">
        <v>0</v>
      </c>
    </row>
    <row r="1144" spans="1:3" x14ac:dyDescent="0.25">
      <c r="A1144" s="150">
        <v>1139</v>
      </c>
      <c r="B1144" s="10" t="s">
        <v>1549</v>
      </c>
      <c r="C1144">
        <v>4450.7035832521497</v>
      </c>
    </row>
    <row r="1145" spans="1:3" x14ac:dyDescent="0.25">
      <c r="A1145" s="150">
        <v>1140</v>
      </c>
      <c r="B1145" s="10" t="s">
        <v>1550</v>
      </c>
      <c r="C1145">
        <v>0</v>
      </c>
    </row>
    <row r="1146" spans="1:3" x14ac:dyDescent="0.25">
      <c r="A1146" s="150">
        <v>1141</v>
      </c>
      <c r="B1146" s="10" t="s">
        <v>1551</v>
      </c>
      <c r="C1146">
        <v>0</v>
      </c>
    </row>
    <row r="1147" spans="1:3" x14ac:dyDescent="0.25">
      <c r="A1147" s="150">
        <v>1142</v>
      </c>
      <c r="B1147" s="10" t="s">
        <v>1552</v>
      </c>
      <c r="C1147">
        <v>0</v>
      </c>
    </row>
    <row r="1148" spans="1:3" x14ac:dyDescent="0.25">
      <c r="A1148" s="150">
        <v>1143</v>
      </c>
      <c r="B1148" s="10" t="s">
        <v>1553</v>
      </c>
      <c r="C1148">
        <v>0</v>
      </c>
    </row>
    <row r="1149" spans="1:3" x14ac:dyDescent="0.25">
      <c r="A1149" s="150">
        <v>1144</v>
      </c>
      <c r="B1149" s="10" t="s">
        <v>1554</v>
      </c>
      <c r="C1149">
        <v>0</v>
      </c>
    </row>
    <row r="1150" spans="1:3" x14ac:dyDescent="0.25">
      <c r="A1150" s="150">
        <v>1145</v>
      </c>
      <c r="B1150" s="10" t="s">
        <v>1555</v>
      </c>
      <c r="C1150">
        <v>0</v>
      </c>
    </row>
    <row r="1151" spans="1:3" x14ac:dyDescent="0.25">
      <c r="A1151" s="167">
        <v>1146</v>
      </c>
      <c r="B1151" s="165" t="s">
        <v>1556</v>
      </c>
      <c r="C1151">
        <v>0</v>
      </c>
    </row>
  </sheetData>
  <mergeCells count="7">
    <mergeCell ref="AK41:AK42"/>
    <mergeCell ref="H104:H105"/>
    <mergeCell ref="H136:H137"/>
    <mergeCell ref="J2:K2"/>
    <mergeCell ref="M2:O2"/>
    <mergeCell ref="P2:Q2"/>
    <mergeCell ref="H41:H42"/>
  </mergeCells>
  <conditionalFormatting sqref="I138:AI166">
    <cfRule type="cellIs" dxfId="5" priority="7" operator="equal">
      <formula>0</formula>
    </cfRule>
  </conditionalFormatting>
  <conditionalFormatting sqref="I106:AI134">
    <cfRule type="cellIs" dxfId="4" priority="6" operator="equal">
      <formula>0</formula>
    </cfRule>
  </conditionalFormatting>
  <conditionalFormatting sqref="F6:F578">
    <cfRule type="cellIs" dxfId="3" priority="5" operator="equal">
      <formula>0</formula>
    </cfRule>
  </conditionalFormatting>
  <conditionalFormatting sqref="I43:AI71">
    <cfRule type="dataBar" priority="3">
      <dataBar>
        <cfvo type="min"/>
        <cfvo type="max"/>
        <color theme="4" tint="0.39997558519241921"/>
      </dataBar>
      <extLst>
        <ext xmlns:x14="http://schemas.microsoft.com/office/spreadsheetml/2009/9/main" uri="{B025F937-C7B1-47D3-B67F-A62EFF666E3E}">
          <x14:id>{9EF26859-FB38-4B6D-8623-0BCEC13E64C8}</x14:id>
        </ext>
      </extLst>
    </cfRule>
    <cfRule type="cellIs" dxfId="2" priority="4" operator="equal">
      <formula>"N/A"</formula>
    </cfRule>
  </conditionalFormatting>
  <conditionalFormatting sqref="AL43:BL71">
    <cfRule type="dataBar" priority="1">
      <dataBar>
        <cfvo type="min"/>
        <cfvo type="max"/>
        <color theme="4" tint="0.39997558519241921"/>
      </dataBar>
      <extLst>
        <ext xmlns:x14="http://schemas.microsoft.com/office/spreadsheetml/2009/9/main" uri="{B025F937-C7B1-47D3-B67F-A62EFF666E3E}">
          <x14:id>{EA8EC702-2A33-4B6B-B32D-EDA479E6C1EF}</x14:id>
        </ext>
      </extLst>
    </cfRule>
    <cfRule type="cellIs" dxfId="1" priority="2" operator="equal">
      <formula>"N/A"</formula>
    </cfRule>
  </conditionalFormatting>
  <conditionalFormatting sqref="I74:AI102">
    <cfRule type="cellIs" dxfId="0" priority="8" operator="between">
      <formula>0.8*#REF!</formula>
      <formula>1.2*#REF!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EF26859-FB38-4B6D-8623-0BCEC13E64C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I43:AI71</xm:sqref>
        </x14:conditionalFormatting>
        <x14:conditionalFormatting xmlns:xm="http://schemas.microsoft.com/office/excel/2006/main">
          <x14:cfRule type="dataBar" id="{EA8EC702-2A33-4B6B-B32D-EDA479E6C1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AL43:BL71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Ratio_M+Cl</vt:lpstr>
      <vt:lpstr>moyenne</vt:lpstr>
      <vt:lpstr>HypersildGold_ref</vt:lpstr>
      <vt:lpstr>Zorbax_gradient10min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Ronan CARIOU</dc:creator>
  <cp:lastModifiedBy>Ronan CARIOU</cp:lastModifiedBy>
  <cp:lastPrinted>2017-07-07T09:21:03Z</cp:lastPrinted>
  <dcterms:created xsi:type="dcterms:W3CDTF">2017-04-27T11:02:27Z</dcterms:created>
  <dcterms:modified xsi:type="dcterms:W3CDTF">2021-03-15T17:42:20Z</dcterms:modified>
</cp:coreProperties>
</file>